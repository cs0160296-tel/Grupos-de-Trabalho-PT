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102d6e62af84694" /></Relationships>
</file>

<file path=xl/workbook.xml><?xml version="1.0" encoding="utf-8"?>
<x:workbook xmlns:x="http://schemas.openxmlformats.org/spreadsheetml/2006/main">
  <x:sheets>
    <x:sheet xmlns:r="http://schemas.openxmlformats.org/officeDocument/2006/relationships" name="Dashboard" sheetId="1" r:id="R3f61498e16a446fe"/>
    <x:sheet xmlns:r="http://schemas.openxmlformats.org/officeDocument/2006/relationships" name="Groups" sheetId="2" r:id="Rc6ae5031ce3e4c4b"/>
    <x:sheet xmlns:r="http://schemas.openxmlformats.org/officeDocument/2006/relationships" name="Deadlines" sheetId="3" r:id="R1bb2823baced47d2"/>
    <x:sheet xmlns:r="http://schemas.openxmlformats.org/officeDocument/2006/relationships" name="Issuing portfolios" sheetId="4" r:id="Rbb59ce52e71d4042"/>
    <x:sheet xmlns:r="http://schemas.openxmlformats.org/officeDocument/2006/relationships" name="Related bodies" sheetId="5" r:id="Rdf5893cd97dd44eb"/>
    <x:sheet xmlns:r="http://schemas.openxmlformats.org/officeDocument/2006/relationships" name="Discovery gaps" sheetId="6" r:id="Rdccd1bb33d284cb2"/>
    <x:sheet xmlns:r="http://schemas.openxmlformats.org/officeDocument/2006/relationships" name="Coverage" sheetId="7" r:id="R9c55f5f2983944b7"/>
    <x:sheet xmlns:r="http://schemas.openxmlformats.org/officeDocument/2006/relationships" name="Act review" sheetId="8" r:id="Refa1a1b1af584adb"/>
    <x:sheet xmlns:r="http://schemas.openxmlformats.org/officeDocument/2006/relationships" name="Search log" sheetId="9" r:id="R2cd5ce6c1829400f"/>
    <x:sheet xmlns:r="http://schemas.openxmlformats.org/officeDocument/2006/relationships" name="Methodology" sheetId="10" r:id="R2c34f73a1c7a48b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yyyy-mm-dd"/>
    <x:numFmt numFmtId="201" formatCode="#,##0"/>
    <x:numFmt numFmtId="202" formatCode="mmm yyyy"/>
    <x:numFmt numFmtId="203" formatCode="0.0"/>
    <x:numFmt numFmtId="204" formatCode="0.0%"/>
  </x:numFmts>
  <x:fonts count="12">
    <x:font>
      <x:sz val="11"/>
      <x:name val="Carlito"/>
    </x:font>
    <x:font>
      <x:sz val="10"/>
      <x:color rgb="FF243447"/>
      <x:name val="Arial"/>
    </x:font>
    <x:font>
      <x:b/>
      <x:sz val="16"/>
      <x:color rgb="FF233B55"/>
      <x:name val="Arial"/>
    </x:font>
    <x:font>
      <x:sz val="10"/>
      <x:color rgb="FF66758A"/>
      <x:name val="Arial"/>
    </x:font>
    <x:font>
      <x:b/>
      <x:sz val="10"/>
      <x:color rgb="FFFFFFFF"/>
      <x:name val="Arial"/>
    </x:font>
    <x:font>
      <x:u val="single"/>
      <x:sz val="10"/>
      <x:color rgb="FF17639B"/>
      <x:name val="Arial"/>
    </x:font>
    <x:font>
      <x:sz val="10"/>
      <x:color rgb="FF66758A"/>
      <x:name val="Arial"/>
    </x:font>
    <x:font>
      <x:sz val="10"/>
      <x:color rgb="FF243447"/>
      <x:name val="Arial"/>
    </x:font>
    <x:font>
      <x:b/>
      <x:sz val="10"/>
      <x:color rgb="FF243447"/>
      <x:name val="Arial"/>
    </x:font>
    <x:font>
      <x:b/>
      <x:sz val="12"/>
      <x:color rgb="FF233B55"/>
      <x:name val="Arial"/>
    </x:font>
    <x:font>
      <x:b/>
      <x:sz val="10"/>
      <x:color rgb="FF233B55"/>
      <x:name val="Arial"/>
    </x:font>
    <x:font>
      <x:b/>
      <x:sz val="14"/>
      <x:color rgb="FF233B55"/>
      <x:name val="Arial"/>
    </x:font>
  </x:fonts>
  <x:fills count="13">
    <x:fill>
      <x:patternFill patternType="none"/>
    </x:fill>
    <x:fill>
      <x:patternFill patternType="gray125"/>
    </x:fill>
    <x:fill>
      <x:patternFill patternType="solid">
        <x:fgColor rgb="FF233B55"/>
      </x:patternFill>
    </x:fill>
    <x:fill>
      <x:patternFill patternType="solid">
        <x:fgColor rgb="FFFFF2CC"/>
      </x:patternFill>
    </x:fill>
    <x:fill>
      <x:patternFill patternType="solid">
        <x:fgColor rgb="FFEDF2F7"/>
      </x:patternFill>
    </x:fill>
    <x:fill>
      <x:patternFill patternType="solid">
        <x:fgColor rgb="FFFCE8E6"/>
      </x:patternFill>
    </x:fill>
    <x:fill>
      <x:patternFill patternType="solid">
        <x:fgColor rgb="FFE7F3E8"/>
      </x:patternFill>
    </x:fill>
    <x:fill>
      <x:patternFill patternType="solid">
        <x:fgColor rgb="FFFFF0D8"/>
      </x:patternFill>
    </x:fill>
    <x:fill>
      <x:patternFill patternType="solid">
        <x:fgColor rgb="FFE6F0F8"/>
      </x:patternFill>
    </x:fill>
    <x:fill>
      <x:patternFill patternType="solid">
        <x:fgColor rgb="FFECE8F4"/>
      </x:patternFill>
    </x:fill>
    <x:fill>
      <x:patternFill patternType="solid">
        <x:fgColor rgb="FFE7E9EC"/>
      </x:patternFill>
    </x:fill>
    <x:fill>
      <x:patternFill patternType="solid">
        <x:fgColor rgb="FFF0F0F0"/>
      </x:patternFill>
    </x:fill>
    <x:fill>
      <x:patternFill patternType="solid">
        <x:fgColor rgb="FFFFFFFF"/>
      </x:patternFill>
    </x:fill>
  </x:fills>
  <x:borders count="5">
    <x:border>
      <x:left/>
      <x:right/>
      <x:top/>
      <x:bottom/>
      <x:diagonal/>
    </x:border>
    <x:border>
      <x:left/>
      <x:right/>
      <x:top/>
      <x:bottom style="thin">
        <x:color rgb="FFCBD5E1"/>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10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0"/>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vertical="top" wrapText="0"/>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4"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2" fillId="0" borderId="0" xfId="0" applyNumberFormat="1" applyFont="1" applyFill="1" applyBorder="1" applyAlignment="1">
      <x:alignment horizontal="left" vertical="top" wrapText="1"/>
    </x:xf>
    <x:xf numFmtId="0" fontId="2" fillId="0" borderId="0" xfId="0" applyNumberFormat="1" applyFont="1" applyFill="1" applyBorder="1" applyAlignment="1">
      <x:alignment horizontal="left" vertical="center"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left" vertical="top" wrapText="1"/>
    </x:xf>
    <x:xf numFmtId="0" fontId="6" fillId="0" borderId="0" xfId="0" applyNumberFormat="1" applyFont="1" applyFill="1" applyBorder="1" applyAlignment="1">
      <x:alignment horizontal="left" vertical="center" wrapText="1"/>
    </x:xf>
    <x:xf numFmtId="0" fontId="7" fillId="0" borderId="0" xfId="0" applyNumberFormat="1" applyFont="1" applyFill="1" applyBorder="1" applyAlignment="1">
      <x:alignment vertical="top" wrapText="1"/>
    </x:xf>
    <x:xf numFmtId="0" fontId="7" fillId="0" borderId="0" xfId="0" applyNumberFormat="1" applyFont="1" applyFill="1" applyBorder="1" applyAlignment="1">
      <x:alignment horizontal="left" vertical="top" wrapText="1"/>
    </x:xf>
    <x:xf numFmtId="0" fontId="7" fillId="0" borderId="0" xfId="0" applyNumberFormat="1" applyFont="1" applyFill="1" applyBorder="1" applyAlignment="1">
      <x:alignment horizontal="left" vertical="center" wrapText="1"/>
    </x:xf>
    <x:xf numFmtId="200" fontId="1" fillId="3" borderId="0" xfId="0" applyNumberFormat="1" applyFont="1" applyFill="1" applyBorder="1" applyAlignment="1">
      <x:alignment vertical="top" wrapText="1"/>
    </x:xf>
    <x:xf numFmtId="200" fontId="8" fillId="3" borderId="0" xfId="0" applyNumberFormat="1" applyFont="1" applyFill="1" applyBorder="1" applyAlignment="1">
      <x:alignment vertical="top" wrapText="1"/>
    </x:xf>
    <x:xf numFmtId="200" fontId="8" fillId="3" borderId="0" xfId="0" applyNumberFormat="1" applyFont="1" applyFill="1" applyBorder="1" applyAlignment="1">
      <x:alignment horizontal="center" vertical="top" wrapText="1"/>
    </x:xf>
    <x:xf numFmtId="0" fontId="1" fillId="4" borderId="0" xfId="0" applyNumberFormat="1" applyFont="1" applyFill="1" applyBorder="1" applyAlignment="1">
      <x:alignment vertical="top" wrapText="1"/>
    </x:xf>
    <x:xf numFmtId="0" fontId="9" fillId="4" borderId="0" xfId="0" applyNumberFormat="1" applyFont="1" applyFill="1" applyBorder="1" applyAlignment="1">
      <x:alignment vertical="top" wrapText="1"/>
    </x:xf>
    <x:xf numFmtId="0" fontId="9" fillId="4" borderId="0" xfId="0" applyNumberFormat="1" applyFont="1" applyFill="1" applyBorder="1" applyAlignment="1">
      <x:alignment horizontal="right" vertical="top" wrapText="1"/>
    </x:xf>
    <x:xf numFmtId="0" fontId="9" fillId="4" borderId="0" xfId="0" applyNumberFormat="1" applyFont="1" applyFill="1" applyBorder="1" applyAlignment="1">
      <x:alignment horizontal="right" vertical="center" wrapText="1"/>
    </x:xf>
    <x:xf numFmtId="0" fontId="1" fillId="5" borderId="0" xfId="0" applyNumberFormat="1" applyFont="1" applyFill="1" applyBorder="1" applyAlignment="1">
      <x:alignment vertical="top" wrapText="1"/>
    </x:xf>
    <x:xf numFmtId="0" fontId="9" fillId="5" borderId="0" xfId="0" applyNumberFormat="1" applyFont="1" applyFill="1" applyBorder="1" applyAlignment="1">
      <x:alignment vertical="top" wrapText="1"/>
    </x:xf>
    <x:xf numFmtId="0" fontId="9" fillId="5" borderId="0" xfId="0" applyNumberFormat="1" applyFont="1" applyFill="1" applyBorder="1" applyAlignment="1">
      <x:alignment horizontal="right" vertical="top" wrapText="1"/>
    </x:xf>
    <x:xf numFmtId="0" fontId="9" fillId="5" borderId="0" xfId="0" applyNumberFormat="1" applyFont="1" applyFill="1" applyBorder="1" applyAlignment="1">
      <x:alignment horizontal="right" vertical="center" wrapText="1"/>
    </x:xf>
    <x:xf numFmtId="201" fontId="9" fillId="4" borderId="0" xfId="0" applyNumberFormat="1" applyFont="1" applyFill="1" applyBorder="1" applyAlignment="1">
      <x:alignment horizontal="right" vertical="center" wrapText="1"/>
    </x:xf>
    <x:xf numFmtId="201" fontId="9" fillId="5" borderId="0" xfId="0" applyNumberFormat="1" applyFont="1" applyFill="1" applyBorder="1" applyAlignment="1">
      <x:alignment horizontal="right" vertical="center" wrapText="1"/>
    </x:xf>
    <x:xf numFmtId="203" fontId="9" fillId="4" borderId="0" xfId="0" applyNumberFormat="1" applyFont="1" applyFill="1" applyBorder="1" applyAlignment="1">
      <x:alignment horizontal="right" vertical="center" wrapText="1"/>
    </x:xf>
    <x:xf numFmtId="204" fontId="9" fillId="4" borderId="0" xfId="0" applyNumberFormat="1" applyFont="1" applyFill="1" applyBorder="1" applyAlignment="1">
      <x:alignment horizontal="right" vertical="center" wrapText="1"/>
    </x:xf>
    <x:xf numFmtId="0" fontId="10" fillId="0" borderId="0" xfId="0" applyNumberFormat="1" applyFont="1" applyFill="1" applyBorder="1" applyAlignment="1">
      <x:alignment vertical="top" wrapText="1"/>
    </x:xf>
    <x:xf numFmtId="0" fontId="10" fillId="0" borderId="0" xfId="0" applyNumberFormat="1" applyFont="1" applyFill="1" applyBorder="1" applyAlignment="1">
      <x:alignment horizontal="left" vertical="top" wrapText="1"/>
    </x:xf>
    <x:xf numFmtId="0" fontId="10" fillId="0" borderId="0" xfId="0" applyNumberFormat="1" applyFont="1" applyFill="1" applyBorder="1" applyAlignment="1">
      <x:alignment horizontal="left" vertical="center"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0" fontId="1" fillId="6" borderId="0" xfId="0" applyNumberFormat="1" applyFont="1" applyFill="1" applyBorder="1" applyAlignment="1">
      <x:alignment vertical="top" wrapText="1"/>
    </x:xf>
    <x:xf numFmtId="0" fontId="7" fillId="6" borderId="0" xfId="0" applyNumberFormat="1" applyFont="1" applyFill="1" applyBorder="1" applyAlignment="1">
      <x:alignment vertical="top" wrapText="1"/>
    </x:xf>
    <x:xf numFmtId="0" fontId="7" fillId="6" borderId="0" xfId="0" applyNumberFormat="1" applyFont="1" applyFill="1" applyBorder="1" applyAlignment="1">
      <x:alignment horizontal="left" vertical="top" wrapText="1"/>
    </x:xf>
    <x:xf numFmtId="0" fontId="7" fillId="6" borderId="0" xfId="0" applyNumberFormat="1" applyFont="1" applyFill="1" applyBorder="1" applyAlignment="1">
      <x:alignment horizontal="left" vertical="center" wrapText="1"/>
    </x:xf>
    <x:xf numFmtId="0" fontId="1" fillId="7" borderId="0"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0" xfId="0" applyNumberFormat="1" applyFont="1" applyFill="1" applyBorder="1" applyAlignment="1">
      <x:alignment horizontal="left" vertical="top" wrapText="1"/>
    </x:xf>
    <x:xf numFmtId="0" fontId="7" fillId="7" borderId="0" xfId="0" applyNumberFormat="1" applyFont="1" applyFill="1" applyBorder="1" applyAlignment="1">
      <x:alignment horizontal="left" vertical="center" wrapText="1"/>
    </x:xf>
    <x:xf numFmtId="0" fontId="1" fillId="8" borderId="0" xfId="0" applyNumberFormat="1" applyFont="1" applyFill="1" applyBorder="1" applyAlignment="1">
      <x:alignment vertical="top" wrapText="1"/>
    </x:xf>
    <x:xf numFmtId="0" fontId="7" fillId="8" borderId="0" xfId="0" applyNumberFormat="1" applyFont="1" applyFill="1" applyBorder="1" applyAlignment="1">
      <x:alignment vertical="top" wrapText="1"/>
    </x:xf>
    <x:xf numFmtId="0" fontId="7" fillId="8" borderId="0" xfId="0" applyNumberFormat="1" applyFont="1" applyFill="1" applyBorder="1" applyAlignment="1">
      <x:alignment horizontal="left" vertical="top" wrapText="1"/>
    </x:xf>
    <x:xf numFmtId="0" fontId="7" fillId="8" borderId="0" xfId="0" applyNumberFormat="1" applyFont="1" applyFill="1" applyBorder="1" applyAlignment="1">
      <x:alignment horizontal="left" vertical="center" wrapText="1"/>
    </x:xf>
    <x:xf numFmtId="0" fontId="7" fillId="5" borderId="0" xfId="0" applyNumberFormat="1" applyFont="1" applyFill="1" applyBorder="1" applyAlignment="1">
      <x:alignment vertical="top" wrapText="1"/>
    </x:xf>
    <x:xf numFmtId="0" fontId="7" fillId="5" borderId="0" xfId="0" applyNumberFormat="1" applyFont="1" applyFill="1" applyBorder="1" applyAlignment="1">
      <x:alignment horizontal="left" vertical="top" wrapText="1"/>
    </x:xf>
    <x:xf numFmtId="0" fontId="7" fillId="5" borderId="0" xfId="0" applyNumberFormat="1" applyFont="1" applyFill="1" applyBorder="1" applyAlignment="1">
      <x:alignment horizontal="left" vertical="center" wrapText="1"/>
    </x:xf>
    <x:xf numFmtId="0" fontId="1" fillId="9" borderId="0" xfId="0" applyNumberFormat="1" applyFont="1" applyFill="1" applyBorder="1" applyAlignment="1">
      <x:alignment vertical="top" wrapText="1"/>
    </x:xf>
    <x:xf numFmtId="0" fontId="7" fillId="9" borderId="0" xfId="0" applyNumberFormat="1" applyFont="1" applyFill="1" applyBorder="1" applyAlignment="1">
      <x:alignment vertical="top" wrapText="1"/>
    </x:xf>
    <x:xf numFmtId="0" fontId="7" fillId="9" borderId="0" xfId="0" applyNumberFormat="1" applyFont="1" applyFill="1" applyBorder="1" applyAlignment="1">
      <x:alignment horizontal="left" vertical="top" wrapText="1"/>
    </x:xf>
    <x:xf numFmtId="0" fontId="7" fillId="9" borderId="0" xfId="0" applyNumberFormat="1" applyFont="1" applyFill="1" applyBorder="1" applyAlignment="1">
      <x:alignment horizontal="left" vertical="center" wrapText="1"/>
    </x:xf>
    <x:xf numFmtId="0" fontId="1" fillId="10"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7" fillId="10" borderId="0" xfId="0" applyNumberFormat="1" applyFont="1" applyFill="1" applyBorder="1" applyAlignment="1">
      <x:alignment horizontal="left" vertical="top" wrapText="1"/>
    </x:xf>
    <x:xf numFmtId="0" fontId="7" fillId="10" borderId="0" xfId="0" applyNumberFormat="1" applyFont="1" applyFill="1" applyBorder="1" applyAlignment="1">
      <x:alignment horizontal="left" vertical="center" wrapText="1"/>
    </x:xf>
    <x:xf numFmtId="0" fontId="1" fillId="11" borderId="0"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0" xfId="0" applyNumberFormat="1" applyFont="1" applyFill="1" applyBorder="1" applyAlignment="1">
      <x:alignment horizontal="left" vertical="top" wrapText="1"/>
    </x:xf>
    <x:xf numFmtId="0" fontId="7" fillId="11" borderId="0" xfId="0" applyNumberFormat="1" applyFont="1" applyFill="1" applyBorder="1" applyAlignment="1">
      <x:alignment horizontal="left" vertical="center" wrapText="1"/>
    </x:xf>
    <x:xf numFmtId="204" fontId="1" fillId="0" borderId="0" xfId="0" applyNumberFormat="1" applyFont="1" applyFill="1" applyBorder="1" applyAlignment="1">
      <x:alignment vertical="top" wrapText="1"/>
    </x:xf>
    <x:xf numFmtId="0" fontId="4" fillId="2" borderId="0" xfId="0" applyNumberFormat="1" applyFont="1" applyFill="1" applyBorder="1" applyAlignment="1">
      <x:alignment horizontal="left" vertical="top" wrapText="1"/>
    </x:xf>
    <x:xf numFmtId="0" fontId="4" fillId="2" borderId="0" xfId="0" applyNumberFormat="1" applyFont="1" applyFill="1" applyBorder="1" applyAlignment="1">
      <x:alignment horizontal="left" vertical="center" wrapText="1"/>
    </x:xf>
    <x:xf numFmtId="0" fontId="11" fillId="0" borderId="0" xfId="0" applyNumberFormat="1" applyFont="1" applyFill="1" applyBorder="1" applyAlignment="1">
      <x:alignment vertical="top" wrapText="1"/>
    </x:xf>
    <x:xf numFmtId="0" fontId="11" fillId="0" borderId="0" xfId="0" applyNumberFormat="1" applyFont="1" applyFill="1" applyBorder="1" applyAlignment="1">
      <x:alignment horizontal="left" vertical="top" wrapText="1"/>
    </x:xf>
    <x:xf numFmtId="0" fontId="11" fillId="0" borderId="0" xfId="0" applyNumberFormat="1" applyFont="1" applyFill="1" applyBorder="1" applyAlignment="1">
      <x:alignment horizontal="left" vertical="center" wrapText="1"/>
    </x:xf>
    <x:xf numFmtId="0" fontId="7" fillId="4" borderId="0" xfId="0" applyNumberFormat="1" applyFont="1" applyFill="1" applyBorder="1" applyAlignment="1">
      <x:alignment vertical="top" wrapText="1"/>
    </x:xf>
    <x:xf numFmtId="0" fontId="7" fillId="4" borderId="0" xfId="0" applyNumberFormat="1" applyFont="1" applyFill="1" applyBorder="1" applyAlignment="1">
      <x:alignment horizontal="left" vertical="top" wrapText="1"/>
    </x:xf>
    <x:xf numFmtId="0" fontId="7" fillId="4" borderId="0" xfId="0" applyNumberFormat="1" applyFont="1" applyFill="1" applyBorder="1" applyAlignment="1">
      <x:alignment horizontal="left" vertical="center" wrapText="1"/>
    </x:xf>
    <x:xf numFmtId="0" fontId="7" fillId="4" borderId="0" xfId="0" applyNumberFormat="1" applyFont="1" applyFill="1" applyBorder="1" applyAlignment="1">
      <x:alignment horizontal="right" vertical="top" wrapText="1"/>
    </x:xf>
    <x:xf numFmtId="0" fontId="7" fillId="4" borderId="0" xfId="0" applyNumberFormat="1" applyFont="1" applyFill="1" applyBorder="1" applyAlignment="1">
      <x:alignment horizontal="right" vertical="center" wrapText="1"/>
    </x:xf>
    <x:xf numFmtId="200" fontId="7" fillId="4" borderId="0" xfId="0" applyNumberFormat="1" applyFont="1" applyFill="1" applyBorder="1" applyAlignment="1">
      <x:alignment horizontal="left" vertical="center" wrapText="1"/>
    </x:xf>
    <x:xf numFmtId="201" fontId="7" fillId="4" borderId="0" xfId="0" applyNumberFormat="1" applyFont="1" applyFill="1" applyBorder="1" applyAlignment="1">
      <x:alignment horizontal="right" vertical="center" wrapText="1"/>
    </x:xf>
    <x:xf numFmtId="0" fontId="1" fillId="12" borderId="0" xfId="0" applyNumberFormat="1" applyFont="1" applyFill="1" applyBorder="1" applyAlignment="1">
      <x:alignment vertical="top" wrapText="1"/>
    </x:xf>
    <x:xf numFmtId="0" fontId="7" fillId="12" borderId="0" xfId="0" applyNumberFormat="1" applyFont="1" applyFill="1" applyBorder="1" applyAlignment="1">
      <x:alignment vertical="top" wrapText="1"/>
    </x:xf>
    <x:xf numFmtId="0" fontId="7" fillId="12" borderId="0" xfId="0" applyNumberFormat="1" applyFont="1" applyFill="1" applyBorder="1" applyAlignment="1">
      <x:alignment horizontal="left" vertical="top" wrapText="1"/>
    </x:xf>
    <x:xf numFmtId="0" fontId="7" fillId="12" borderId="0" xfId="0" applyNumberFormat="1" applyFont="1" applyFill="1" applyBorder="1" applyAlignment="1">
      <x:alignment horizontal="left" vertical="center" wrapText="1"/>
    </x:xf>
    <x:xf numFmtId="0" fontId="7" fillId="12" borderId="0" xfId="0" applyNumberFormat="1" applyFont="1" applyFill="1" applyBorder="1" applyAlignment="1">
      <x:alignment horizontal="right" vertical="top" wrapText="1"/>
    </x:xf>
    <x:xf numFmtId="0" fontId="7" fillId="12" borderId="0" xfId="0" applyNumberFormat="1" applyFont="1" applyFill="1" applyBorder="1" applyAlignment="1">
      <x:alignment horizontal="right" vertical="center" wrapText="1"/>
    </x:xf>
    <x:xf numFmtId="200" fontId="7" fillId="12" borderId="0" xfId="0" applyNumberFormat="1" applyFont="1" applyFill="1" applyBorder="1" applyAlignment="1">
      <x:alignment horizontal="left" vertical="center" wrapText="1"/>
    </x:xf>
    <x:xf numFmtId="201" fontId="7" fillId="12" borderId="0" xfId="0" applyNumberFormat="1" applyFont="1" applyFill="1" applyBorder="1" applyAlignment="1">
      <x:alignment horizontal="right" vertical="center" wrapText="1"/>
    </x:xf>
  </x:cellXfs>
  <x:cellStyles count="1">
    <x:cellStyle name="Normal" xfId="0"/>
  </x:cellStyles>
  <x:dxfs count="7">
    <x:dxf>
      <x:font>
        <x:b/>
        <x:color rgb="FF243447"/>
      </x:font>
      <x:fill>
        <x:patternFill patternType="solid">
          <x:bgColor rgb="FFE7F3E8"/>
        </x:patternFill>
      </x:fill>
    </x:dxf>
    <x:dxf>
      <x:font>
        <x:b/>
        <x:color rgb="FF243447"/>
      </x:font>
      <x:fill>
        <x:patternFill patternType="solid">
          <x:bgColor rgb="FFFFF0D8"/>
        </x:patternFill>
      </x:fill>
    </x:dxf>
    <x:dxf>
      <x:font>
        <x:b/>
        <x:color rgb="FF243447"/>
      </x:font>
      <x:fill>
        <x:patternFill patternType="solid">
          <x:bgColor rgb="FFE6F0F8"/>
        </x:patternFill>
      </x:fill>
    </x:dxf>
    <x:dxf>
      <x:font>
        <x:b/>
        <x:color rgb="FF243447"/>
      </x:font>
      <x:fill>
        <x:patternFill patternType="solid">
          <x:bgColor rgb="FFFCE8E6"/>
        </x:patternFill>
      </x:fill>
    </x:dxf>
    <x:dxf>
      <x:font>
        <x:b/>
        <x:color rgb="FF243447"/>
      </x:font>
      <x:fill>
        <x:patternFill patternType="solid">
          <x:bgColor rgb="FFECE8F4"/>
        </x:patternFill>
      </x:fill>
    </x:dxf>
    <x:dxf>
      <x:font>
        <x:b/>
        <x:color rgb="FF243447"/>
      </x:font>
      <x:fill>
        <x:patternFill patternType="solid">
          <x:bgColor rgb="FFE7E9EC"/>
        </x:patternFill>
      </x:fill>
    </x:dxf>
    <x:dxf>
      <x:font>
        <x:b/>
        <x:color rgb="FF243447"/>
      </x:font>
      <x:fill>
        <x:patternFill patternType="solid">
          <x:bgColor rgb="FFF0F0F0"/>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64892fbe65745af" /><Relationship Type="http://schemas.openxmlformats.org/officeDocument/2006/relationships/theme" Target="/xl/theme/theme1.xml" Id="Rc9d7cf23a18847d8" /><Relationship Type="http://schemas.openxmlformats.org/officeDocument/2006/relationships/sharedStrings" Target="/xl/sharedStrings.xml" Id="Rd04da371b67740fc" /><Relationship Type="http://schemas.openxmlformats.org/officeDocument/2006/relationships/worksheet" Target="/xl/worksheets/sheet1.xml" Id="R3f61498e16a446fe" /><Relationship Type="http://schemas.openxmlformats.org/officeDocument/2006/relationships/worksheet" Target="/xl/worksheets/sheet2.xml" Id="Rc6ae5031ce3e4c4b" /><Relationship Type="http://schemas.openxmlformats.org/officeDocument/2006/relationships/worksheet" Target="/xl/worksheets/sheet3.xml" Id="R1bb2823baced47d2" /><Relationship Type="http://schemas.openxmlformats.org/officeDocument/2006/relationships/worksheet" Target="/xl/worksheets/sheet4.xml" Id="Rbb59ce52e71d4042" /><Relationship Type="http://schemas.openxmlformats.org/officeDocument/2006/relationships/worksheet" Target="/xl/worksheets/sheet5.xml" Id="Rdf5893cd97dd44eb" /><Relationship Type="http://schemas.openxmlformats.org/officeDocument/2006/relationships/worksheet" Target="/xl/worksheets/sheet6.xml" Id="Rdccd1bb33d284cb2" /><Relationship Type="http://schemas.openxmlformats.org/officeDocument/2006/relationships/worksheet" Target="/xl/worksheets/sheet7.xml" Id="R9c55f5f2983944b7" /><Relationship Type="http://schemas.openxmlformats.org/officeDocument/2006/relationships/worksheet" Target="/xl/worksheets/sheet8.xml" Id="Refa1a1b1af584adb" /><Relationship Type="http://schemas.openxmlformats.org/officeDocument/2006/relationships/worksheet" Target="/xl/worksheets/sheet9.xml" Id="R2cd5ce6c1829400f" /><Relationship Type="http://schemas.openxmlformats.org/officeDocument/2006/relationships/worksheet" Target="/xl/worksheets/sheet10.xml" Id="R2c34f73a1c7a48b0" /></Relationships>
</file>

<file path=xl/drawings/_rels/drawing1.xml.rels>&#65279;<?xml version="1.0" encoding="utf-8"?><Relationships xmlns="http://schemas.openxmlformats.org/package/2006/relationships"><Relationship Type="http://schemas.openxmlformats.org/officeDocument/2006/relationships/chart" Target="/xl/drawings/charts/chart1.xml" Id="R0990168e8cde40e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75">
                <a:latin typeface="Arial"/>
                <a:ea typeface="Arial"/>
                <a:cs typeface="Arial"/>
              </a:rPr>
              <a:t>Groups by status</a:t>
            </a:r>
          </a:p>
        </c:rich>
      </c:tx>
      <c:overlay val="0"/>
      <c:txPr>
        <a:bodyPr xmlns:a="http://schemas.openxmlformats.org/drawingml/2006/main" anchorCtr="1"/>
        <a:lstStyle xmlns:a="http://schemas.openxmlformats.org/drawingml/2006/main"/>
        <a:p xmlns:a="http://schemas.openxmlformats.org/drawingml/2006/main">
          <a:pPr>
            <a:defRPr sz="975">
              <a:latin typeface="Arial"/>
              <a:ea typeface="Arial"/>
              <a:cs typeface="Arial"/>
            </a:defRPr>
          </a:pPr>
        </a:p>
      </c:txPr>
    </c:title>
    <c:plotArea>
      <c:barChart>
        <c:barDir val="col"/>
        <c:varyColors val="0"/>
        <c:ser>
          <c:idx val="0"/>
          <c:order val="0"/>
          <c:tx>
            <c:v>Groups</c:v>
          </c:tx>
          <c:spPr>
            <a:solidFill xmlns:a="http://schemas.openxmlformats.org/drawingml/2006/main">
              <a:srgbClr val="365F86"/>
            </a:solidFill>
          </c:spPr>
          <c:cat>
            <c:strRef>
              <c:f>'Dashboard'!$B$16:$B$22</c:f>
              <c:strCache>
                <c:ptCount val="0"/>
              </c:strCache>
            </c:strRef>
          </c:cat>
          <c:val>
            <c:numRef>
              <c:f>'Dashboard'!$E$16:$E$22</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5</xdr:row>
      <xdr:rowOff>0</xdr:rowOff>
    </xdr:from>
    <xdr:to>
      <xdr:col>14</xdr:col>
      <xdr:colOff>0</xdr:colOff>
      <xdr:row>23</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990168e8cde40e3"/>
        </a:graphicData>
      </a:graphic>
    </xdr:graphicFrame>
    <xdr:clientData/>
  </xdr:twoCellAnchor>
</xdr:wsDr>
</file>

<file path=xl/tables/table1.xml><?xml version="1.0" encoding="utf-8"?>
<x:table xmlns:x="http://schemas.openxmlformats.org/spreadsheetml/2006/main" id="1" name="GovernmentWorkingGroups" displayName="GovernmentWorkingGroups" ref="A5:AR127" headerRowCount="1" totalsRowCount="0" totalsRowShown="0">
  <x:autoFilter ref="A5:AR127"/>
  <x:tableColumns count="44">
    <x:tableColumn id="1" name="ID"/>
    <x:tableColumn id="2" name="Group name · Português"/>
    <x:tableColumn id="3" name="Status · Português"/>
    <x:tableColumn id="4" name="Delay · days"/>
    <x:tableColumn id="5" name="Government"/>
    <x:tableColumn id="6" name="Creating act"/>
    <x:tableColumn id="7" name="Creating act · click"/>
    <x:tableColumn id="8" name="DR publication date"/>
    <x:tableColumn id="9" name="Latest signature / adoption"/>
    <x:tableColumn id="10" name="In force / effective"/>
    <x:tableColumn id="11" name="Issuing ministries / Secretarias de Estado · original"/>
    <x:tableColumn id="12" name="Coordinator"/>
    <x:tableColumn id="13" name="Members · original Portuguese provisions"/>
    <x:tableColumn id="14" name="Policy area"/>
    <x:tableColumn id="15" name="Mission · English"/>
    <x:tableColumn id="16" name="Objective · original Português"/>
    <x:tableColumn id="17" name="Numbered objectives · original Português"/>
    <x:tableColumn id="18" name="Deadlines · summary and calculations"/>
    <x:tableColumn id="19" name="Original controlling date"/>
    <x:tableColumn id="20" name="Current controlling date"/>
    <x:tableColumn id="21" name="Controlling deadline · basis"/>
    <x:tableColumn id="22" name="Alternative counting date"/>
    <x:tableColumn id="23" name="Alternative delay · days"/>
    <x:tableColumn id="24" name="Participation · English"/>
    <x:tableColumn id="25" name="Participation · original clause"/>
    <x:tableColumn id="26" name="Status evidence · explanation"/>
    <x:tableColumn id="27" name="Evidence URLs · includes DR"/>
    <x:tableColumn id="28" name="Status source · click"/>
    <x:tableColumn id="29" name="Verified delivery date"/>
    <x:tableColumn id="30" name="Report / output evidence"/>
    <x:tableColumn id="31" name="Policy implementation · separate assessment"/>
    <x:tableColumn id="32" name="Policy evidence URLs"/>
    <x:tableColumn id="33" name="Extensions / amendments / replacements"/>
    <x:tableColumn id="34" name="Notes and limitations"/>
    <x:tableColumn id="35" name="What was searched"/>
    <x:tableColumn id="36" name="Last checked"/>
    <x:tableColumn id="37" name="All signature dates"/>
    <x:tableColumn id="38" name="Effective-date basis"/>
    <x:tableColumn id="39" name="Name / label basis"/>
    <x:tableColumn id="40" name="Normalised issuing portfolios · overlapping"/>
    <x:tableColumn id="41" name="Status benchmark"/>
    <x:tableColumn id="42" name="Delay qualification"/>
    <x:tableColumn id="43" name="Current-overdue rank · calculation"/>
    <x:tableColumn id="44" name="First occurrence of creating act · calculation"/>
  </x:tableColumns>
  <x:tableStyleInfo name="TableStyleLight9" showFirstColumn="0" showLastColumn="0" showRowStripes="1" showColumnStripes="0"/>
</x:table>
</file>

<file path=xl/tables/table2.xml><?xml version="1.0" encoding="utf-8"?>
<x:table xmlns:x="http://schemas.openxmlformats.org/spreadsheetml/2006/main" id="3" name="WorkingGroupDeadlines" displayName="WorkingGroupDeadlines" ref="A5:K446" headerRowCount="1" totalsRowCount="0" totalsRowShown="0">
  <x:autoFilter ref="A5:K446"/>
  <x:tableColumns count="11">
    <x:tableColumn id="1" name="Deadline ID"/>
    <x:tableColumn id="2" name="Group ID"/>
    <x:tableColumn id="3" name="Milestone / provision"/>
    <x:tableColumn id="4" name="Type / scope"/>
    <x:tableColumn id="5" name="Original Portuguese wording"/>
    <x:tableColumn id="6" name="Trigger / anchor"/>
    <x:tableColumn id="7" name="Calculated date / benchmark"/>
    <x:tableColumn id="8" name="Alternative date"/>
    <x:tableColumn id="9" name="Calculation / qualification"/>
    <x:tableColumn id="10" name="Source URL"/>
    <x:tableColumn id="11" name="Verification"/>
  </x:tableColumns>
  <x:tableStyleInfo name="TableStyleLight9" showFirstColumn="0" showLastColumn="0" showRowStripes="1" showColumnStripes="0"/>
</x:table>
</file>

<file path=xl/tables/table3.xml><?xml version="1.0" encoding="utf-8"?>
<x:table xmlns:x="http://schemas.openxmlformats.org/spreadsheetml/2006/main" id="2" name="WorkingGroupIssuingPortfolios" displayName="WorkingGroupIssuingPortfolios" ref="A5:E239" headerRowCount="1" totalsRowCount="0" totalsRowShown="0">
  <x:autoFilter ref="A5:E239"/>
  <x:tableColumns count="5">
    <x:tableColumn id="1" name="Group ID"/>
    <x:tableColumn id="2" name="Government"/>
    <x:tableColumn id="3" name="Normalised issuing portfolio"/>
    <x:tableColumn id="4" name="Original issuing ministries / offices"/>
    <x:tableColumn id="5" name="DR URL"/>
  </x:tableColumns>
  <x:tableStyleInfo name="TableStyleLight9" showFirstColumn="0" showLastColumn="0" showRowStripes="1" showColumnStripes="0"/>
</x:table>
</file>

<file path=xl/tables/table4.xml><?xml version="1.0" encoding="utf-8"?>
<x:table xmlns:x="http://schemas.openxmlformats.org/spreadsheetml/2006/main" id="4" name="RelatedGovernmentBodies" displayName="RelatedGovernmentBodies" ref="A5:H20" headerRowCount="1" totalsRowCount="0" totalsRowShown="0">
  <x:autoFilter ref="A5:H20"/>
  <x:tableColumns count="8">
    <x:tableColumn id="1" name="Body name · Português"/>
    <x:tableColumn id="2" name="Body type"/>
    <x:tableColumn id="3" name="Evidence act"/>
    <x:tableColumn id="4" name="Published"/>
    <x:tableColumn id="5" name="Issuing ministries / offices"/>
    <x:tableColumn id="6" name="Purpose / creating-act summary"/>
    <x:tableColumn id="7" name="Notes"/>
    <x:tableColumn id="8" name="DR URL"/>
  </x:tableColumns>
  <x:tableStyleInfo name="TableStyleLight9" showFirstColumn="0" showLastColumn="0" showRowStripes="1" showColumnStripes="0"/>
</x:table>
</file>

<file path=xl/tables/table5.xml><?xml version="1.0" encoding="utf-8"?>
<x:table xmlns:x="http://schemas.openxmlformats.org/spreadsheetml/2006/main" id="5" name="UnresolvedDiscoveryLeads" displayName="UnresolvedDiscoveryLeads" ref="A5:F14" headerRowCount="1" totalsRowCount="0" totalsRowShown="0">
  <x:autoFilter ref="A5:F14"/>
  <x:tableColumns count="6">
    <x:tableColumn id="1" name="Lead / scope record"/>
    <x:tableColumn id="2" name="Official evidence"/>
    <x:tableColumn id="3" name="Published / lead date"/>
    <x:tableColumn id="4" name="Why excluded from confirmed total"/>
    <x:tableColumn id="5" name="Record needed / next step"/>
    <x:tableColumn id="6" name="Official source URL(s)"/>
  </x:tableColumns>
  <x:tableStyleInfo name="TableStyleLight9" showFirstColumn="0" showLastColumn="0" showRowStripes="1" showColumnStripes="0"/>
</x:table>
</file>

<file path=xl/tables/table6.xml><?xml version="1.0" encoding="utf-8"?>
<x:table xmlns:x="http://schemas.openxmlformats.org/spreadsheetml/2006/main" id="6" name="MonthlyResearchCoverage" displayName="MonthlyResearchCoverage" ref="A5:J36" headerRowCount="1" totalsRowCount="0" totalsRowShown="0">
  <x:autoFilter ref="A5:J36"/>
  <x:tableColumns count="10">
    <x:tableColumn id="1" name="Publication month"/>
    <x:tableColumn id="2" name="From"/>
    <x:tableColumn id="3" name="Through"/>
    <x:tableColumn id="4" name="Distinct DR result URLs"/>
    <x:tableColumn id="5" name="Full shortlisted acts read"/>
    <x:tableColumn id="6" name="Creating acts found"/>
    <x:tableColumn id="7" name="Groups in register"/>
    <x:tableColumn id="8" name="XXIV"/>
    <x:tableColumn id="9" name="XXV"/>
    <x:tableColumn id="10" name="Coverage method / limits"/>
  </x:tableColumns>
  <x:tableStyleInfo name="TableStyleLight9" showFirstColumn="0" showLastColumn="0" showRowStripes="1" showColumnStripes="0"/>
</x:table>
</file>

<file path=xl/tables/table7.xml><?xml version="1.0" encoding="utf-8"?>
<x:table xmlns:x="http://schemas.openxmlformats.org/spreadsheetml/2006/main" id="7" name="ReviewedOfficialActs" displayName="ReviewedOfficialActs" ref="A5:G297" headerRowCount="1" totalsRowCount="0" totalsRowShown="0">
  <x:autoFilter ref="A5:G297"/>
  <x:tableColumns count="7">
    <x:tableColumn id="1" name="Act"/>
    <x:tableColumn id="2" name="Publication"/>
    <x:tableColumn id="3" name="Issuer"/>
    <x:tableColumn id="4" name="DR summary · Português"/>
    <x:tableColumn id="5" name="Research classification"/>
    <x:tableColumn id="6" name="Main-register group IDs"/>
    <x:tableColumn id="7" name="DR URL"/>
  </x:tableColumns>
  <x:tableStyleInfo name="TableStyleLight9" showFirstColumn="0" showLastColumn="0" showRowStripes="1" showColumnStripes="0"/>
</x:table>
</file>

<file path=xl/tables/table8.xml><?xml version="1.0" encoding="utf-8"?>
<x:table xmlns:x="http://schemas.openxmlformats.org/spreadsheetml/2006/main" id="8" name="OfficialOutcomeSearches" displayName="OfficialOutcomeSearches" ref="A5:F121" headerRowCount="1" totalsRowCount="0" totalsRowShown="0">
  <x:autoFilter ref="A5:F121"/>
  <x:tableColumns count="6">
    <x:tableColumn id="1" name="Checked"/>
    <x:tableColumn id="2" name="Group IDs"/>
    <x:tableColumn id="3" name="Exact official-source outcome query"/>
    <x:tableColumn id="4" name="Domain restrictions"/>
    <x:tableColumn id="5" name="Result / interpretation"/>
    <x:tableColumn id="6" name="Additional row-level evidence URLs"/>
  </x:tableColumns>
  <x:tableStyleInfo name="TableStyleLight9" showFirstColumn="0" showLastColumn="0" showRowStripes="1" showColumnStripes="0"/>
</x:table>
</file>

<file path=xl/tables/table9.xml><?xml version="1.0" encoding="utf-8"?>
<x:table xmlns:x="http://schemas.openxmlformats.org/spreadsheetml/2006/main" id="9" name="TrackerMethodology" displayName="TrackerMethodology" ref="A5:B26" headerRowCount="1" totalsRowCount="0" totalsRowShown="0">
  <x:autoFilter ref="A5:B26"/>
  <x:tableColumns count="2">
    <x:tableColumn id="1" name="Topic"/>
    <x:tableColumn id="2" name="Method / limitation"/>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4578acd16904c89" /></Relationships>
</file>

<file path=xl/worksheets/_rels/sheet2.xml.rels><?xml version='1.0' encoding='utf-8'?>
<ns0:Relationships xmlns:ns0="http://schemas.openxmlformats.org/package/2006/relationships"><ns0:Relationship Type="http://schemas.openxmlformats.org/officeDocument/2006/relationships/table" Target="/xl/tables/table1.xml" Id="R999c186e57ac49c4" /><ns0:Relationship Id="nativeLink1" Type="http://schemas.openxmlformats.org/officeDocument/2006/relationships/hyperlink" Target="https://diariodarepublica.pt/dr/detalhe/resolucao-conselho-ministros/68-2024-867194464" TargetMode="External" /><ns0:Relationship Id="nativeLink2" Type="http://schemas.openxmlformats.org/officeDocument/2006/relationships/hyperlink" Target="https://diariodarepublica.pt/dr/detalhe/resolucao-conselho-ministros/68-2024-867194464" TargetMode="External" /><ns0:Relationship Id="nativeLink3" Type="http://schemas.openxmlformats.org/officeDocument/2006/relationships/hyperlink" Target="https://diariodarepublica.pt/dr/detalhe/despacho/6475-2024-868409451" TargetMode="External" /><ns0:Relationship Id="nativeLink4" Type="http://schemas.openxmlformats.org/officeDocument/2006/relationships/hyperlink" Target="https://diariodarepublica.pt/dr/detalhe/despacho/6475-2024-868409451" TargetMode="External" /><ns0:Relationship Id="nativeLink5" Type="http://schemas.openxmlformats.org/officeDocument/2006/relationships/hyperlink" Target="https://diariodarepublica.pt/dr/detalhe/despacho/6563-2024-868447723" TargetMode="External" /><ns0:Relationship Id="nativeLink6" Type="http://schemas.openxmlformats.org/officeDocument/2006/relationships/hyperlink" Target="https://diariodarepublica.pt/dr/detalhe/despacho/6563-2024-868447723" TargetMode="External" /><ns0:Relationship Id="nativeLink7" Type="http://schemas.openxmlformats.org/officeDocument/2006/relationships/hyperlink" Target="https://diariodarepublica.pt/dr/detalhe/despacho/6564-2024-868447724" TargetMode="External" /><ns0:Relationship Id="nativeLink8" Type="http://schemas.openxmlformats.org/officeDocument/2006/relationships/hyperlink" Target="https://diariodarepublica.pt/dr/detalhe/despacho/8252-2024-873180042" TargetMode="External" /><ns0:Relationship Id="nativeLink9" Type="http://schemas.openxmlformats.org/officeDocument/2006/relationships/hyperlink" Target="https://diariodarepublica.pt/dr/detalhe/despacho/6757-a-2024-868812119" TargetMode="External" /><ns0:Relationship Id="nativeLink10" Type="http://schemas.openxmlformats.org/officeDocument/2006/relationships/hyperlink" Target="https://diariodarepublica.pt/dr/detalhe/despacho/6757-a-2024-868812119" TargetMode="External" /><ns0:Relationship Id="nativeLink11" Type="http://schemas.openxmlformats.org/officeDocument/2006/relationships/hyperlink" Target="https://diariodarepublica.pt/dr/detalhe/despacho/7321-2024-871047338" TargetMode="External" /><ns0:Relationship Id="nativeLink12" Type="http://schemas.openxmlformats.org/officeDocument/2006/relationships/hyperlink" Target="https://portugal.gov.pt/api/media/edge/Project/Portal-do-Governo/Portal-do-Governo/gc21/Files/Documentos/adenda-para-o-compromisso-2025-2026/adenda-ao-compromisso-de-cooperacao-para-2025-2026.pdf" TargetMode="External" /><ns0:Relationship Id="nativeLink13" Type="http://schemas.openxmlformats.org/officeDocument/2006/relationships/hyperlink" Target="https://diariodarepublica.pt/dr/detalhe/despacho/7613-2024-871760310" TargetMode="External" /><ns0:Relationship Id="nativeLink14" Type="http://schemas.openxmlformats.org/officeDocument/2006/relationships/hyperlink" Target="https://portugal.gov.pt/api/media/edge/Project/Portal-do-Governo/Portal-do-Governo/gc24/Files/Documentos/relatorio-final-de-mobilidade/relatorio_final_do_grupo_de_trabalho_para_estudo_analise_e_revisao_do_modelo_do_subsidio_social_de_mobilidade.pdf" TargetMode="External" /><ns0:Relationship Id="nativeLink15" Type="http://schemas.openxmlformats.org/officeDocument/2006/relationships/hyperlink" Target="https://diariodarepublica.pt/dr/detalhe/despacho/7821-2024-872108077" TargetMode="External" /><ns0:Relationship Id="nativeLink16" Type="http://schemas.openxmlformats.org/officeDocument/2006/relationships/hyperlink" Target="https://portugal.gov.pt/gc24/comunicacao/noticias/governo-lanca-estrategia-a-15-anos-para-garantir-resiliencia-hidrica" TargetMode="External" /><ns0:Relationship Id="nativeLink17" Type="http://schemas.openxmlformats.org/officeDocument/2006/relationships/hyperlink" Target="https://diariodarepublica.pt/dr/detalhe/despacho/8023-2024-872631226" TargetMode="External" /><ns0:Relationship Id="nativeLink18" Type="http://schemas.openxmlformats.org/officeDocument/2006/relationships/hyperlink" Target="https://diariodarepublica.pt/dr/detalhe/despacho/8023-2024-872631226" TargetMode="External" /><ns0:Relationship Id="nativeLink19" Type="http://schemas.openxmlformats.org/officeDocument/2006/relationships/hyperlink" Target="https://diariodarepublica.pt/dr/detalhe/despacho/8151-2024-873009448" TargetMode="External" /><ns0:Relationship Id="nativeLink20" Type="http://schemas.openxmlformats.org/officeDocument/2006/relationships/hyperlink" Target="https://diariodarepublica.pt/dr/detalhe/despacho/8151-2024-873009448" TargetMode="External" /><ns0:Relationship Id="nativeLink21" Type="http://schemas.openxmlformats.org/officeDocument/2006/relationships/hyperlink" Target="https://diariodarepublica.pt/dr/detalhe/despacho/8251-2024-873180041" TargetMode="External" /><ns0:Relationship Id="nativeLink22" Type="http://schemas.openxmlformats.org/officeDocument/2006/relationships/hyperlink" Target="https://diariodarepublica.pt/dr/detalhe/despacho/8251-2024-873180041" TargetMode="External" /><ns0:Relationship Id="nativeLink23" Type="http://schemas.openxmlformats.org/officeDocument/2006/relationships/hyperlink" Target="https://diariodarepublica.pt/dr/detalhe/despacho/8277-2024-873180289" TargetMode="External" /><ns0:Relationship Id="nativeLink24" Type="http://schemas.openxmlformats.org/officeDocument/2006/relationships/hyperlink" Target="https://www.dgartes.gov.pt/sites/default/files/manualdocandidato_bv25.pdf" TargetMode="External" /><ns0:Relationship Id="nativeLink25" Type="http://schemas.openxmlformats.org/officeDocument/2006/relationships/hyperlink" Target="https://diariodarepublica.pt/dr/detalhe/despacho/8335-2024-873447584" TargetMode="External" /><ns0:Relationship Id="nativeLink26" Type="http://schemas.openxmlformats.org/officeDocument/2006/relationships/hyperlink" Target="https://www.dgeg.gov.pt/pt/destaques/proposta-de-plano-de-acao/" TargetMode="External" /><ns0:Relationship Id="nativeLink27" Type="http://schemas.openxmlformats.org/officeDocument/2006/relationships/hyperlink" Target="https://diariodarepublica.pt/dr/detalhe/despacho/8591-2024-874078354" TargetMode="External" /><ns0:Relationship Id="nativeLink28" Type="http://schemas.openxmlformats.org/officeDocument/2006/relationships/hyperlink" Target="https://diariodarepublica.pt/dr/detalhe/despacho/8591-2024-874078354" TargetMode="External" /><ns0:Relationship Id="nativeLink29" Type="http://schemas.openxmlformats.org/officeDocument/2006/relationships/hyperlink" Target="https://diariodarepublica.pt/dr/detalhe/despacho/8914-a-2024-875716593" TargetMode="External" /><ns0:Relationship Id="nativeLink30" Type="http://schemas.openxmlformats.org/officeDocument/2006/relationships/hyperlink" Target="https://diariodarepublica.pt/dr/detalhe/decreto-lei/125-2025-962603401" TargetMode="External" /><ns0:Relationship Id="nativeLink31" Type="http://schemas.openxmlformats.org/officeDocument/2006/relationships/hyperlink" Target="https://diariodarepublica.pt/dr/detalhe/despacho/8972-2024-875838784" TargetMode="External" /><ns0:Relationship Id="nativeLink32" Type="http://schemas.openxmlformats.org/officeDocument/2006/relationships/hyperlink" Target="https://diariodarepublica.pt/dr/detalhe/resolucao-conselho-ministros/34-2025-909307237" TargetMode="External" /><ns0:Relationship Id="nativeLink33" Type="http://schemas.openxmlformats.org/officeDocument/2006/relationships/hyperlink" Target="https://diariodarepublica.pt/dr/detalhe/despacho/9075-a-2024-876110681" TargetMode="External" /><ns0:Relationship Id="nativeLink34" Type="http://schemas.openxmlformats.org/officeDocument/2006/relationships/hyperlink" Target="https://diariodarepublica.pt/dr/detalhe/despacho/9075-a-2024-876110681" TargetMode="External" /><ns0:Relationship Id="nativeLink35" Type="http://schemas.openxmlformats.org/officeDocument/2006/relationships/hyperlink" Target="https://diariodarepublica.pt/dr/detalhe/despacho/9123-2024-876110746" TargetMode="External" /><ns0:Relationship Id="nativeLink36" Type="http://schemas.openxmlformats.org/officeDocument/2006/relationships/hyperlink" Target="https://inpi.justica.gov.pt/Portals/6/PDF%20INPI/Relat%C3%B3rios%20de%20Atividades/inpi_relatorio_atividades_contas_2024.pdf?ver=SSi75RQ1aZwvUzNN6KTcGw%3D%3D" TargetMode="External" /><ns0:Relationship Id="nativeLink37" Type="http://schemas.openxmlformats.org/officeDocument/2006/relationships/hyperlink" Target="https://diariodarepublica.pt/dr/detalhe/despacho/9477-2024-884784995" TargetMode="External" /><ns0:Relationship Id="nativeLink38" Type="http://schemas.openxmlformats.org/officeDocument/2006/relationships/hyperlink" Target="https://diariodarepublica.pt/dr/detalhe/despacho/9477-2024-884784995" TargetMode="External" /><ns0:Relationship Id="nativeLink39" Type="http://schemas.openxmlformats.org/officeDocument/2006/relationships/hyperlink" Target="https://diariodarepublica.pt/dr/detalhe/despacho/9589-2024-884941463" TargetMode="External" /><ns0:Relationship Id="nativeLink40" Type="http://schemas.openxmlformats.org/officeDocument/2006/relationships/hyperlink" Target="https://diariodarepublica.pt/dr/detalhe/despacho/4750-2026-1084035716" TargetMode="External" /><ns0:Relationship Id="nativeLink41" Type="http://schemas.openxmlformats.org/officeDocument/2006/relationships/hyperlink" Target="https://diariodarepublica.pt/dr/detalhe/despacho/9648-2024-885027571" TargetMode="External" /><ns0:Relationship Id="nativeLink42" Type="http://schemas.openxmlformats.org/officeDocument/2006/relationships/hyperlink" Target="https://diariodarepublica.pt/dr/detalhe/resolucao-conselho-ministros/208-2024-901536082" TargetMode="External" /><ns0:Relationship Id="nativeLink43" Type="http://schemas.openxmlformats.org/officeDocument/2006/relationships/hyperlink" Target="https://diariodarepublica.pt/dr/detalhe/despacho/9649-2024-885027572" TargetMode="External" /><ns0:Relationship Id="nativeLink44" Type="http://schemas.openxmlformats.org/officeDocument/2006/relationships/hyperlink" Target="https://diariodarepublica.pt/dr/detalhe/despacho/9463-2025-928296838" TargetMode="External" /><ns0:Relationship Id="nativeLink45" Type="http://schemas.openxmlformats.org/officeDocument/2006/relationships/hyperlink" Target="https://diariodarepublica.pt/dr/detalhe/despacho/10208-a-2024-886333775" TargetMode="External" /><ns0:Relationship Id="nativeLink46" Type="http://schemas.openxmlformats.org/officeDocument/2006/relationships/hyperlink" Target="https://diariodarepublica.pt/dr/detalhe/despacho/10208-a-2024-886333775" TargetMode="External" /><ns0:Relationship Id="nativeLink47" Type="http://schemas.openxmlformats.org/officeDocument/2006/relationships/hyperlink" Target="https://diariodarepublica.pt/dr/detalhe/despacho/10294-c-2024-886385435" TargetMode="External" /><ns0:Relationship Id="nativeLink48" Type="http://schemas.openxmlformats.org/officeDocument/2006/relationships/hyperlink" Target="https://diariodarepublica.pt/dr/detalhe/despacho/10294-c-2024-886385435" TargetMode="External" /><ns0:Relationship Id="nativeLink49" Type="http://schemas.openxmlformats.org/officeDocument/2006/relationships/hyperlink" Target="https://diariodarepublica.pt/dr/detalhe/despacho/10294-c-2024-886385435" TargetMode="External" /><ns0:Relationship Id="nativeLink50" Type="http://schemas.openxmlformats.org/officeDocument/2006/relationships/hyperlink" Target="https://diariodarepublica.pt/dr/detalhe/despacho/10294-c-2024-886385435" TargetMode="External" /><ns0:Relationship Id="nativeLink51" Type="http://schemas.openxmlformats.org/officeDocument/2006/relationships/hyperlink" Target="https://diariodarepublica.pt/dr/detalhe/despacho/10294-c-2024-886385435" TargetMode="External" /><ns0:Relationship Id="nativeLink52" Type="http://schemas.openxmlformats.org/officeDocument/2006/relationships/hyperlink" Target="https://diariodarepublica.pt/dr/detalhe/despacho/10294-c-2024-886385435" TargetMode="External" /><ns0:Relationship Id="nativeLink53" Type="http://schemas.openxmlformats.org/officeDocument/2006/relationships/hyperlink" Target="https://diariodarepublica.pt/dr/detalhe/despacho/10559-2024-887067337" TargetMode="External" /><ns0:Relationship Id="nativeLink54" Type="http://schemas.openxmlformats.org/officeDocument/2006/relationships/hyperlink" Target="https://diariodarepublica.pt/dr/detalhe/despacho/10559-2024-887067337" TargetMode="External" /><ns0:Relationship Id="nativeLink55" Type="http://schemas.openxmlformats.org/officeDocument/2006/relationships/hyperlink" Target="https://diariodarepublica.pt/dr/detalhe/resolucao-conselho-ministros/126-a-2024-888218912" TargetMode="External" /><ns0:Relationship Id="nativeLink56" Type="http://schemas.openxmlformats.org/officeDocument/2006/relationships/hyperlink" Target="https://diariodarepublica.pt/dr/detalhe/resolucao-conselho-ministros/126-a-2024-888218912" TargetMode="External" /><ns0:Relationship Id="nativeLink57" Type="http://schemas.openxmlformats.org/officeDocument/2006/relationships/hyperlink" Target="https://diariodarepublica.pt/dr/detalhe/despacho/10989-2024-888216496" TargetMode="External" /><ns0:Relationship Id="nativeLink58" Type="http://schemas.openxmlformats.org/officeDocument/2006/relationships/hyperlink" Target="https://justica.gov.pt/Noticias/Perda-alargada-de-bens-anteprojeto-em-consulta-publica" TargetMode="External" /><ns0:Relationship Id="nativeLink59" Type="http://schemas.openxmlformats.org/officeDocument/2006/relationships/hyperlink" Target="https://diariodarepublica.pt/dr/detalhe/despacho/11152-2024-888560032" TargetMode="External" /><ns0:Relationship Id="nativeLink60" Type="http://schemas.openxmlformats.org/officeDocument/2006/relationships/hyperlink" Target="https://portugal.gov.pt/gc24/comunicacao/documentos/relatorio-do-grupo-de-trabalho-sobre-combate-ao-bullying-nas-escolas-" TargetMode="External" /><ns0:Relationship Id="nativeLink61" Type="http://schemas.openxmlformats.org/officeDocument/2006/relationships/hyperlink" Target="https://diariodarepublica.pt/dr/detalhe/despacho/11271-2024-888843218" TargetMode="External" /><ns0:Relationship Id="nativeLink62" Type="http://schemas.openxmlformats.org/officeDocument/2006/relationships/hyperlink" Target="https://diariodarepublica.pt/dr/detalhe/despacho/2701-2025-909150575" TargetMode="External" /><ns0:Relationship Id="nativeLink63" Type="http://schemas.openxmlformats.org/officeDocument/2006/relationships/hyperlink" Target="https://diariodarepublica.pt/dr/detalhe/despacho/11856-a-2024-890194538" TargetMode="External" /><ns0:Relationship Id="nativeLink64" Type="http://schemas.openxmlformats.org/officeDocument/2006/relationships/hyperlink" Target="https://diariodarepublica.pt/dr/detalhe/despacho/11856-a-2024-890194538" TargetMode="External" /><ns0:Relationship Id="nativeLink65" Type="http://schemas.openxmlformats.org/officeDocument/2006/relationships/hyperlink" Target="https://diariodarepublica.pt/dr/detalhe/despacho/12071-2024-890791825" TargetMode="External" /><ns0:Relationship Id="nativeLink66" Type="http://schemas.openxmlformats.org/officeDocument/2006/relationships/hyperlink" Target="https://diariodarepublica.pt/dr/detalhe/despacho/12071-2024-890791825" TargetMode="External" /><ns0:Relationship Id="nativeLink67" Type="http://schemas.openxmlformats.org/officeDocument/2006/relationships/hyperlink" Target="https://diariodarepublica.pt/dr/detalhe/despacho/12072-2024-890791826" TargetMode="External" /><ns0:Relationship Id="nativeLink68" Type="http://schemas.openxmlformats.org/officeDocument/2006/relationships/hyperlink" Target="https://diariodarepublica.pt/dr/detalhe/despacho/12072-2024-890791826" TargetMode="External" /><ns0:Relationship Id="nativeLink69" Type="http://schemas.openxmlformats.org/officeDocument/2006/relationships/hyperlink" Target="https://diariodarepublica.pt/dr/detalhe/despacho/12293-2024-891174394" TargetMode="External" /><ns0:Relationship Id="nativeLink70" Type="http://schemas.openxmlformats.org/officeDocument/2006/relationships/hyperlink" Target="https://diariodarepublica.pt/dr/detalhe/despacho/12293-2024-891174394" TargetMode="External" /><ns0:Relationship Id="nativeLink71" Type="http://schemas.openxmlformats.org/officeDocument/2006/relationships/hyperlink" Target="https://diariodarepublica.pt/dr/detalhe/despacho/12645-2024-892306790" TargetMode="External" /><ns0:Relationship Id="nativeLink72" Type="http://schemas.openxmlformats.org/officeDocument/2006/relationships/hyperlink" Target="https://diariodarepublica.pt/dr/detalhe/despacho/12645-2024-892306790" TargetMode="External" /><ns0:Relationship Id="nativeLink73" Type="http://schemas.openxmlformats.org/officeDocument/2006/relationships/hyperlink" Target="https://diariodarepublica.pt/dr/detalhe/despacho/12734-2024-892664373" TargetMode="External" /><ns0:Relationship Id="nativeLink74" Type="http://schemas.openxmlformats.org/officeDocument/2006/relationships/hyperlink" Target="https://portugal.gov.pt/gc25/comunicacao/comunicados/-portugal-entrega-a-bruxelas-dentro-do-prazo-plano-nacional-de-restauro-da-natureza-" TargetMode="External" /><ns0:Relationship Id="nativeLink75" Type="http://schemas.openxmlformats.org/officeDocument/2006/relationships/hyperlink" Target="https://diariodarepublica.pt/dr/detalhe/despacho/12964-2024-894207815" TargetMode="External" /><ns0:Relationship Id="nativeLink76" Type="http://schemas.openxmlformats.org/officeDocument/2006/relationships/hyperlink" Target="https://diariodarepublica.pt/dr/detalhe/despacho/12964-2024-894207815" TargetMode="External" /><ns0:Relationship Id="nativeLink77" Type="http://schemas.openxmlformats.org/officeDocument/2006/relationships/hyperlink" Target="https://diariodarepublica.pt/dr/detalhe/despacho/13345-2024-896165032" TargetMode="External" /><ns0:Relationship Id="nativeLink78" Type="http://schemas.openxmlformats.org/officeDocument/2006/relationships/hyperlink" Target="https://diariodarepublica.pt/dr/detalhe/despacho/12550-2025-942405334" TargetMode="External" /><ns0:Relationship Id="nativeLink79" Type="http://schemas.openxmlformats.org/officeDocument/2006/relationships/hyperlink" Target="https://diariodarepublica.pt/dr/detalhe/despacho/13355-2024-896165054" TargetMode="External" /><ns0:Relationship Id="nativeLink80" Type="http://schemas.openxmlformats.org/officeDocument/2006/relationships/hyperlink" Target="https://diariodarepublica.pt/dr/detalhe/despacho/13355-2024-896165054" TargetMode="External" /><ns0:Relationship Id="nativeLink81" Type="http://schemas.openxmlformats.org/officeDocument/2006/relationships/hyperlink" Target="https://diariodarepublica.pt/dr/detalhe/despacho/13583-2024-896828793" TargetMode="External" /><ns0:Relationship Id="nativeLink82" Type="http://schemas.openxmlformats.org/officeDocument/2006/relationships/hyperlink" Target="https://diariodarepublica.pt/dr/detalhe/despacho/3407-2025-911315599" TargetMode="External" /><ns0:Relationship Id="nativeLink83" Type="http://schemas.openxmlformats.org/officeDocument/2006/relationships/hyperlink" Target="https://diariodarepublica.pt/dr/detalhe/despacho/13786-2024-897217652" TargetMode="External" /><ns0:Relationship Id="nativeLink84" Type="http://schemas.openxmlformats.org/officeDocument/2006/relationships/hyperlink" Target="https://diariodarepublica.pt/dr/detalhe/despacho/35-2025-901693477" TargetMode="External" /><ns0:Relationship Id="nativeLink85" Type="http://schemas.openxmlformats.org/officeDocument/2006/relationships/hyperlink" Target="https://diariodarepublica.pt/dr/detalhe/despacho/13890-2024-897660800" TargetMode="External" /><ns0:Relationship Id="nativeLink86" Type="http://schemas.openxmlformats.org/officeDocument/2006/relationships/hyperlink" Target="https://diariodarepublica.pt/dr/detalhe/despacho/13890-2024-897660800" TargetMode="External" /><ns0:Relationship Id="nativeLink87" Type="http://schemas.openxmlformats.org/officeDocument/2006/relationships/hyperlink" Target="https://diariodarepublica.pt/dr/detalhe/despacho/13946-2024-897796652" TargetMode="External" /><ns0:Relationship Id="nativeLink88" Type="http://schemas.openxmlformats.org/officeDocument/2006/relationships/hyperlink" Target="https://diariodarepublica.pt/dr/detalhe/despacho/13946-2024-897796652" TargetMode="External" /><ns0:Relationship Id="nativeLink89" Type="http://schemas.openxmlformats.org/officeDocument/2006/relationships/hyperlink" Target="https://diariodarepublica.pt/dr/detalhe/despacho/14013-a-2024-897796612" TargetMode="External" /><ns0:Relationship Id="nativeLink90" Type="http://schemas.openxmlformats.org/officeDocument/2006/relationships/hyperlink" Target="https://diariodarepublica.pt/dr/detalhe/resolucao-conselho-ministros/181-2026-1171535220" TargetMode="External" /><ns0:Relationship Id="nativeLink91" Type="http://schemas.openxmlformats.org/officeDocument/2006/relationships/hyperlink" Target="https://diariodarepublica.pt/dr/detalhe/despacho/14284-2024-898695314" TargetMode="External" /><ns0:Relationship Id="nativeLink92" Type="http://schemas.openxmlformats.org/officeDocument/2006/relationships/hyperlink" Target="https://diariodarepublica.pt/dr/legislacao-consolidada/decreto-lei/2000-34461675-43510175" TargetMode="External" /><ns0:Relationship Id="nativeLink93" Type="http://schemas.openxmlformats.org/officeDocument/2006/relationships/hyperlink" Target="https://diariodarepublica.pt/dr/detalhe/despacho/14622-2024-899721530" TargetMode="External" /><ns0:Relationship Id="nativeLink94" Type="http://schemas.openxmlformats.org/officeDocument/2006/relationships/hyperlink" Target="https://www.etf.gov.pt/relatorios-see" TargetMode="External" /><ns0:Relationship Id="nativeLink95" Type="http://schemas.openxmlformats.org/officeDocument/2006/relationships/hyperlink" Target="https://diariodarepublica.pt/dr/detalhe/despacho/14758-2024-899911211" TargetMode="External" /><ns0:Relationship Id="nativeLink96" Type="http://schemas.openxmlformats.org/officeDocument/2006/relationships/hyperlink" Target="https://diariodarepublica.pt/dr/detalhe/despacho/14758-2024-899911211" TargetMode="External" /><ns0:Relationship Id="nativeLink97" Type="http://schemas.openxmlformats.org/officeDocument/2006/relationships/hyperlink" Target="https://diariodarepublica.pt/dr/detalhe/despacho/14926-2024-900549494" TargetMode="External" /><ns0:Relationship Id="nativeLink98" Type="http://schemas.openxmlformats.org/officeDocument/2006/relationships/hyperlink" Target="https://diariodarepublica.pt/dr/detalhe/despacho/3182-2025-910469452" TargetMode="External" /><ns0:Relationship Id="nativeLink99" Type="http://schemas.openxmlformats.org/officeDocument/2006/relationships/hyperlink" Target="https://diariodarepublica.pt/dr/detalhe/despacho/15073-2024-901014350" TargetMode="External" /><ns0:Relationship Id="nativeLink100" Type="http://schemas.openxmlformats.org/officeDocument/2006/relationships/hyperlink" Target="https://diariodarepublica.pt/dr/detalhe/despacho/15073-2024-901014350" TargetMode="External" /><ns0:Relationship Id="nativeLink101" Type="http://schemas.openxmlformats.org/officeDocument/2006/relationships/hyperlink" Target="https://diariodarepublica.pt/dr/detalhe/resolucao-conselho-ministros/207-2024-901536081" TargetMode="External" /><ns0:Relationship Id="nativeLink102" Type="http://schemas.openxmlformats.org/officeDocument/2006/relationships/hyperlink" Target="https://digital.gov.pt/pt/noticias/quinta-reuniao-comite-estrategico-do-cdap" TargetMode="External" /><ns0:Relationship Id="nativeLink103" Type="http://schemas.openxmlformats.org/officeDocument/2006/relationships/hyperlink" Target="https://diariodarepublica.pt/dr/detalhe/despacho/382-2025-902718273" TargetMode="External" /><ns0:Relationship Id="nativeLink104" Type="http://schemas.openxmlformats.org/officeDocument/2006/relationships/hyperlink" Target="https://diariodarepublica.pt/dr/detalhe/despacho/382-2025-902718273" TargetMode="External" /><ns0:Relationship Id="nativeLink105" Type="http://schemas.openxmlformats.org/officeDocument/2006/relationships/hyperlink" Target="https://diariodarepublica.pt/dr/detalhe/despacho/507-2025-902932710" TargetMode="External" /><ns0:Relationship Id="nativeLink106" Type="http://schemas.openxmlformats.org/officeDocument/2006/relationships/hyperlink" Target="https://diariodarepublica.pt/dr/detalhe/despacho/507-2025-902932710" TargetMode="External" /><ns0:Relationship Id="nativeLink107" Type="http://schemas.openxmlformats.org/officeDocument/2006/relationships/hyperlink" Target="https://diariodarepublica.pt/dr/detalhe/despacho/986-2025-904227444" TargetMode="External" /><ns0:Relationship Id="nativeLink108" Type="http://schemas.openxmlformats.org/officeDocument/2006/relationships/hyperlink" Target="https://diariodarepublica.pt/dr/detalhe/despacho/986-2025-904227444" TargetMode="External" /><ns0:Relationship Id="nativeLink109" Type="http://schemas.openxmlformats.org/officeDocument/2006/relationships/hyperlink" Target="https://diariodarepublica.pt/dr/detalhe/despacho/1116-2025-904738434" TargetMode="External" /><ns0:Relationship Id="nativeLink110" Type="http://schemas.openxmlformats.org/officeDocument/2006/relationships/hyperlink" Target="https://diariodarepublica.pt/dr/detalhe/despacho/1116-2025-904738434" TargetMode="External" /><ns0:Relationship Id="nativeLink111" Type="http://schemas.openxmlformats.org/officeDocument/2006/relationships/hyperlink" Target="https://diariodarepublica.pt/dr/detalhe/despacho/1391-2025-905459892" TargetMode="External" /><ns0:Relationship Id="nativeLink112" Type="http://schemas.openxmlformats.org/officeDocument/2006/relationships/hyperlink" Target="https://diariodarepublica.pt/dr/detalhe/despacho/1391-2025-905459892" TargetMode="External" /><ns0:Relationship Id="nativeLink113" Type="http://schemas.openxmlformats.org/officeDocument/2006/relationships/hyperlink" Target="https://diariodarepublica.pt/dr/detalhe/despacho/1452-2025-905659876" TargetMode="External" /><ns0:Relationship Id="nativeLink114" Type="http://schemas.openxmlformats.org/officeDocument/2006/relationships/hyperlink" Target="https://diariodarepublica.pt/dr/detalhe/despacho/5409-2026-1090795689" TargetMode="External" /><ns0:Relationship Id="nativeLink115" Type="http://schemas.openxmlformats.org/officeDocument/2006/relationships/hyperlink" Target="https://diariodarepublica.pt/dr/detalhe/despacho/1498-2025-905831257" TargetMode="External" /><ns0:Relationship Id="nativeLink116" Type="http://schemas.openxmlformats.org/officeDocument/2006/relationships/hyperlink" Target="https://diariodarepublica.pt/dr/detalhe/despacho/1498-2025-905831257" TargetMode="External" /><ns0:Relationship Id="nativeLink117" Type="http://schemas.openxmlformats.org/officeDocument/2006/relationships/hyperlink" Target="https://diariodarepublica.pt/dr/detalhe/despacho/2367-2025-908071163" TargetMode="External" /><ns0:Relationship Id="nativeLink118" Type="http://schemas.openxmlformats.org/officeDocument/2006/relationships/hyperlink" Target="https://diariodarepublica.pt/dr/detalhe/portaria/229-2025-918999082" TargetMode="External" /><ns0:Relationship Id="nativeLink119" Type="http://schemas.openxmlformats.org/officeDocument/2006/relationships/hyperlink" Target="https://diariodarepublica.pt/dr/detalhe/despacho/2820-2025-909307266" TargetMode="External" /><ns0:Relationship Id="nativeLink120" Type="http://schemas.openxmlformats.org/officeDocument/2006/relationships/hyperlink" Target="https://diariodarepublica.pt/dr/detalhe/despacho/7603-2026-1133518850" TargetMode="External" /><ns0:Relationship Id="nativeLink121" Type="http://schemas.openxmlformats.org/officeDocument/2006/relationships/hyperlink" Target="https://diariodarepublica.pt/dr/detalhe/despacho/2919-2025-909476563" TargetMode="External" /><ns0:Relationship Id="nativeLink122" Type="http://schemas.openxmlformats.org/officeDocument/2006/relationships/hyperlink" Target="https://diariodarepublica.pt/dr/detalhe/despacho/2919-2025-909476563" TargetMode="External" /><ns0:Relationship Id="nativeLink123" Type="http://schemas.openxmlformats.org/officeDocument/2006/relationships/hyperlink" Target="https://diariodarepublica.pt/dr/detalhe/despacho/2961-2025-909652643" TargetMode="External" /><ns0:Relationship Id="nativeLink124" Type="http://schemas.openxmlformats.org/officeDocument/2006/relationships/hyperlink" Target="https://diariodarepublica.pt/dr/detalhe/despacho/2961-2025-909652643" TargetMode="External" /><ns0:Relationship Id="nativeLink125" Type="http://schemas.openxmlformats.org/officeDocument/2006/relationships/hyperlink" Target="https://diariodarepublica.pt/dr/detalhe/despacho/3143-2025-910331597" TargetMode="External" /><ns0:Relationship Id="nativeLink126" Type="http://schemas.openxmlformats.org/officeDocument/2006/relationships/hyperlink" Target="https://diariodarepublica.pt/dr/detalhe/despacho/3143-2025-910331597" TargetMode="External" /><ns0:Relationship Id="nativeLink127" Type="http://schemas.openxmlformats.org/officeDocument/2006/relationships/hyperlink" Target="https://diariodarepublica.pt/dr/detalhe/despacho/3402-2025-911131353" TargetMode="External" /><ns0:Relationship Id="nativeLink128" Type="http://schemas.openxmlformats.org/officeDocument/2006/relationships/hyperlink" Target="https://diariodarepublica.pt/dr/detalhe/despacho/3402-2025-911131353" TargetMode="External" /><ns0:Relationship Id="nativeLink129" Type="http://schemas.openxmlformats.org/officeDocument/2006/relationships/hyperlink" Target="https://diariodarepublica.pt/dr/detalhe/despacho/3406-a-2025-911344585" TargetMode="External" /><ns0:Relationship Id="nativeLink130" Type="http://schemas.openxmlformats.org/officeDocument/2006/relationships/hyperlink" Target="https://diariodarepublica.pt/dr/detalhe/despacho/3406-a-2025-911344585" TargetMode="External" /><ns0:Relationship Id="nativeLink131" Type="http://schemas.openxmlformats.org/officeDocument/2006/relationships/hyperlink" Target="https://diariodarepublica.pt/dr/detalhe/despacho/3518-2025-911650069" TargetMode="External" /><ns0:Relationship Id="nativeLink132" Type="http://schemas.openxmlformats.org/officeDocument/2006/relationships/hyperlink" Target="https://diariodarepublica.pt/dr/detalhe/despacho/3518-2025-911650069" TargetMode="External" /><ns0:Relationship Id="nativeLink133" Type="http://schemas.openxmlformats.org/officeDocument/2006/relationships/hyperlink" Target="https://diariodarepublica.pt/dr/detalhe/despacho/3675-2025-911850448" TargetMode="External" /><ns0:Relationship Id="nativeLink134" Type="http://schemas.openxmlformats.org/officeDocument/2006/relationships/hyperlink" Target="https://diariodarepublica.pt/dr/detalhe/despacho/3675-2025-911850448" TargetMode="External" /><ns0:Relationship Id="nativeLink135" Type="http://schemas.openxmlformats.org/officeDocument/2006/relationships/hyperlink" Target="https://diariodarepublica.pt/dr/detalhe/despacho/3918-2025-912846496" TargetMode="External" /><ns0:Relationship Id="nativeLink136" Type="http://schemas.openxmlformats.org/officeDocument/2006/relationships/hyperlink" Target="https://diariodarepublica.pt/dr/detalhe/despacho/14188-2025-955733785" TargetMode="External" /><ns0:Relationship Id="nativeLink137" Type="http://schemas.openxmlformats.org/officeDocument/2006/relationships/hyperlink" Target="https://diariodarepublica.pt/dr/detalhe/despacho/5543-a-2025-918326433" TargetMode="External" /><ns0:Relationship Id="nativeLink138" Type="http://schemas.openxmlformats.org/officeDocument/2006/relationships/hyperlink" Target="https://diariodarepublica.pt/dr/detalhe/despacho/5543-a-2025-918326433" TargetMode="External" /><ns0:Relationship Id="nativeLink139" Type="http://schemas.openxmlformats.org/officeDocument/2006/relationships/hyperlink" Target="https://diariodarepublica.pt/dr/detalhe/despacho/5543-a-2025-918326433" TargetMode="External" /><ns0:Relationship Id="nativeLink140" Type="http://schemas.openxmlformats.org/officeDocument/2006/relationships/hyperlink" Target="https://diariodarepublica.pt/dr/detalhe/despacho/5543-a-2025-918326433" TargetMode="External" /><ns0:Relationship Id="nativeLink141" Type="http://schemas.openxmlformats.org/officeDocument/2006/relationships/hyperlink" Target="https://diariodarepublica.pt/dr/detalhe/despacho/5543-a-2025-918326433" TargetMode="External" /><ns0:Relationship Id="nativeLink142" Type="http://schemas.openxmlformats.org/officeDocument/2006/relationships/hyperlink" Target="https://diariodarepublica.pt/dr/detalhe/despacho/5543-a-2025-918326433" TargetMode="External" /><ns0:Relationship Id="nativeLink143" Type="http://schemas.openxmlformats.org/officeDocument/2006/relationships/hyperlink" Target="https://diariodarepublica.pt/dr/detalhe/despacho/5543-a-2025-918326433" TargetMode="External" /><ns0:Relationship Id="nativeLink144" Type="http://schemas.openxmlformats.org/officeDocument/2006/relationships/hyperlink" Target="https://diariodarepublica.pt/dr/detalhe/despacho/5543-a-2025-918326433" TargetMode="External" /><ns0:Relationship Id="nativeLink145" Type="http://schemas.openxmlformats.org/officeDocument/2006/relationships/hyperlink" Target="https://diariodarepublica.pt/dr/detalhe/despacho/5543-a-2025-918326433" TargetMode="External" /><ns0:Relationship Id="nativeLink146" Type="http://schemas.openxmlformats.org/officeDocument/2006/relationships/hyperlink" Target="https://diariodarepublica.pt/dr/detalhe/despacho/5543-a-2025-918326433" TargetMode="External" /><ns0:Relationship Id="nativeLink147" Type="http://schemas.openxmlformats.org/officeDocument/2006/relationships/hyperlink" Target="https://diariodarepublica.pt/dr/detalhe/despacho/5725-2025-918884615" TargetMode="External" /><ns0:Relationship Id="nativeLink148" Type="http://schemas.openxmlformats.org/officeDocument/2006/relationships/hyperlink" Target="https://diariodarepublica.pt/dr/detalhe/despacho/5725-2025-918884615" TargetMode="External" /><ns0:Relationship Id="nativeLink149" Type="http://schemas.openxmlformats.org/officeDocument/2006/relationships/hyperlink" Target="https://diariodarepublica.pt/dr/detalhe/resolucao-conselho-ministros/119-2025-928506357" TargetMode="External" /><ns0:Relationship Id="nativeLink150" Type="http://schemas.openxmlformats.org/officeDocument/2006/relationships/hyperlink" Target="https://diariodarepublica.pt/dr/detalhe/resolucao-conselho-ministros/119-2025-928506357" TargetMode="External" /><ns0:Relationship Id="nativeLink151" Type="http://schemas.openxmlformats.org/officeDocument/2006/relationships/hyperlink" Target="https://diariodarepublica.pt/dr/detalhe/despacho/9698-2025-928825171" TargetMode="External" /><ns0:Relationship Id="nativeLink152" Type="http://schemas.openxmlformats.org/officeDocument/2006/relationships/hyperlink" Target="https://diariodarepublica.pt/dr/detalhe/despacho/9698-2025-928825171" TargetMode="External" /><ns0:Relationship Id="nativeLink153" Type="http://schemas.openxmlformats.org/officeDocument/2006/relationships/hyperlink" Target="https://diariodarepublica.pt/dr/detalhe/despacho/9795-2025-932537244" TargetMode="External" /><ns0:Relationship Id="nativeLink154" Type="http://schemas.openxmlformats.org/officeDocument/2006/relationships/hyperlink" Target="https://diariodarepublica.pt/dr/detalhe/despacho/9795-2025-932537244" TargetMode="External" /><ns0:Relationship Id="nativeLink155" Type="http://schemas.openxmlformats.org/officeDocument/2006/relationships/hyperlink" Target="https://diariodarepublica.pt/dr/detalhe/despacho/9990-2025-932720961" TargetMode="External" /><ns0:Relationship Id="nativeLink156" Type="http://schemas.openxmlformats.org/officeDocument/2006/relationships/hyperlink" Target="https://diariodarepublica.pt/dr/detalhe/despacho/9990-2025-932720961" TargetMode="External" /><ns0:Relationship Id="nativeLink157" Type="http://schemas.openxmlformats.org/officeDocument/2006/relationships/hyperlink" Target="https://diariodarepublica.pt/dr/detalhe/despacho/10519-2025-934179787" TargetMode="External" /><ns0:Relationship Id="nativeLink158" Type="http://schemas.openxmlformats.org/officeDocument/2006/relationships/hyperlink" Target="https://diariodarepublica.pt/dr/detalhe/despacho/10519-2025-934179787" TargetMode="External" /><ns0:Relationship Id="nativeLink159" Type="http://schemas.openxmlformats.org/officeDocument/2006/relationships/hyperlink" Target="https://diariodarepublica.pt/dr/detalhe/despacho/10547-2025-934422161" TargetMode="External" /><ns0:Relationship Id="nativeLink160" Type="http://schemas.openxmlformats.org/officeDocument/2006/relationships/hyperlink" Target="https://diariodarepublica.pt/dr/detalhe/despacho/4643-2026-1082906758" TargetMode="External" /><ns0:Relationship Id="nativeLink161" Type="http://schemas.openxmlformats.org/officeDocument/2006/relationships/hyperlink" Target="https://diariodarepublica.pt/dr/detalhe/despacho/10662-2025-934744248" TargetMode="External" /><ns0:Relationship Id="nativeLink162" Type="http://schemas.openxmlformats.org/officeDocument/2006/relationships/hyperlink" Target="https://diariodarepublica.pt/dr/detalhe/despacho/10662-2025-934744248" TargetMode="External" /><ns0:Relationship Id="nativeLink163" Type="http://schemas.openxmlformats.org/officeDocument/2006/relationships/hyperlink" Target="https://diariodarepublica.pt/dr/detalhe/despacho/10903-2025-935441970" TargetMode="External" /><ns0:Relationship Id="nativeLink164" Type="http://schemas.openxmlformats.org/officeDocument/2006/relationships/hyperlink" Target="https://diariodarepublica.pt/dr/detalhe/despacho/10903-2025-935441970" TargetMode="External" /><ns0:Relationship Id="nativeLink165" Type="http://schemas.openxmlformats.org/officeDocument/2006/relationships/hyperlink" Target="https://diariodarepublica.pt/dr/detalhe/despacho/10918-2025-935495088" TargetMode="External" /><ns0:Relationship Id="nativeLink166" Type="http://schemas.openxmlformats.org/officeDocument/2006/relationships/hyperlink" Target="https://diariodarepublica.pt/dr/detalhe/despacho/10918-2025-935495088" TargetMode="External" /><ns0:Relationship Id="nativeLink167" Type="http://schemas.openxmlformats.org/officeDocument/2006/relationships/hyperlink" Target="https://diariodarepublica.pt/dr/detalhe/despacho/10945-2025-935495442" TargetMode="External" /><ns0:Relationship Id="nativeLink168" Type="http://schemas.openxmlformats.org/officeDocument/2006/relationships/hyperlink" Target="https://dges.gov.pt/pt/noticia/cnipes-divulga-relatorio-nacional-sobre-inteligencia-artificial-no-ensino-superior-e-propoe?canal=noticias" TargetMode="External" /><ns0:Relationship Id="nativeLink169" Type="http://schemas.openxmlformats.org/officeDocument/2006/relationships/hyperlink" Target="https://diariodarepublica.pt/dr/detalhe/despacho/11297-2025-936527063" TargetMode="External" /><ns0:Relationship Id="nativeLink170" Type="http://schemas.openxmlformats.org/officeDocument/2006/relationships/hyperlink" Target="https://diariodarepublica.pt/dr/detalhe/despacho/11297-2025-936527063" TargetMode="External" /><ns0:Relationship Id="nativeLink171" Type="http://schemas.openxmlformats.org/officeDocument/2006/relationships/hyperlink" Target="https://diariodarepublica.pt/dr/detalhe/despacho/11412-a-2025-937049215" TargetMode="External" /><ns0:Relationship Id="nativeLink172" Type="http://schemas.openxmlformats.org/officeDocument/2006/relationships/hyperlink" Target="https://diariodarepublica.pt/dr/detalhe/despacho/11412-a-2025-937049215" TargetMode="External" /><ns0:Relationship Id="nativeLink173" Type="http://schemas.openxmlformats.org/officeDocument/2006/relationships/hyperlink" Target="https://diariodarepublica.pt/dr/detalhe/despacho/11649-2025-937675961" TargetMode="External" /><ns0:Relationship Id="nativeLink174" Type="http://schemas.openxmlformats.org/officeDocument/2006/relationships/hyperlink" Target="https://diariodarepublica.pt/dr/detalhe/despacho/11649-2025-937675961" TargetMode="External" /><ns0:Relationship Id="nativeLink175" Type="http://schemas.openxmlformats.org/officeDocument/2006/relationships/hyperlink" Target="https://diariodarepublica.pt/dr/detalhe/despacho/11843-2025-938604558" TargetMode="External" /><ns0:Relationship Id="nativeLink176" Type="http://schemas.openxmlformats.org/officeDocument/2006/relationships/hyperlink" Target="https://diariodarepublica.pt/dr/detalhe/despacho/11843-2025-938604558" TargetMode="External" /><ns0:Relationship Id="nativeLink177" Type="http://schemas.openxmlformats.org/officeDocument/2006/relationships/hyperlink" Target="https://diariodarepublica.pt/dr/detalhe/resolucao-conselho-ministros/175-2025-945116919" TargetMode="External" /><ns0:Relationship Id="nativeLink178" Type="http://schemas.openxmlformats.org/officeDocument/2006/relationships/hyperlink" Target="https://wwwcdn.dges.gov.pt/sites/default/files/relatorio_gt_raparigas_nas_stem_vpublicacao.pdf" TargetMode="External" /><ns0:Relationship Id="nativeLink179" Type="http://schemas.openxmlformats.org/officeDocument/2006/relationships/hyperlink" Target="https://diariodarepublica.pt/dr/detalhe/despacho/14188-2025-955733785" TargetMode="External" /><ns0:Relationship Id="nativeLink180" Type="http://schemas.openxmlformats.org/officeDocument/2006/relationships/hyperlink" Target="https://diariodarepublica.pt/dr/detalhe/despacho/14188-2025-955733785" TargetMode="External" /><ns0:Relationship Id="nativeLink181" Type="http://schemas.openxmlformats.org/officeDocument/2006/relationships/hyperlink" Target="https://diariodarepublica.pt/dr/detalhe/despacho/14492-2025-962955481" TargetMode="External" /><ns0:Relationship Id="nativeLink182" Type="http://schemas.openxmlformats.org/officeDocument/2006/relationships/hyperlink" Target="https://diariodarepublica.pt/dr/detalhe/despacho/14492-2025-962955481" TargetMode="External" /><ns0:Relationship Id="nativeLink183" Type="http://schemas.openxmlformats.org/officeDocument/2006/relationships/hyperlink" Target="https://diariodarepublica.pt/dr/detalhe/despacho/14507-2025-962955516" TargetMode="External" /><ns0:Relationship Id="nativeLink184" Type="http://schemas.openxmlformats.org/officeDocument/2006/relationships/hyperlink" Target="https://www.dgav.pt/destaques/noticias/abertura-de-consulta-publica-plano-de-acao-nacional-para-o-uso-sustentavel-de-produtos-fitofarmaceuticos-2025-2030-2-a-revisao/" TargetMode="External" /><ns0:Relationship Id="nativeLink185" Type="http://schemas.openxmlformats.org/officeDocument/2006/relationships/hyperlink" Target="https://diariodarepublica.pt/dr/detalhe/despacho/15275-2025-992393997" TargetMode="External" /><ns0:Relationship Id="nativeLink186" Type="http://schemas.openxmlformats.org/officeDocument/2006/relationships/hyperlink" Target="https://diariodarepublica.pt/dr/detalhe/despacho/15275-2025-992393997" TargetMode="External" /><ns0:Relationship Id="nativeLink187" Type="http://schemas.openxmlformats.org/officeDocument/2006/relationships/hyperlink" Target="https://diariodarepublica.pt/dr/detalhe/despacho/15438-2025-992877961" TargetMode="External" /><ns0:Relationship Id="nativeLink188" Type="http://schemas.openxmlformats.org/officeDocument/2006/relationships/hyperlink" Target="https://diariodarepublica.pt/dr/detalhe/despacho/15438-2025-992877961" TargetMode="External" /><ns0:Relationship Id="nativeLink189" Type="http://schemas.openxmlformats.org/officeDocument/2006/relationships/hyperlink" Target="https://diariodarepublica.pt/dr/detalhe/despacho/661-2026-1016752446" TargetMode="External" /><ns0:Relationship Id="nativeLink190" Type="http://schemas.openxmlformats.org/officeDocument/2006/relationships/hyperlink" Target="https://diariodarepublica.pt/dr/detalhe/despacho/661-2026-1016752446" TargetMode="External" /><ns0:Relationship Id="nativeLink191" Type="http://schemas.openxmlformats.org/officeDocument/2006/relationships/hyperlink" Target="https://diariodarepublica.pt/dr/detalhe/despacho/831-2026-1022554176" TargetMode="External" /><ns0:Relationship Id="nativeLink192" Type="http://schemas.openxmlformats.org/officeDocument/2006/relationships/hyperlink" Target="https://diariodarepublica.pt/dr/detalhe/despacho/9701-2026-1153917423" TargetMode="External" /><ns0:Relationship Id="nativeLink193" Type="http://schemas.openxmlformats.org/officeDocument/2006/relationships/hyperlink" Target="https://diariodarepublica.pt/dr/detalhe/despacho/1994-2026-1051076689" TargetMode="External" /><ns0:Relationship Id="nativeLink194" Type="http://schemas.openxmlformats.org/officeDocument/2006/relationships/hyperlink" Target="https://portugal.gov.pt/pt/gc25/comunicacao/comunicados/governo-lanca-grande-debate-nacional-para-definicao-de-prioridades-de-investigacao-e-inovacao-no-ambito-da-ai2" TargetMode="External" /><ns0:Relationship Id="nativeLink195" Type="http://schemas.openxmlformats.org/officeDocument/2006/relationships/hyperlink" Target="https://diariodarepublica.pt/dr/detalhe/despacho/3089-2026-1070724105" TargetMode="External" /><ns0:Relationship Id="nativeLink196" Type="http://schemas.openxmlformats.org/officeDocument/2006/relationships/hyperlink" Target="https://diariodarepublica.pt/dr/detalhe/despacho/3089-2026-1070724105" TargetMode="External" /><ns0:Relationship Id="nativeLink197" Type="http://schemas.openxmlformats.org/officeDocument/2006/relationships/hyperlink" Target="https://diariodarepublica.pt/dr/detalhe/despacho/3317-2026-1071481467" TargetMode="External" /><ns0:Relationship Id="nativeLink198" Type="http://schemas.openxmlformats.org/officeDocument/2006/relationships/hyperlink" Target="https://portugal.gov.pt/pt/gc25/comunicacao/documentos/-relatorio-do-grupo-de-trabalho-proibicao-do-desenvolvimento-de-atividades-contrarias-aos-fins-visados-pelas-instituicoes-educativas" TargetMode="External" /><ns0:Relationship Id="nativeLink199" Type="http://schemas.openxmlformats.org/officeDocument/2006/relationships/hyperlink" Target="https://diariodarepublica.pt/dr/detalhe/despacho/3808-2026-1075988859" TargetMode="External" /><ns0:Relationship Id="nativeLink200" Type="http://schemas.openxmlformats.org/officeDocument/2006/relationships/hyperlink" Target="https://diariodarepublica.pt/dr/detalhe/despacho/3808-2026-1075988859" TargetMode="External" /><ns0:Relationship Id="nativeLink201" Type="http://schemas.openxmlformats.org/officeDocument/2006/relationships/hyperlink" Target="https://diariodarepublica.pt/dr/detalhe/despacho/3965-2026-1077349638" TargetMode="External" /><ns0:Relationship Id="nativeLink202" Type="http://schemas.openxmlformats.org/officeDocument/2006/relationships/hyperlink" Target="https://diariodarepublica.pt/dr/detalhe/despacho/3965-2026-1077349638" TargetMode="External" /><ns0:Relationship Id="nativeLink203" Type="http://schemas.openxmlformats.org/officeDocument/2006/relationships/hyperlink" Target="https://diariodarepublica.pt/dr/detalhe/despacho/4319-2026-1080930313" TargetMode="External" /><ns0:Relationship Id="nativeLink204" Type="http://schemas.openxmlformats.org/officeDocument/2006/relationships/hyperlink" Target="https://diariodarepublica.pt/dr/detalhe/despacho/4319-2026-1080930313" TargetMode="External" /><ns0:Relationship Id="nativeLink205" Type="http://schemas.openxmlformats.org/officeDocument/2006/relationships/hyperlink" Target="https://diariodarepublica.pt/dr/detalhe/despacho/4643-2026-1082906758" TargetMode="External" /><ns0:Relationship Id="nativeLink206" Type="http://schemas.openxmlformats.org/officeDocument/2006/relationships/hyperlink" Target="https://diariodarepublica.pt/dr/detalhe/despacho/4643-2026-1082906758" TargetMode="External" /><ns0:Relationship Id="nativeLink207" Type="http://schemas.openxmlformats.org/officeDocument/2006/relationships/hyperlink" Target="https://diariodarepublica.pt/dr/detalhe/despacho/4749-2026-1084035715" TargetMode="External" /><ns0:Relationship Id="nativeLink208" Type="http://schemas.openxmlformats.org/officeDocument/2006/relationships/hyperlink" Target="https://diariodarepublica.pt/dr/detalhe/despacho/4749-2026-1084035715" TargetMode="External" /><ns0:Relationship Id="nativeLink209" Type="http://schemas.openxmlformats.org/officeDocument/2006/relationships/hyperlink" Target="https://diariodarepublica.pt/dr/detalhe/despacho/5146-2026-1086825315" TargetMode="External" /><ns0:Relationship Id="nativeLink210" Type="http://schemas.openxmlformats.org/officeDocument/2006/relationships/hyperlink" Target="https://diariodarepublica.pt/dr/detalhe/despacho/5146-2026-1086825315" TargetMode="External" /><ns0:Relationship Id="nativeLink211" Type="http://schemas.openxmlformats.org/officeDocument/2006/relationships/hyperlink" Target="https://diariodarepublica.pt/dr/detalhe/despacho/5900-2026-1114075412" TargetMode="External" /><ns0:Relationship Id="nativeLink212" Type="http://schemas.openxmlformats.org/officeDocument/2006/relationships/hyperlink" Target="https://diariodarepublica.pt/dr/detalhe/despacho/5900-2026-1114075412" TargetMode="External" /><ns0:Relationship Id="nativeLink213" Type="http://schemas.openxmlformats.org/officeDocument/2006/relationships/hyperlink" Target="https://diariodarepublica.pt/dr/detalhe/despacho/6859-2026-1127910940" TargetMode="External" /><ns0:Relationship Id="nativeLink214" Type="http://schemas.openxmlformats.org/officeDocument/2006/relationships/hyperlink" Target="https://diariodarepublica.pt/dr/detalhe/despacho/6859-2026-1127910940" TargetMode="External" /><ns0:Relationship Id="nativeLink215" Type="http://schemas.openxmlformats.org/officeDocument/2006/relationships/hyperlink" Target="https://diariodarepublica.pt/dr/detalhe/despacho/6941-2026-1128499274" TargetMode="External" /><ns0:Relationship Id="nativeLink216" Type="http://schemas.openxmlformats.org/officeDocument/2006/relationships/hyperlink" Target="https://diariodarepublica.pt/dr/detalhe/despacho/6941-2026-1128499274" TargetMode="External" /><ns0:Relationship Id="nativeLink217" Type="http://schemas.openxmlformats.org/officeDocument/2006/relationships/hyperlink" Target="https://diariodarepublica.pt/dr/detalhe/despacho/7229-2026-1130120993" TargetMode="External" /><ns0:Relationship Id="nativeLink218" Type="http://schemas.openxmlformats.org/officeDocument/2006/relationships/hyperlink" Target="https://diariodarepublica.pt/dr/detalhe/despacho/7229-2026-1130120993" TargetMode="External" /><ns0:Relationship Id="nativeLink219" Type="http://schemas.openxmlformats.org/officeDocument/2006/relationships/hyperlink" Target="https://diariodarepublica.pt/dr/detalhe/despacho/7381-2026-1131612628" TargetMode="External" /><ns0:Relationship Id="nativeLink220" Type="http://schemas.openxmlformats.org/officeDocument/2006/relationships/hyperlink" Target="https://diariodarepublica.pt/dr/detalhe/despacho/7381-2026-1131612628" TargetMode="External" /><ns0:Relationship Id="nativeLink221" Type="http://schemas.openxmlformats.org/officeDocument/2006/relationships/hyperlink" Target="https://diariodarepublica.pt/dr/detalhe/despacho/7541-2026-1132818510" TargetMode="External" /><ns0:Relationship Id="nativeLink222" Type="http://schemas.openxmlformats.org/officeDocument/2006/relationships/hyperlink" Target="https://diariodarepublica.pt/dr/detalhe/despacho/7541-2026-1132818510" TargetMode="External" /><ns0:Relationship Id="nativeLink223" Type="http://schemas.openxmlformats.org/officeDocument/2006/relationships/hyperlink" Target="https://diariodarepublica.pt/dr/detalhe/despacho/7542-2026-1132818511" TargetMode="External" /><ns0:Relationship Id="nativeLink224" Type="http://schemas.openxmlformats.org/officeDocument/2006/relationships/hyperlink" Target="https://diariodarepublica.pt/dr/detalhe/despacho/7542-2026-1132818511" TargetMode="External" /><ns0:Relationship Id="nativeLink225" Type="http://schemas.openxmlformats.org/officeDocument/2006/relationships/hyperlink" Target="https://diariodarepublica.pt/dr/detalhe/despacho/7543-2026-1132818512" TargetMode="External" /><ns0:Relationship Id="nativeLink226" Type="http://schemas.openxmlformats.org/officeDocument/2006/relationships/hyperlink" Target="https://diariodarepublica.pt/dr/detalhe/despacho/7543-2026-1132818512" TargetMode="External" /><ns0:Relationship Id="nativeLink227" Type="http://schemas.openxmlformats.org/officeDocument/2006/relationships/hyperlink" Target="https://diariodarepublica.pt/dr/detalhe/despacho/7650-2026-1133910824" TargetMode="External" /><ns0:Relationship Id="nativeLink228" Type="http://schemas.openxmlformats.org/officeDocument/2006/relationships/hyperlink" Target="https://diariodarepublica.pt/dr/detalhe/despacho/7650-2026-1133910824" TargetMode="External" /><ns0:Relationship Id="nativeLink229" Type="http://schemas.openxmlformats.org/officeDocument/2006/relationships/hyperlink" Target="https://diariodarepublica.pt/dr/detalhe/despacho/7971-2026-1138363947" TargetMode="External" /><ns0:Relationship Id="nativeLink230" Type="http://schemas.openxmlformats.org/officeDocument/2006/relationships/hyperlink" Target="https://diariodarepublica.pt/dr/detalhe/despacho/7971-2026-1138363947" TargetMode="External" /><ns0:Relationship Id="nativeLink231" Type="http://schemas.openxmlformats.org/officeDocument/2006/relationships/hyperlink" Target="https://diariodarepublica.pt/dr/detalhe/resolucao-conselho-ministros/144-2026-1147043702" TargetMode="External" /><ns0:Relationship Id="nativeLink232" Type="http://schemas.openxmlformats.org/officeDocument/2006/relationships/hyperlink" Target="https://diariodarepublica.pt/dr/detalhe/resolucao-conselho-ministros/144-2026-1147043702" TargetMode="External" /><ns0:Relationship Id="nativeLink233" Type="http://schemas.openxmlformats.org/officeDocument/2006/relationships/hyperlink" Target="https://diariodarepublica.pt/dr/detalhe/despacho/8971-2026-1148259710" TargetMode="External" /><ns0:Relationship Id="nativeLink234" Type="http://schemas.openxmlformats.org/officeDocument/2006/relationships/hyperlink" Target="https://diariodarepublica.pt/dr/detalhe/despacho/8971-2026-1148259710" TargetMode="External" /><ns0:Relationship Id="nativeLink235" Type="http://schemas.openxmlformats.org/officeDocument/2006/relationships/hyperlink" Target="https://diariodarepublica.pt/dr/detalhe/despacho/9999-2026-1155101848" TargetMode="External" /><ns0:Relationship Id="nativeLink236" Type="http://schemas.openxmlformats.org/officeDocument/2006/relationships/hyperlink" Target="https://diariodarepublica.pt/dr/detalhe/despacho/9999-2026-1155101848" TargetMode="External" /><ns0:Relationship Id="nativeLink237" Type="http://schemas.openxmlformats.org/officeDocument/2006/relationships/hyperlink" Target="https://diariodarepublica.pt/dr/detalhe/despacho/10174-2026-1156689146" TargetMode="External" /><ns0:Relationship Id="nativeLink238" Type="http://schemas.openxmlformats.org/officeDocument/2006/relationships/hyperlink" Target="https://diariodarepublica.pt/dr/detalhe/despacho/10174-2026-1156689146" TargetMode="External" /><ns0:Relationship Id="nativeLink239" Type="http://schemas.openxmlformats.org/officeDocument/2006/relationships/hyperlink" Target="https://diariodarepublica.pt/dr/detalhe/despacho/11130-2026-1168075404" TargetMode="External" /><ns0:Relationship Id="nativeLink240" Type="http://schemas.openxmlformats.org/officeDocument/2006/relationships/hyperlink" Target="https://diariodarepublica.pt/dr/detalhe/despacho/11130-2026-1168075404" TargetMode="External" /><ns0:Relationship Id="nativeLink241" Type="http://schemas.openxmlformats.org/officeDocument/2006/relationships/hyperlink" Target="https://diariodarepublica.pt/dr/detalhe/despacho/11488-2026-1171481959" TargetMode="External" /><ns0:Relationship Id="nativeLink242" Type="http://schemas.openxmlformats.org/officeDocument/2006/relationships/hyperlink" Target="https://diariodarepublica.pt/dr/detalhe/despacho/11488-2026-1171481959" TargetMode="External" /><ns0:Relationship Id="nativeLink243" Type="http://schemas.openxmlformats.org/officeDocument/2006/relationships/hyperlink" Target="https://diariodarepublica.pt/dr/detalhe/despacho/11672-2026-1172867984" TargetMode="External" /><ns0:Relationship Id="nativeLink244" Type="http://schemas.openxmlformats.org/officeDocument/2006/relationships/hyperlink" Target="https://diariodarepublica.pt/dr/detalhe/despacho/11672-2026-1172867984" TargetMode="External" /></ns0:Relationships>
</file>

<file path=xl/worksheets/_rels/sheet3.xml.rels><?xml version='1.0' encoding='utf-8'?>
<ns0:Relationships xmlns:ns0="http://schemas.openxmlformats.org/package/2006/relationships"><ns0:Relationship Type="http://schemas.openxmlformats.org/officeDocument/2006/relationships/table" Target="/xl/tables/table2.xml" Id="R7b6693b6ab2943ff" /><ns0:Relationship Id="nativeLink1" Type="http://schemas.openxmlformats.org/officeDocument/2006/relationships/hyperlink" Target="https://diariodarepublica.pt/dr/detalhe/resolucao-conselho-ministros/68-2024-867194464" TargetMode="External" /><ns0:Relationship Id="nativeLink2" Type="http://schemas.openxmlformats.org/officeDocument/2006/relationships/hyperlink" Target="https://diariodarepublica.pt/dr/detalhe/resolucao-conselho-ministros/68-2024-867194464" TargetMode="External" /><ns0:Relationship Id="nativeLink3" Type="http://schemas.openxmlformats.org/officeDocument/2006/relationships/hyperlink" Target="https://diariodarepublica.pt/dr/detalhe/resolucao-conselho-ministros/68-2024-867194464" TargetMode="External" /><ns0:Relationship Id="nativeLink4" Type="http://schemas.openxmlformats.org/officeDocument/2006/relationships/hyperlink" Target="https://diariodarepublica.pt/dr/detalhe/resolucao-conselho-ministros/68-2024-867194464" TargetMode="External" /><ns0:Relationship Id="nativeLink5" Type="http://schemas.openxmlformats.org/officeDocument/2006/relationships/hyperlink" Target="https://diariodarepublica.pt/dr/detalhe/resolucao-conselho-ministros/68-2024-867194464" TargetMode="External" /><ns0:Relationship Id="nativeLink6" Type="http://schemas.openxmlformats.org/officeDocument/2006/relationships/hyperlink" Target="https://diariodarepublica.pt/dr/detalhe/resolucao-conselho-ministros/68-2024-867194464" TargetMode="External" /><ns0:Relationship Id="nativeLink7" Type="http://schemas.openxmlformats.org/officeDocument/2006/relationships/hyperlink" Target="https://diariodarepublica.pt/dr/detalhe/resolucao-conselho-ministros/68-2024-867194464" TargetMode="External" /><ns0:Relationship Id="nativeLink8" Type="http://schemas.openxmlformats.org/officeDocument/2006/relationships/hyperlink" Target="https://diariodarepublica.pt/dr/detalhe/despacho/6475-2024-868409451" TargetMode="External" /><ns0:Relationship Id="nativeLink9" Type="http://schemas.openxmlformats.org/officeDocument/2006/relationships/hyperlink" Target="https://diariodarepublica.pt/dr/detalhe/despacho/6475-2024-868409451" TargetMode="External" /><ns0:Relationship Id="nativeLink10" Type="http://schemas.openxmlformats.org/officeDocument/2006/relationships/hyperlink" Target="https://diariodarepublica.pt/dr/detalhe/despacho/6563-2024-868447723" TargetMode="External" /><ns0:Relationship Id="nativeLink11" Type="http://schemas.openxmlformats.org/officeDocument/2006/relationships/hyperlink" Target="https://diariodarepublica.pt/dr/detalhe/despacho/6563-2024-868447723" TargetMode="External" /><ns0:Relationship Id="nativeLink12" Type="http://schemas.openxmlformats.org/officeDocument/2006/relationships/hyperlink" Target="https://diariodarepublica.pt/dr/detalhe/despacho/6563-2024-868447723" TargetMode="External" /><ns0:Relationship Id="nativeLink13" Type="http://schemas.openxmlformats.org/officeDocument/2006/relationships/hyperlink" Target="https://diariodarepublica.pt/dr/detalhe/despacho/6757-a-2024-868812119" TargetMode="External" /><ns0:Relationship Id="nativeLink14" Type="http://schemas.openxmlformats.org/officeDocument/2006/relationships/hyperlink" Target="https://diariodarepublica.pt/dr/detalhe/despacho/6757-a-2024-868812119" TargetMode="External" /><ns0:Relationship Id="nativeLink15" Type="http://schemas.openxmlformats.org/officeDocument/2006/relationships/hyperlink" Target="https://diariodarepublica.pt/dr/detalhe/despacho/6757-a-2024-868812119" TargetMode="External" /><ns0:Relationship Id="nativeLink16" Type="http://schemas.openxmlformats.org/officeDocument/2006/relationships/hyperlink" Target="https://diariodarepublica.pt/dr/detalhe/despacho/6757-a-2024-868812119" TargetMode="External" /><ns0:Relationship Id="nativeLink17" Type="http://schemas.openxmlformats.org/officeDocument/2006/relationships/hyperlink" Target="https://diariodarepublica.pt/dr/detalhe/despacho/6757-a-2024-868812119" TargetMode="External" /><ns0:Relationship Id="nativeLink18" Type="http://schemas.openxmlformats.org/officeDocument/2006/relationships/hyperlink" Target="https://diariodarepublica.pt/dr/detalhe/despacho/6757-a-2024-868812119" TargetMode="External" /><ns0:Relationship Id="nativeLink19" Type="http://schemas.openxmlformats.org/officeDocument/2006/relationships/hyperlink" Target="https://diariodarepublica.pt/dr/detalhe/despacho/6757-a-2024-868812119" TargetMode="External" /><ns0:Relationship Id="nativeLink20" Type="http://schemas.openxmlformats.org/officeDocument/2006/relationships/hyperlink" Target="https://diariodarepublica.pt/dr/detalhe/despacho/6757-a-2024-868812119" TargetMode="External" /><ns0:Relationship Id="nativeLink21" Type="http://schemas.openxmlformats.org/officeDocument/2006/relationships/hyperlink" Target="https://diariodarepublica.pt/dr/detalhe/despacho/6757-a-2024-868812119" TargetMode="External" /><ns0:Relationship Id="nativeLink22" Type="http://schemas.openxmlformats.org/officeDocument/2006/relationships/hyperlink" Target="https://diariodarepublica.pt/dr/detalhe/despacho/7321-2024-871047338" TargetMode="External" /><ns0:Relationship Id="nativeLink23" Type="http://schemas.openxmlformats.org/officeDocument/2006/relationships/hyperlink" Target="https://diariodarepublica.pt/dr/detalhe/despacho/7321-2024-871047338" TargetMode="External" /><ns0:Relationship Id="nativeLink24" Type="http://schemas.openxmlformats.org/officeDocument/2006/relationships/hyperlink" Target="https://diariodarepublica.pt/dr/detalhe/despacho/7321-2024-871047338" TargetMode="External" /><ns0:Relationship Id="nativeLink25" Type="http://schemas.openxmlformats.org/officeDocument/2006/relationships/hyperlink" Target="https://diariodarepublica.pt/dr/detalhe/despacho/7321-2024-871047338" TargetMode="External" /><ns0:Relationship Id="nativeLink26" Type="http://schemas.openxmlformats.org/officeDocument/2006/relationships/hyperlink" Target="https://diariodarepublica.pt/dr/detalhe/despacho/7613-2024-871760310" TargetMode="External" /><ns0:Relationship Id="nativeLink27" Type="http://schemas.openxmlformats.org/officeDocument/2006/relationships/hyperlink" Target="https://portugal.gov.pt/api/media/edge/Project/Portal-do-Governo/Portal-do-Governo/gc24/Files/Documentos/relatorio-final-de-mobilidade/relatorio_final_do_grupo_de_trabalho_para_estudo_analise_e_revisao_do_modelo_do_subsidio_social_de_mobilidade.pdf" TargetMode="External" /><ns0:Relationship Id="nativeLink28" Type="http://schemas.openxmlformats.org/officeDocument/2006/relationships/hyperlink" Target="https://diariodarepublica.pt/dr/detalhe/despacho/7821-2024-872108077" TargetMode="External" /><ns0:Relationship Id="nativeLink29" Type="http://schemas.openxmlformats.org/officeDocument/2006/relationships/hyperlink" Target="https://diariodarepublica.pt/dr/detalhe/despacho/7821-2024-872108077" TargetMode="External" /><ns0:Relationship Id="nativeLink30" Type="http://schemas.openxmlformats.org/officeDocument/2006/relationships/hyperlink" Target="https://diariodarepublica.pt/dr/detalhe/despacho/8023-2024-872631226" TargetMode="External" /><ns0:Relationship Id="nativeLink31" Type="http://schemas.openxmlformats.org/officeDocument/2006/relationships/hyperlink" Target="https://diariodarepublica.pt/dr/detalhe/despacho/8023-2024-872631226" TargetMode="External" /><ns0:Relationship Id="nativeLink32" Type="http://schemas.openxmlformats.org/officeDocument/2006/relationships/hyperlink" Target="https://diariodarepublica.pt/dr/detalhe/despacho/8023-2024-872631226" TargetMode="External" /><ns0:Relationship Id="nativeLink33" Type="http://schemas.openxmlformats.org/officeDocument/2006/relationships/hyperlink" Target="https://diariodarepublica.pt/dr/detalhe/despacho/8023-2024-872631226" TargetMode="External" /><ns0:Relationship Id="nativeLink34" Type="http://schemas.openxmlformats.org/officeDocument/2006/relationships/hyperlink" Target="https://diariodarepublica.pt/dr/detalhe/despacho/8023-2024-872631226" TargetMode="External" /><ns0:Relationship Id="nativeLink35" Type="http://schemas.openxmlformats.org/officeDocument/2006/relationships/hyperlink" Target="https://diariodarepublica.pt/dr/detalhe/despacho/8151-2024-873009448" TargetMode="External" /><ns0:Relationship Id="nativeLink36" Type="http://schemas.openxmlformats.org/officeDocument/2006/relationships/hyperlink" Target="https://diariodarepublica.pt/dr/detalhe/despacho/8151-2024-873009448" TargetMode="External" /><ns0:Relationship Id="nativeLink37" Type="http://schemas.openxmlformats.org/officeDocument/2006/relationships/hyperlink" Target="https://diariodarepublica.pt/dr/detalhe/despacho/8251-2024-873180041" TargetMode="External" /><ns0:Relationship Id="nativeLink38" Type="http://schemas.openxmlformats.org/officeDocument/2006/relationships/hyperlink" Target="https://diariodarepublica.pt/dr/detalhe/despacho/8251-2024-873180041" TargetMode="External" /><ns0:Relationship Id="nativeLink39" Type="http://schemas.openxmlformats.org/officeDocument/2006/relationships/hyperlink" Target="https://diariodarepublica.pt/dr/detalhe/despacho/8251-2024-873180041" TargetMode="External" /><ns0:Relationship Id="nativeLink40" Type="http://schemas.openxmlformats.org/officeDocument/2006/relationships/hyperlink" Target="https://diariodarepublica.pt/dr/detalhe/despacho/8277-2024-873180289" TargetMode="External" /><ns0:Relationship Id="nativeLink41" Type="http://schemas.openxmlformats.org/officeDocument/2006/relationships/hyperlink" Target="https://diariodarepublica.pt/dr/detalhe/despacho/8277-2024-873180289" TargetMode="External" /><ns0:Relationship Id="nativeLink42" Type="http://schemas.openxmlformats.org/officeDocument/2006/relationships/hyperlink" Target="https://diariodarepublica.pt/dr/detalhe/despacho/8277-2024-873180289" TargetMode="External" /><ns0:Relationship Id="nativeLink43" Type="http://schemas.openxmlformats.org/officeDocument/2006/relationships/hyperlink" Target="https://diariodarepublica.pt/dr/detalhe/despacho/8335-2024-873447584" TargetMode="External" /><ns0:Relationship Id="nativeLink44" Type="http://schemas.openxmlformats.org/officeDocument/2006/relationships/hyperlink" Target="https://diariodarepublica.pt/dr/detalhe/despacho/8335-2024-873447584" TargetMode="External" /><ns0:Relationship Id="nativeLink45" Type="http://schemas.openxmlformats.org/officeDocument/2006/relationships/hyperlink" Target="https://diariodarepublica.pt/dr/detalhe/despacho/8335-2024-873447584" TargetMode="External" /><ns0:Relationship Id="nativeLink46" Type="http://schemas.openxmlformats.org/officeDocument/2006/relationships/hyperlink" Target="https://diariodarepublica.pt/dr/detalhe/despacho/8335-2024-873447584" TargetMode="External" /><ns0:Relationship Id="nativeLink47" Type="http://schemas.openxmlformats.org/officeDocument/2006/relationships/hyperlink" Target="https://diariodarepublica.pt/dr/detalhe/despacho/8335-2024-873447584" TargetMode="External" /><ns0:Relationship Id="nativeLink48" Type="http://schemas.openxmlformats.org/officeDocument/2006/relationships/hyperlink" Target="https://diariodarepublica.pt/dr/detalhe/despacho/8335-2024-873447584" TargetMode="External" /><ns0:Relationship Id="nativeLink49" Type="http://schemas.openxmlformats.org/officeDocument/2006/relationships/hyperlink" Target="https://diariodarepublica.pt/dr/detalhe/despacho/8335-2024-873447584" TargetMode="External" /><ns0:Relationship Id="nativeLink50" Type="http://schemas.openxmlformats.org/officeDocument/2006/relationships/hyperlink" Target="https://diariodarepublica.pt/dr/detalhe/despacho/8335-2024-873447584" TargetMode="External" /><ns0:Relationship Id="nativeLink51" Type="http://schemas.openxmlformats.org/officeDocument/2006/relationships/hyperlink" Target="https://diariodarepublica.pt/dr/detalhe/despacho/8591-2024-874078354" TargetMode="External" /><ns0:Relationship Id="nativeLink52" Type="http://schemas.openxmlformats.org/officeDocument/2006/relationships/hyperlink" Target="https://diariodarepublica.pt/dr/detalhe/despacho/8591-2024-874078354" TargetMode="External" /><ns0:Relationship Id="nativeLink53" Type="http://schemas.openxmlformats.org/officeDocument/2006/relationships/hyperlink" Target="https://diariodarepublica.pt/dr/detalhe/despacho/8591-2024-874078354" TargetMode="External" /><ns0:Relationship Id="nativeLink54" Type="http://schemas.openxmlformats.org/officeDocument/2006/relationships/hyperlink" Target="https://diariodarepublica.pt/dr/detalhe/despacho/8591-2024-874078354" TargetMode="External" /><ns0:Relationship Id="nativeLink55" Type="http://schemas.openxmlformats.org/officeDocument/2006/relationships/hyperlink" Target="https://diariodarepublica.pt/dr/detalhe/despacho/8914-a-2024-875716593" TargetMode="External" /><ns0:Relationship Id="nativeLink56" Type="http://schemas.openxmlformats.org/officeDocument/2006/relationships/hyperlink" Target="https://diariodarepublica.pt/dr/detalhe/despacho/8972-2024-875838784" TargetMode="External" /><ns0:Relationship Id="nativeLink57" Type="http://schemas.openxmlformats.org/officeDocument/2006/relationships/hyperlink" Target="https://diariodarepublica.pt/dr/detalhe/despacho/8972-2024-875838784" TargetMode="External" /><ns0:Relationship Id="nativeLink58" Type="http://schemas.openxmlformats.org/officeDocument/2006/relationships/hyperlink" Target="https://diariodarepublica.pt/dr/detalhe/despacho/8972-2024-875838784" TargetMode="External" /><ns0:Relationship Id="nativeLink59" Type="http://schemas.openxmlformats.org/officeDocument/2006/relationships/hyperlink" Target="https://diariodarepublica.pt/dr/detalhe/despacho/8972-2024-875838784" TargetMode="External" /><ns0:Relationship Id="nativeLink60" Type="http://schemas.openxmlformats.org/officeDocument/2006/relationships/hyperlink" Target="https://diariodarepublica.pt/dr/detalhe/despacho/9075-a-2024-876110681" TargetMode="External" /><ns0:Relationship Id="nativeLink61" Type="http://schemas.openxmlformats.org/officeDocument/2006/relationships/hyperlink" Target="https://diariodarepublica.pt/dr/detalhe/despacho/9075-a-2024-876110681" TargetMode="External" /><ns0:Relationship Id="nativeLink62" Type="http://schemas.openxmlformats.org/officeDocument/2006/relationships/hyperlink" Target="https://diariodarepublica.pt/dr/detalhe/despacho/9075-a-2024-876110681" TargetMode="External" /><ns0:Relationship Id="nativeLink63" Type="http://schemas.openxmlformats.org/officeDocument/2006/relationships/hyperlink" Target="https://diariodarepublica.pt/dr/detalhe/despacho/9075-a-2024-876110681" TargetMode="External" /><ns0:Relationship Id="nativeLink64" Type="http://schemas.openxmlformats.org/officeDocument/2006/relationships/hyperlink" Target="https://diariodarepublica.pt/dr/detalhe/despacho/9123-2024-876110746" TargetMode="External" /><ns0:Relationship Id="nativeLink65" Type="http://schemas.openxmlformats.org/officeDocument/2006/relationships/hyperlink" Target="https://diariodarepublica.pt/dr/detalhe/despacho/9123-2024-876110746" TargetMode="External" /><ns0:Relationship Id="nativeLink66" Type="http://schemas.openxmlformats.org/officeDocument/2006/relationships/hyperlink" Target="https://diariodarepublica.pt/dr/detalhe/despacho/9123-2024-876110746" TargetMode="External" /><ns0:Relationship Id="nativeLink67" Type="http://schemas.openxmlformats.org/officeDocument/2006/relationships/hyperlink" Target="https://diariodarepublica.pt/dr/detalhe/despacho/9123-2024-876110746" TargetMode="External" /><ns0:Relationship Id="nativeLink68" Type="http://schemas.openxmlformats.org/officeDocument/2006/relationships/hyperlink" Target="https://inpi.justica.gov.pt/Portals/6/PDF%20INPI/Relat%C3%B3rios%20de%20Atividades/inpi_relatorio_atividades_contas_2024.pdf?ver=SSi75RQ1aZwvUzNN6KTcGw%3D%3D" TargetMode="External" /><ns0:Relationship Id="nativeLink69" Type="http://schemas.openxmlformats.org/officeDocument/2006/relationships/hyperlink" Target="https://inpi.justica.gov.pt/Portals/6/PDF%20INPI/Relat%C3%B3rios%20de%20Atividades/inpi_relatorio_atividades_contas_2024.pdf?ver=SSi75RQ1aZwvUzNN6KTcGw%3D%3D" TargetMode="External" /><ns0:Relationship Id="nativeLink70" Type="http://schemas.openxmlformats.org/officeDocument/2006/relationships/hyperlink" Target="https://diariodarepublica.pt/dr/detalhe/despacho/9477-2024-884784995" TargetMode="External" /><ns0:Relationship Id="nativeLink71" Type="http://schemas.openxmlformats.org/officeDocument/2006/relationships/hyperlink" Target="https://diariodarepublica.pt/dr/detalhe/despacho/9477-2024-884784995" TargetMode="External" /><ns0:Relationship Id="nativeLink72" Type="http://schemas.openxmlformats.org/officeDocument/2006/relationships/hyperlink" Target="https://diariodarepublica.pt/dr/detalhe/despacho/9477-2024-884784995" TargetMode="External" /><ns0:Relationship Id="nativeLink73" Type="http://schemas.openxmlformats.org/officeDocument/2006/relationships/hyperlink" Target="https://diariodarepublica.pt/dr/detalhe/despacho/9477-2024-884784995" TargetMode="External" /><ns0:Relationship Id="nativeLink74" Type="http://schemas.openxmlformats.org/officeDocument/2006/relationships/hyperlink" Target="https://diariodarepublica.pt/dr/detalhe/despacho/9589-2024-884941463" TargetMode="External" /><ns0:Relationship Id="nativeLink75" Type="http://schemas.openxmlformats.org/officeDocument/2006/relationships/hyperlink" Target="https://diariodarepublica.pt/dr/detalhe/despacho/9589-2024-884941463" TargetMode="External" /><ns0:Relationship Id="nativeLink76" Type="http://schemas.openxmlformats.org/officeDocument/2006/relationships/hyperlink" Target="https://diariodarepublica.pt/dr/detalhe/despacho/9589-2024-884941463" TargetMode="External" /><ns0:Relationship Id="nativeLink77" Type="http://schemas.openxmlformats.org/officeDocument/2006/relationships/hyperlink" Target="https://diariodarepublica.pt/dr/detalhe/despacho/4750-2026-1084035716" TargetMode="External" /><ns0:Relationship Id="nativeLink78" Type="http://schemas.openxmlformats.org/officeDocument/2006/relationships/hyperlink" Target="https://diariodarepublica.pt/dr/detalhe/despacho/9648-2024-885027571" TargetMode="External" /><ns0:Relationship Id="nativeLink79" Type="http://schemas.openxmlformats.org/officeDocument/2006/relationships/hyperlink" Target="https://diariodarepublica.pt/dr/detalhe/despacho/9648-2024-885027571" TargetMode="External" /><ns0:Relationship Id="nativeLink80" Type="http://schemas.openxmlformats.org/officeDocument/2006/relationships/hyperlink" Target="https://diariodarepublica.pt/dr/detalhe/despacho/9649-2024-885027572" TargetMode="External" /><ns0:Relationship Id="nativeLink81" Type="http://schemas.openxmlformats.org/officeDocument/2006/relationships/hyperlink" Target="https://diariodarepublica.pt/dr/detalhe/despacho/9649-2024-885027572" TargetMode="External" /><ns0:Relationship Id="nativeLink82" Type="http://schemas.openxmlformats.org/officeDocument/2006/relationships/hyperlink" Target="https://diariodarepublica.pt/dr/detalhe/despacho/9649-2024-885027572" TargetMode="External" /><ns0:Relationship Id="nativeLink83" Type="http://schemas.openxmlformats.org/officeDocument/2006/relationships/hyperlink" Target="https://diariodarepublica.pt/dr/detalhe/despacho/9649-2024-885027572" TargetMode="External" /><ns0:Relationship Id="nativeLink84" Type="http://schemas.openxmlformats.org/officeDocument/2006/relationships/hyperlink" Target="https://diariodarepublica.pt/dr/detalhe/despacho/9463-2025-928296838" TargetMode="External" /><ns0:Relationship Id="nativeLink85" Type="http://schemas.openxmlformats.org/officeDocument/2006/relationships/hyperlink" Target="https://diariodarepublica.pt/dr/detalhe/despacho/10208-a-2024-886333775" TargetMode="External" /><ns0:Relationship Id="nativeLink86" Type="http://schemas.openxmlformats.org/officeDocument/2006/relationships/hyperlink" Target="https://diariodarepublica.pt/dr/detalhe/despacho/10208-a-2024-886333775" TargetMode="External" /><ns0:Relationship Id="nativeLink87" Type="http://schemas.openxmlformats.org/officeDocument/2006/relationships/hyperlink" Target="https://diariodarepublica.pt/dr/detalhe/despacho/10208-a-2024-886333775" TargetMode="External" /><ns0:Relationship Id="nativeLink88" Type="http://schemas.openxmlformats.org/officeDocument/2006/relationships/hyperlink" Target="https://diariodarepublica.pt/dr/detalhe/despacho/10294-c-2024-886385435" TargetMode="External" /><ns0:Relationship Id="nativeLink89" Type="http://schemas.openxmlformats.org/officeDocument/2006/relationships/hyperlink" Target="https://diariodarepublica.pt/dr/detalhe/despacho/10294-c-2024-886385435" TargetMode="External" /><ns0:Relationship Id="nativeLink90" Type="http://schemas.openxmlformats.org/officeDocument/2006/relationships/hyperlink" Target="https://diariodarepublica.pt/dr/detalhe/despacho/10294-c-2024-886385435" TargetMode="External" /><ns0:Relationship Id="nativeLink91" Type="http://schemas.openxmlformats.org/officeDocument/2006/relationships/hyperlink" Target="https://diariodarepublica.pt/dr/detalhe/despacho/10294-c-2024-886385435" TargetMode="External" /><ns0:Relationship Id="nativeLink92" Type="http://schemas.openxmlformats.org/officeDocument/2006/relationships/hyperlink" Target="https://diariodarepublica.pt/dr/detalhe/despacho/10294-c-2024-886385435" TargetMode="External" /><ns0:Relationship Id="nativeLink93" Type="http://schemas.openxmlformats.org/officeDocument/2006/relationships/hyperlink" Target="https://diariodarepublica.pt/dr/detalhe/despacho/10294-c-2024-886385435" TargetMode="External" /><ns0:Relationship Id="nativeLink94" Type="http://schemas.openxmlformats.org/officeDocument/2006/relationships/hyperlink" Target="https://diariodarepublica.pt/dr/detalhe/despacho/10294-c-2024-886385435" TargetMode="External" /><ns0:Relationship Id="nativeLink95" Type="http://schemas.openxmlformats.org/officeDocument/2006/relationships/hyperlink" Target="https://diariodarepublica.pt/dr/detalhe/despacho/10294-c-2024-886385435" TargetMode="External" /><ns0:Relationship Id="nativeLink96" Type="http://schemas.openxmlformats.org/officeDocument/2006/relationships/hyperlink" Target="https://diariodarepublica.pt/dr/detalhe/despacho/10294-c-2024-886385435" TargetMode="External" /><ns0:Relationship Id="nativeLink97" Type="http://schemas.openxmlformats.org/officeDocument/2006/relationships/hyperlink" Target="https://diariodarepublica.pt/dr/detalhe/despacho/10294-c-2024-886385435" TargetMode="External" /><ns0:Relationship Id="nativeLink98" Type="http://schemas.openxmlformats.org/officeDocument/2006/relationships/hyperlink" Target="https://diariodarepublica.pt/dr/detalhe/despacho/10294-c-2024-886385435" TargetMode="External" /><ns0:Relationship Id="nativeLink99" Type="http://schemas.openxmlformats.org/officeDocument/2006/relationships/hyperlink" Target="https://diariodarepublica.pt/dr/detalhe/despacho/10294-c-2024-886385435" TargetMode="External" /><ns0:Relationship Id="nativeLink100" Type="http://schemas.openxmlformats.org/officeDocument/2006/relationships/hyperlink" Target="https://diariodarepublica.pt/dr/detalhe/despacho/10294-c-2024-886385435" TargetMode="External" /><ns0:Relationship Id="nativeLink101" Type="http://schemas.openxmlformats.org/officeDocument/2006/relationships/hyperlink" Target="https://diariodarepublica.pt/dr/detalhe/despacho/10294-c-2024-886385435" TargetMode="External" /><ns0:Relationship Id="nativeLink102" Type="http://schemas.openxmlformats.org/officeDocument/2006/relationships/hyperlink" Target="https://diariodarepublica.pt/dr/detalhe/despacho/10294-c-2024-886385435" TargetMode="External" /><ns0:Relationship Id="nativeLink103" Type="http://schemas.openxmlformats.org/officeDocument/2006/relationships/hyperlink" Target="https://diariodarepublica.pt/dr/detalhe/despacho/10559-2024-887067337" TargetMode="External" /><ns0:Relationship Id="nativeLink104" Type="http://schemas.openxmlformats.org/officeDocument/2006/relationships/hyperlink" Target="https://diariodarepublica.pt/dr/detalhe/despacho/10559-2024-887067337" TargetMode="External" /><ns0:Relationship Id="nativeLink105" Type="http://schemas.openxmlformats.org/officeDocument/2006/relationships/hyperlink" Target="https://diariodarepublica.pt/dr/detalhe/resolucao-conselho-ministros/126-a-2024-888218912" TargetMode="External" /><ns0:Relationship Id="nativeLink106" Type="http://schemas.openxmlformats.org/officeDocument/2006/relationships/hyperlink" Target="https://diariodarepublica.pt/dr/detalhe/resolucao-conselho-ministros/126-a-2024-888218912" TargetMode="External" /><ns0:Relationship Id="nativeLink107" Type="http://schemas.openxmlformats.org/officeDocument/2006/relationships/hyperlink" Target="https://diariodarepublica.pt/dr/detalhe/despacho/10989-2024-888216496" TargetMode="External" /><ns0:Relationship Id="nativeLink108" Type="http://schemas.openxmlformats.org/officeDocument/2006/relationships/hyperlink" Target="https://diariodarepublica.pt/dr/detalhe/despacho/10989-2024-888216496" TargetMode="External" /><ns0:Relationship Id="nativeLink109" Type="http://schemas.openxmlformats.org/officeDocument/2006/relationships/hyperlink" Target="https://diariodarepublica.pt/dr/detalhe/despacho/11152-2024-888560032" TargetMode="External" /><ns0:Relationship Id="nativeLink110" Type="http://schemas.openxmlformats.org/officeDocument/2006/relationships/hyperlink" Target="https://diariodarepublica.pt/dr/detalhe/despacho/11152-2024-888560032" TargetMode="External" /><ns0:Relationship Id="nativeLink111" Type="http://schemas.openxmlformats.org/officeDocument/2006/relationships/hyperlink" Target="https://diariodarepublica.pt/dr/detalhe/despacho/11152-2024-888560032" TargetMode="External" /><ns0:Relationship Id="nativeLink112" Type="http://schemas.openxmlformats.org/officeDocument/2006/relationships/hyperlink" Target="https://diariodarepublica.pt/dr/detalhe/despacho/11271-2024-888843218" TargetMode="External" /><ns0:Relationship Id="nativeLink113" Type="http://schemas.openxmlformats.org/officeDocument/2006/relationships/hyperlink" Target="https://diariodarepublica.pt/dr/detalhe/despacho/11271-2024-888843218" TargetMode="External" /><ns0:Relationship Id="nativeLink114" Type="http://schemas.openxmlformats.org/officeDocument/2006/relationships/hyperlink" Target="https://diariodarepublica.pt/dr/detalhe/despacho/2701-2025-909150575" TargetMode="External" /><ns0:Relationship Id="nativeLink115" Type="http://schemas.openxmlformats.org/officeDocument/2006/relationships/hyperlink" Target="https://diariodarepublica.pt/dr/detalhe/despacho/11856-a-2024-890194538" TargetMode="External" /><ns0:Relationship Id="nativeLink116" Type="http://schemas.openxmlformats.org/officeDocument/2006/relationships/hyperlink" Target="https://diariodarepublica.pt/dr/detalhe/despacho/12071-2024-890791825" TargetMode="External" /><ns0:Relationship Id="nativeLink117" Type="http://schemas.openxmlformats.org/officeDocument/2006/relationships/hyperlink" Target="https://diariodarepublica.pt/dr/detalhe/despacho/12071-2024-890791825" TargetMode="External" /><ns0:Relationship Id="nativeLink118" Type="http://schemas.openxmlformats.org/officeDocument/2006/relationships/hyperlink" Target="https://diariodarepublica.pt/dr/detalhe/despacho/12072-2024-890791826" TargetMode="External" /><ns0:Relationship Id="nativeLink119" Type="http://schemas.openxmlformats.org/officeDocument/2006/relationships/hyperlink" Target="https://diariodarepublica.pt/dr/detalhe/despacho/12072-2024-890791826" TargetMode="External" /><ns0:Relationship Id="nativeLink120" Type="http://schemas.openxmlformats.org/officeDocument/2006/relationships/hyperlink" Target="https://diariodarepublica.pt/dr/detalhe/despacho/12072-2024-890791826" TargetMode="External" /><ns0:Relationship Id="nativeLink121" Type="http://schemas.openxmlformats.org/officeDocument/2006/relationships/hyperlink" Target="https://diariodarepublica.pt/dr/detalhe/despacho/12072-2024-890791826" TargetMode="External" /><ns0:Relationship Id="nativeLink122" Type="http://schemas.openxmlformats.org/officeDocument/2006/relationships/hyperlink" Target="https://diariodarepublica.pt/dr/detalhe/despacho/12293-2024-891174394" TargetMode="External" /><ns0:Relationship Id="nativeLink123" Type="http://schemas.openxmlformats.org/officeDocument/2006/relationships/hyperlink" Target="https://diariodarepublica.pt/dr/detalhe/despacho/12293-2024-891174394" TargetMode="External" /><ns0:Relationship Id="nativeLink124" Type="http://schemas.openxmlformats.org/officeDocument/2006/relationships/hyperlink" Target="https://diariodarepublica.pt/dr/detalhe/despacho/12293-2024-891174394" TargetMode="External" /><ns0:Relationship Id="nativeLink125" Type="http://schemas.openxmlformats.org/officeDocument/2006/relationships/hyperlink" Target="https://diariodarepublica.pt/dr/detalhe/despacho/12645-2024-892306790" TargetMode="External" /><ns0:Relationship Id="nativeLink126" Type="http://schemas.openxmlformats.org/officeDocument/2006/relationships/hyperlink" Target="https://diariodarepublica.pt/dr/detalhe/despacho/12645-2024-892306790" TargetMode="External" /><ns0:Relationship Id="nativeLink127" Type="http://schemas.openxmlformats.org/officeDocument/2006/relationships/hyperlink" Target="https://diariodarepublica.pt/dr/detalhe/despacho/12645-2024-892306790" TargetMode="External" /><ns0:Relationship Id="nativeLink128" Type="http://schemas.openxmlformats.org/officeDocument/2006/relationships/hyperlink" Target="https://diariodarepublica.pt/dr/detalhe/despacho/12645-2024-892306790" TargetMode="External" /><ns0:Relationship Id="nativeLink129" Type="http://schemas.openxmlformats.org/officeDocument/2006/relationships/hyperlink" Target="https://diariodarepublica.pt/dr/detalhe/despacho/12734-2024-892664373" TargetMode="External" /><ns0:Relationship Id="nativeLink130" Type="http://schemas.openxmlformats.org/officeDocument/2006/relationships/hyperlink" Target="https://diariodarepublica.pt/dr/detalhe/despacho/12734-2024-892664373" TargetMode="External" /><ns0:Relationship Id="nativeLink131" Type="http://schemas.openxmlformats.org/officeDocument/2006/relationships/hyperlink" Target="https://diariodarepublica.pt/dr/detalhe/despacho/12734-2024-892664373" TargetMode="External" /><ns0:Relationship Id="nativeLink132" Type="http://schemas.openxmlformats.org/officeDocument/2006/relationships/hyperlink" Target="https://diariodarepublica.pt/dr/detalhe/despacho/12964-2024-894207815" TargetMode="External" /><ns0:Relationship Id="nativeLink133" Type="http://schemas.openxmlformats.org/officeDocument/2006/relationships/hyperlink" Target="https://diariodarepublica.pt/dr/detalhe/despacho/12964-2024-894207815" TargetMode="External" /><ns0:Relationship Id="nativeLink134" Type="http://schemas.openxmlformats.org/officeDocument/2006/relationships/hyperlink" Target="https://diariodarepublica.pt/dr/detalhe/despacho/13355-2024-896165054" TargetMode="External" /><ns0:Relationship Id="nativeLink135" Type="http://schemas.openxmlformats.org/officeDocument/2006/relationships/hyperlink" Target="https://diariodarepublica.pt/dr/detalhe/despacho/13355-2024-896165054" TargetMode="External" /><ns0:Relationship Id="nativeLink136" Type="http://schemas.openxmlformats.org/officeDocument/2006/relationships/hyperlink" Target="https://diariodarepublica.pt/dr/detalhe/despacho/13355-2024-896165054" TargetMode="External" /><ns0:Relationship Id="nativeLink137" Type="http://schemas.openxmlformats.org/officeDocument/2006/relationships/hyperlink" Target="https://diariodarepublica.pt/dr/detalhe/despacho/13583-2024-896828793" TargetMode="External" /><ns0:Relationship Id="nativeLink138" Type="http://schemas.openxmlformats.org/officeDocument/2006/relationships/hyperlink" Target="https://diariodarepublica.pt/dr/detalhe/despacho/13786-2024-897217652" TargetMode="External" /><ns0:Relationship Id="nativeLink139" Type="http://schemas.openxmlformats.org/officeDocument/2006/relationships/hyperlink" Target="https://diariodarepublica.pt/dr/detalhe/despacho/13786-2024-897217652" TargetMode="External" /><ns0:Relationship Id="nativeLink140" Type="http://schemas.openxmlformats.org/officeDocument/2006/relationships/hyperlink" Target="https://diariodarepublica.pt/dr/detalhe/despacho/13786-2024-897217652" TargetMode="External" /><ns0:Relationship Id="nativeLink141" Type="http://schemas.openxmlformats.org/officeDocument/2006/relationships/hyperlink" Target="https://diariodarepublica.pt/dr/detalhe/despacho/35-2025-901693477" TargetMode="External" /><ns0:Relationship Id="nativeLink142" Type="http://schemas.openxmlformats.org/officeDocument/2006/relationships/hyperlink" Target="https://diariodarepublica.pt/dr/detalhe/despacho/13890-2024-897660800" TargetMode="External" /><ns0:Relationship Id="nativeLink143" Type="http://schemas.openxmlformats.org/officeDocument/2006/relationships/hyperlink" Target="https://diariodarepublica.pt/dr/detalhe/despacho/13890-2024-897660800" TargetMode="External" /><ns0:Relationship Id="nativeLink144" Type="http://schemas.openxmlformats.org/officeDocument/2006/relationships/hyperlink" Target="https://diariodarepublica.pt/dr/detalhe/despacho/13946-2024-897796652" TargetMode="External" /><ns0:Relationship Id="nativeLink145" Type="http://schemas.openxmlformats.org/officeDocument/2006/relationships/hyperlink" Target="https://diariodarepublica.pt/dr/detalhe/despacho/13946-2024-897796652" TargetMode="External" /><ns0:Relationship Id="nativeLink146" Type="http://schemas.openxmlformats.org/officeDocument/2006/relationships/hyperlink" Target="https://diariodarepublica.pt/dr/detalhe/despacho/14013-a-2024-897796612" TargetMode="External" /><ns0:Relationship Id="nativeLink147" Type="http://schemas.openxmlformats.org/officeDocument/2006/relationships/hyperlink" Target="https://diariodarepublica.pt/dr/detalhe/despacho/14013-a-2024-897796612" TargetMode="External" /><ns0:Relationship Id="nativeLink148" Type="http://schemas.openxmlformats.org/officeDocument/2006/relationships/hyperlink" Target="https://diariodarepublica.pt/dr/detalhe/despacho/14013-a-2024-897796612" TargetMode="External" /><ns0:Relationship Id="nativeLink149" Type="http://schemas.openxmlformats.org/officeDocument/2006/relationships/hyperlink" Target="https://diariodarepublica.pt/dr/detalhe/despacho/14013-a-2024-897796612" TargetMode="External" /><ns0:Relationship Id="nativeLink150" Type="http://schemas.openxmlformats.org/officeDocument/2006/relationships/hyperlink" Target="https://diariodarepublica.pt/dr/detalhe/despacho/14013-a-2024-897796612" TargetMode="External" /><ns0:Relationship Id="nativeLink151" Type="http://schemas.openxmlformats.org/officeDocument/2006/relationships/hyperlink" Target="https://diariodarepublica.pt/dr/detalhe/despacho/14284-2024-898695314" TargetMode="External" /><ns0:Relationship Id="nativeLink152" Type="http://schemas.openxmlformats.org/officeDocument/2006/relationships/hyperlink" Target="https://diariodarepublica.pt/dr/detalhe/despacho/14284-2024-898695314" TargetMode="External" /><ns0:Relationship Id="nativeLink153" Type="http://schemas.openxmlformats.org/officeDocument/2006/relationships/hyperlink" Target="https://diariodarepublica.pt/dr/detalhe/despacho/14284-2024-898695314" TargetMode="External" /><ns0:Relationship Id="nativeLink154" Type="http://schemas.openxmlformats.org/officeDocument/2006/relationships/hyperlink" Target="https://diariodarepublica.pt/dr/detalhe/despacho/14284-2024-898695314" TargetMode="External" /><ns0:Relationship Id="nativeLink155" Type="http://schemas.openxmlformats.org/officeDocument/2006/relationships/hyperlink" Target="https://diariodarepublica.pt/dr/detalhe/despacho/14284-2024-898695314" TargetMode="External" /><ns0:Relationship Id="nativeLink156" Type="http://schemas.openxmlformats.org/officeDocument/2006/relationships/hyperlink" Target="https://diariodarepublica.pt/dr/detalhe/despacho/14284-2024-898695314" TargetMode="External" /><ns0:Relationship Id="nativeLink157" Type="http://schemas.openxmlformats.org/officeDocument/2006/relationships/hyperlink" Target="https://diariodarepublica.pt/dr/detalhe/despacho/14284-2024-898695314" TargetMode="External" /><ns0:Relationship Id="nativeLink158" Type="http://schemas.openxmlformats.org/officeDocument/2006/relationships/hyperlink" Target="https://diariodarepublica.pt/dr/detalhe/despacho/14622-2024-899721530" TargetMode="External" /><ns0:Relationship Id="nativeLink159" Type="http://schemas.openxmlformats.org/officeDocument/2006/relationships/hyperlink" Target="https://diariodarepublica.pt/dr/detalhe/despacho/14622-2024-899721530" TargetMode="External" /><ns0:Relationship Id="nativeLink160" Type="http://schemas.openxmlformats.org/officeDocument/2006/relationships/hyperlink" Target="https://diariodarepublica.pt/dr/detalhe/despacho/14622-2024-899721530" TargetMode="External" /><ns0:Relationship Id="nativeLink161" Type="http://schemas.openxmlformats.org/officeDocument/2006/relationships/hyperlink" Target="https://diariodarepublica.pt/dr/detalhe/despacho/14758-2024-899911211" TargetMode="External" /><ns0:Relationship Id="nativeLink162" Type="http://schemas.openxmlformats.org/officeDocument/2006/relationships/hyperlink" Target="https://diariodarepublica.pt/dr/detalhe/despacho/14758-2024-899911211" TargetMode="External" /><ns0:Relationship Id="nativeLink163" Type="http://schemas.openxmlformats.org/officeDocument/2006/relationships/hyperlink" Target="https://diariodarepublica.pt/dr/detalhe/despacho/14758-2024-899911211" TargetMode="External" /><ns0:Relationship Id="nativeLink164" Type="http://schemas.openxmlformats.org/officeDocument/2006/relationships/hyperlink" Target="https://diariodarepublica.pt/dr/detalhe/despacho/14926-2024-900549494" TargetMode="External" /><ns0:Relationship Id="nativeLink165" Type="http://schemas.openxmlformats.org/officeDocument/2006/relationships/hyperlink" Target="https://diariodarepublica.pt/dr/detalhe/despacho/14926-2024-900549494" TargetMode="External" /><ns0:Relationship Id="nativeLink166" Type="http://schemas.openxmlformats.org/officeDocument/2006/relationships/hyperlink" Target="https://diariodarepublica.pt/dr/detalhe/despacho/14926-2024-900549494" TargetMode="External" /><ns0:Relationship Id="nativeLink167" Type="http://schemas.openxmlformats.org/officeDocument/2006/relationships/hyperlink" Target="https://diariodarepublica.pt/dr/detalhe/despacho/3182-2025-910469452" TargetMode="External" /><ns0:Relationship Id="nativeLink168" Type="http://schemas.openxmlformats.org/officeDocument/2006/relationships/hyperlink" Target="https://diariodarepublica.pt/dr/detalhe/despacho/15073-2024-901014350" TargetMode="External" /><ns0:Relationship Id="nativeLink169" Type="http://schemas.openxmlformats.org/officeDocument/2006/relationships/hyperlink" Target="https://diariodarepublica.pt/dr/detalhe/despacho/15073-2024-901014350" TargetMode="External" /><ns0:Relationship Id="nativeLink170" Type="http://schemas.openxmlformats.org/officeDocument/2006/relationships/hyperlink" Target="https://diariodarepublica.pt/dr/detalhe/despacho/15073-2024-901014350" TargetMode="External" /><ns0:Relationship Id="nativeLink171" Type="http://schemas.openxmlformats.org/officeDocument/2006/relationships/hyperlink" Target="https://diariodarepublica.pt/dr/detalhe/despacho/15073-2024-901014350" TargetMode="External" /><ns0:Relationship Id="nativeLink172" Type="http://schemas.openxmlformats.org/officeDocument/2006/relationships/hyperlink" Target="https://diariodarepublica.pt/dr/detalhe/resolucao-conselho-ministros/207-2024-901536081" TargetMode="External" /><ns0:Relationship Id="nativeLink173" Type="http://schemas.openxmlformats.org/officeDocument/2006/relationships/hyperlink" Target="https://diariodarepublica.pt/dr/detalhe/resolucao-conselho-ministros/207-2024-901536081" TargetMode="External" /><ns0:Relationship Id="nativeLink174" Type="http://schemas.openxmlformats.org/officeDocument/2006/relationships/hyperlink" Target="https://diariodarepublica.pt/dr/detalhe/resolucao-conselho-ministros/207-2024-901536081" TargetMode="External" /><ns0:Relationship Id="nativeLink175" Type="http://schemas.openxmlformats.org/officeDocument/2006/relationships/hyperlink" Target="https://diariodarepublica.pt/dr/detalhe/resolucao-conselho-ministros/207-2024-901536081" TargetMode="External" /><ns0:Relationship Id="nativeLink176" Type="http://schemas.openxmlformats.org/officeDocument/2006/relationships/hyperlink" Target="https://diariodarepublica.pt/dr/detalhe/resolucao-conselho-ministros/207-2024-901536081" TargetMode="External" /><ns0:Relationship Id="nativeLink177" Type="http://schemas.openxmlformats.org/officeDocument/2006/relationships/hyperlink" Target="https://diariodarepublica.pt/dr/detalhe/resolucao-conselho-ministros/207-2024-901536081" TargetMode="External" /><ns0:Relationship Id="nativeLink178" Type="http://schemas.openxmlformats.org/officeDocument/2006/relationships/hyperlink" Target="https://digital.gov.pt/pt/noticias/quinta-reuniao-comite-estrategico-do-cdap" TargetMode="External" /><ns0:Relationship Id="nativeLink179" Type="http://schemas.openxmlformats.org/officeDocument/2006/relationships/hyperlink" Target="https://diariodarepublica.pt/dr/detalhe/despacho/382-2025-902718273" TargetMode="External" /><ns0:Relationship Id="nativeLink180" Type="http://schemas.openxmlformats.org/officeDocument/2006/relationships/hyperlink" Target="https://diariodarepublica.pt/dr/detalhe/despacho/382-2025-902718273" TargetMode="External" /><ns0:Relationship Id="nativeLink181" Type="http://schemas.openxmlformats.org/officeDocument/2006/relationships/hyperlink" Target="https://diariodarepublica.pt/dr/detalhe/despacho/382-2025-902718273" TargetMode="External" /><ns0:Relationship Id="nativeLink182" Type="http://schemas.openxmlformats.org/officeDocument/2006/relationships/hyperlink" Target="https://diariodarepublica.pt/dr/detalhe/despacho/382-2025-902718273" TargetMode="External" /><ns0:Relationship Id="nativeLink183" Type="http://schemas.openxmlformats.org/officeDocument/2006/relationships/hyperlink" Target="https://diariodarepublica.pt/dr/detalhe/despacho/507-2025-902932710" TargetMode="External" /><ns0:Relationship Id="nativeLink184" Type="http://schemas.openxmlformats.org/officeDocument/2006/relationships/hyperlink" Target="https://diariodarepublica.pt/dr/detalhe/despacho/507-2025-902932710" TargetMode="External" /><ns0:Relationship Id="nativeLink185" Type="http://schemas.openxmlformats.org/officeDocument/2006/relationships/hyperlink" Target="https://diariodarepublica.pt/dr/detalhe/despacho/986-2025-904227444" TargetMode="External" /><ns0:Relationship Id="nativeLink186" Type="http://schemas.openxmlformats.org/officeDocument/2006/relationships/hyperlink" Target="https://diariodarepublica.pt/dr/detalhe/despacho/986-2025-904227444" TargetMode="External" /><ns0:Relationship Id="nativeLink187" Type="http://schemas.openxmlformats.org/officeDocument/2006/relationships/hyperlink" Target="https://diariodarepublica.pt/dr/detalhe/despacho/986-2025-904227444" TargetMode="External" /><ns0:Relationship Id="nativeLink188" Type="http://schemas.openxmlformats.org/officeDocument/2006/relationships/hyperlink" Target="https://diariodarepublica.pt/dr/detalhe/despacho/986-2025-904227444" TargetMode="External" /><ns0:Relationship Id="nativeLink189" Type="http://schemas.openxmlformats.org/officeDocument/2006/relationships/hyperlink" Target="https://diariodarepublica.pt/dr/detalhe/despacho/986-2025-904227444" TargetMode="External" /><ns0:Relationship Id="nativeLink190" Type="http://schemas.openxmlformats.org/officeDocument/2006/relationships/hyperlink" Target="https://diariodarepublica.pt/dr/detalhe/despacho/1116-2025-904738434" TargetMode="External" /><ns0:Relationship Id="nativeLink191" Type="http://schemas.openxmlformats.org/officeDocument/2006/relationships/hyperlink" Target="https://diariodarepublica.pt/dr/detalhe/despacho/1116-2025-904738434" TargetMode="External" /><ns0:Relationship Id="nativeLink192" Type="http://schemas.openxmlformats.org/officeDocument/2006/relationships/hyperlink" Target="https://diariodarepublica.pt/dr/detalhe/despacho/1116-2025-904738434" TargetMode="External" /><ns0:Relationship Id="nativeLink193" Type="http://schemas.openxmlformats.org/officeDocument/2006/relationships/hyperlink" Target="https://diariodarepublica.pt/dr/detalhe/despacho/1391-2025-905459892" TargetMode="External" /><ns0:Relationship Id="nativeLink194" Type="http://schemas.openxmlformats.org/officeDocument/2006/relationships/hyperlink" Target="https://diariodarepublica.pt/dr/detalhe/despacho/1391-2025-905459892" TargetMode="External" /><ns0:Relationship Id="nativeLink195" Type="http://schemas.openxmlformats.org/officeDocument/2006/relationships/hyperlink" Target="https://diariodarepublica.pt/dr/detalhe/despacho/1391-2025-905459892" TargetMode="External" /><ns0:Relationship Id="nativeLink196" Type="http://schemas.openxmlformats.org/officeDocument/2006/relationships/hyperlink" Target="https://diariodarepublica.pt/dr/detalhe/despacho/1391-2025-905459892" TargetMode="External" /><ns0:Relationship Id="nativeLink197" Type="http://schemas.openxmlformats.org/officeDocument/2006/relationships/hyperlink" Target="https://diariodarepublica.pt/dr/detalhe/despacho/1391-2025-905459892" TargetMode="External" /><ns0:Relationship Id="nativeLink198" Type="http://schemas.openxmlformats.org/officeDocument/2006/relationships/hyperlink" Target="https://diariodarepublica.pt/dr/detalhe/despacho/1452-2025-905659876" TargetMode="External" /><ns0:Relationship Id="nativeLink199" Type="http://schemas.openxmlformats.org/officeDocument/2006/relationships/hyperlink" Target="https://diariodarepublica.pt/dr/detalhe/despacho/1452-2025-905659876" TargetMode="External" /><ns0:Relationship Id="nativeLink200" Type="http://schemas.openxmlformats.org/officeDocument/2006/relationships/hyperlink" Target="https://diariodarepublica.pt/dr/detalhe/despacho/1452-2025-905659876" TargetMode="External" /><ns0:Relationship Id="nativeLink201" Type="http://schemas.openxmlformats.org/officeDocument/2006/relationships/hyperlink" Target="https://diariodarepublica.pt/dr/detalhe/despacho/1452-2025-905659876" TargetMode="External" /><ns0:Relationship Id="nativeLink202" Type="http://schemas.openxmlformats.org/officeDocument/2006/relationships/hyperlink" Target="https://diariodarepublica.pt/dr/detalhe/despacho/1452-2025-905659876" TargetMode="External" /><ns0:Relationship Id="nativeLink203" Type="http://schemas.openxmlformats.org/officeDocument/2006/relationships/hyperlink" Target="https://diariodarepublica.pt/dr/detalhe/despacho/1452-2025-905659876" TargetMode="External" /><ns0:Relationship Id="nativeLink204" Type="http://schemas.openxmlformats.org/officeDocument/2006/relationships/hyperlink" Target="https://diariodarepublica.pt/dr/detalhe/despacho/1452-2025-905659876" TargetMode="External" /><ns0:Relationship Id="nativeLink205" Type="http://schemas.openxmlformats.org/officeDocument/2006/relationships/hyperlink" Target="https://diariodarepublica.pt/dr/detalhe/despacho/5409-2026-1090795689" TargetMode="External" /><ns0:Relationship Id="nativeLink206" Type="http://schemas.openxmlformats.org/officeDocument/2006/relationships/hyperlink" Target="https://diariodarepublica.pt/dr/detalhe/despacho/1498-2025-905831257" TargetMode="External" /><ns0:Relationship Id="nativeLink207" Type="http://schemas.openxmlformats.org/officeDocument/2006/relationships/hyperlink" Target="https://diariodarepublica.pt/dr/detalhe/despacho/1498-2025-905831257" TargetMode="External" /><ns0:Relationship Id="nativeLink208" Type="http://schemas.openxmlformats.org/officeDocument/2006/relationships/hyperlink" Target="https://diariodarepublica.pt/dr/detalhe/despacho/1498-2025-905831257" TargetMode="External" /><ns0:Relationship Id="nativeLink209" Type="http://schemas.openxmlformats.org/officeDocument/2006/relationships/hyperlink" Target="https://diariodarepublica.pt/dr/detalhe/despacho/2367-2025-908071163" TargetMode="External" /><ns0:Relationship Id="nativeLink210" Type="http://schemas.openxmlformats.org/officeDocument/2006/relationships/hyperlink" Target="https://diariodarepublica.pt/dr/detalhe/despacho/2367-2025-908071163" TargetMode="External" /><ns0:Relationship Id="nativeLink211" Type="http://schemas.openxmlformats.org/officeDocument/2006/relationships/hyperlink" Target="https://diariodarepublica.pt/dr/detalhe/despacho/2367-2025-908071163" TargetMode="External" /><ns0:Relationship Id="nativeLink212" Type="http://schemas.openxmlformats.org/officeDocument/2006/relationships/hyperlink" Target="https://diariodarepublica.pt/dr/detalhe/despacho/2367-2025-908071163" TargetMode="External" /><ns0:Relationship Id="nativeLink213" Type="http://schemas.openxmlformats.org/officeDocument/2006/relationships/hyperlink" Target="https://diariodarepublica.pt/dr/detalhe/despacho/2820-2025-909307266" TargetMode="External" /><ns0:Relationship Id="nativeLink214" Type="http://schemas.openxmlformats.org/officeDocument/2006/relationships/hyperlink" Target="https://diariodarepublica.pt/dr/detalhe/despacho/2820-2025-909307266" TargetMode="External" /><ns0:Relationship Id="nativeLink215" Type="http://schemas.openxmlformats.org/officeDocument/2006/relationships/hyperlink" Target="https://diariodarepublica.pt/dr/detalhe/despacho/7603-2026-1133518850" TargetMode="External" /><ns0:Relationship Id="nativeLink216" Type="http://schemas.openxmlformats.org/officeDocument/2006/relationships/hyperlink" Target="https://diariodarepublica.pt/dr/detalhe/despacho/2919-2025-909476563" TargetMode="External" /><ns0:Relationship Id="nativeLink217" Type="http://schemas.openxmlformats.org/officeDocument/2006/relationships/hyperlink" Target="https://diariodarepublica.pt/dr/detalhe/despacho/3143-2025-910331597" TargetMode="External" /><ns0:Relationship Id="nativeLink218" Type="http://schemas.openxmlformats.org/officeDocument/2006/relationships/hyperlink" Target="https://diariodarepublica.pt/dr/detalhe/despacho/3143-2025-910331597" TargetMode="External" /><ns0:Relationship Id="nativeLink219" Type="http://schemas.openxmlformats.org/officeDocument/2006/relationships/hyperlink" Target="https://diariodarepublica.pt/dr/detalhe/despacho/3143-2025-910331597" TargetMode="External" /><ns0:Relationship Id="nativeLink220" Type="http://schemas.openxmlformats.org/officeDocument/2006/relationships/hyperlink" Target="https://diariodarepublica.pt/dr/detalhe/despacho/3402-2025-911131353" TargetMode="External" /><ns0:Relationship Id="nativeLink221" Type="http://schemas.openxmlformats.org/officeDocument/2006/relationships/hyperlink" Target="https://diariodarepublica.pt/dr/detalhe/despacho/3402-2025-911131353" TargetMode="External" /><ns0:Relationship Id="nativeLink222" Type="http://schemas.openxmlformats.org/officeDocument/2006/relationships/hyperlink" Target="https://diariodarepublica.pt/dr/detalhe/despacho/3402-2025-911131353" TargetMode="External" /><ns0:Relationship Id="nativeLink223" Type="http://schemas.openxmlformats.org/officeDocument/2006/relationships/hyperlink" Target="https://diariodarepublica.pt/dr/detalhe/despacho/3406-a-2025-911344585" TargetMode="External" /><ns0:Relationship Id="nativeLink224" Type="http://schemas.openxmlformats.org/officeDocument/2006/relationships/hyperlink" Target="https://diariodarepublica.pt/dr/detalhe/despacho/3406-a-2025-911344585" TargetMode="External" /><ns0:Relationship Id="nativeLink225" Type="http://schemas.openxmlformats.org/officeDocument/2006/relationships/hyperlink" Target="https://diariodarepublica.pt/dr/detalhe/despacho/3406-a-2025-911344585" TargetMode="External" /><ns0:Relationship Id="nativeLink226" Type="http://schemas.openxmlformats.org/officeDocument/2006/relationships/hyperlink" Target="https://diariodarepublica.pt/dr/detalhe/despacho/3406-a-2025-911344585" TargetMode="External" /><ns0:Relationship Id="nativeLink227" Type="http://schemas.openxmlformats.org/officeDocument/2006/relationships/hyperlink" Target="https://diariodarepublica.pt/dr/detalhe/despacho/3518-2025-911650069" TargetMode="External" /><ns0:Relationship Id="nativeLink228" Type="http://schemas.openxmlformats.org/officeDocument/2006/relationships/hyperlink" Target="https://diariodarepublica.pt/dr/detalhe/despacho/3518-2025-911650069" TargetMode="External" /><ns0:Relationship Id="nativeLink229" Type="http://schemas.openxmlformats.org/officeDocument/2006/relationships/hyperlink" Target="https://diariodarepublica.pt/dr/detalhe/despacho/3518-2025-911650069" TargetMode="External" /><ns0:Relationship Id="nativeLink230" Type="http://schemas.openxmlformats.org/officeDocument/2006/relationships/hyperlink" Target="https://diariodarepublica.pt/dr/detalhe/despacho/3518-2025-911650069" TargetMode="External" /><ns0:Relationship Id="nativeLink231" Type="http://schemas.openxmlformats.org/officeDocument/2006/relationships/hyperlink" Target="https://diariodarepublica.pt/dr/detalhe/despacho/3518-2025-911650069" TargetMode="External" /><ns0:Relationship Id="nativeLink232" Type="http://schemas.openxmlformats.org/officeDocument/2006/relationships/hyperlink" Target="https://diariodarepublica.pt/dr/detalhe/despacho/3675-2025-911850448" TargetMode="External" /><ns0:Relationship Id="nativeLink233" Type="http://schemas.openxmlformats.org/officeDocument/2006/relationships/hyperlink" Target="https://diariodarepublica.pt/dr/detalhe/despacho/3675-2025-911850448" TargetMode="External" /><ns0:Relationship Id="nativeLink234" Type="http://schemas.openxmlformats.org/officeDocument/2006/relationships/hyperlink" Target="https://diariodarepublica.pt/dr/detalhe/despacho/3675-2025-911850448" TargetMode="External" /><ns0:Relationship Id="nativeLink235" Type="http://schemas.openxmlformats.org/officeDocument/2006/relationships/hyperlink" Target="https://diariodarepublica.pt/dr/detalhe/despacho/3918-2025-912846496" TargetMode="External" /><ns0:Relationship Id="nativeLink236" Type="http://schemas.openxmlformats.org/officeDocument/2006/relationships/hyperlink" Target="https://diariodarepublica.pt/dr/detalhe/despacho/3918-2025-912846496" TargetMode="External" /><ns0:Relationship Id="nativeLink237" Type="http://schemas.openxmlformats.org/officeDocument/2006/relationships/hyperlink" Target="https://diariodarepublica.pt/dr/detalhe/despacho/5543-a-2025-918326433" TargetMode="External" /><ns0:Relationship Id="nativeLink238" Type="http://schemas.openxmlformats.org/officeDocument/2006/relationships/hyperlink" Target="https://diariodarepublica.pt/dr/detalhe/despacho/5543-a-2025-918326433" TargetMode="External" /><ns0:Relationship Id="nativeLink239" Type="http://schemas.openxmlformats.org/officeDocument/2006/relationships/hyperlink" Target="https://diariodarepublica.pt/dr/detalhe/despacho/5543-a-2025-918326433" TargetMode="External" /><ns0:Relationship Id="nativeLink240" Type="http://schemas.openxmlformats.org/officeDocument/2006/relationships/hyperlink" Target="https://diariodarepublica.pt/dr/detalhe/despacho/5543-a-2025-918326433" TargetMode="External" /><ns0:Relationship Id="nativeLink241" Type="http://schemas.openxmlformats.org/officeDocument/2006/relationships/hyperlink" Target="https://diariodarepublica.pt/dr/detalhe/despacho/5543-a-2025-918326433" TargetMode="External" /><ns0:Relationship Id="nativeLink242" Type="http://schemas.openxmlformats.org/officeDocument/2006/relationships/hyperlink" Target="https://diariodarepublica.pt/dr/detalhe/despacho/5543-a-2025-918326433" TargetMode="External" /><ns0:Relationship Id="nativeLink243" Type="http://schemas.openxmlformats.org/officeDocument/2006/relationships/hyperlink" Target="https://diariodarepublica.pt/dr/detalhe/despacho/5543-a-2025-918326433" TargetMode="External" /><ns0:Relationship Id="nativeLink244" Type="http://schemas.openxmlformats.org/officeDocument/2006/relationships/hyperlink" Target="https://diariodarepublica.pt/dr/detalhe/despacho/5543-a-2025-918326433" TargetMode="External" /><ns0:Relationship Id="nativeLink245" Type="http://schemas.openxmlformats.org/officeDocument/2006/relationships/hyperlink" Target="https://diariodarepublica.pt/dr/detalhe/despacho/5543-a-2025-918326433" TargetMode="External" /><ns0:Relationship Id="nativeLink246" Type="http://schemas.openxmlformats.org/officeDocument/2006/relationships/hyperlink" Target="https://diariodarepublica.pt/dr/detalhe/despacho/5543-a-2025-918326433" TargetMode="External" /><ns0:Relationship Id="nativeLink247" Type="http://schemas.openxmlformats.org/officeDocument/2006/relationships/hyperlink" Target="https://diariodarepublica.pt/dr/detalhe/despacho/5543-a-2025-918326433" TargetMode="External" /><ns0:Relationship Id="nativeLink248" Type="http://schemas.openxmlformats.org/officeDocument/2006/relationships/hyperlink" Target="https://diariodarepublica.pt/dr/detalhe/despacho/5543-a-2025-918326433" TargetMode="External" /><ns0:Relationship Id="nativeLink249" Type="http://schemas.openxmlformats.org/officeDocument/2006/relationships/hyperlink" Target="https://diariodarepublica.pt/dr/detalhe/despacho/5543-a-2025-918326433" TargetMode="External" /><ns0:Relationship Id="nativeLink250" Type="http://schemas.openxmlformats.org/officeDocument/2006/relationships/hyperlink" Target="https://diariodarepublica.pt/dr/detalhe/despacho/5543-a-2025-918326433" TargetMode="External" /><ns0:Relationship Id="nativeLink251" Type="http://schemas.openxmlformats.org/officeDocument/2006/relationships/hyperlink" Target="https://diariodarepublica.pt/dr/detalhe/despacho/5543-a-2025-918326433" TargetMode="External" /><ns0:Relationship Id="nativeLink252" Type="http://schemas.openxmlformats.org/officeDocument/2006/relationships/hyperlink" Target="https://diariodarepublica.pt/dr/detalhe/despacho/5543-a-2025-918326433" TargetMode="External" /><ns0:Relationship Id="nativeLink253" Type="http://schemas.openxmlformats.org/officeDocument/2006/relationships/hyperlink" Target="https://diariodarepublica.pt/dr/detalhe/despacho/5543-a-2025-918326433" TargetMode="External" /><ns0:Relationship Id="nativeLink254" Type="http://schemas.openxmlformats.org/officeDocument/2006/relationships/hyperlink" Target="https://diariodarepublica.pt/dr/detalhe/despacho/5543-a-2025-918326433" TargetMode="External" /><ns0:Relationship Id="nativeLink255" Type="http://schemas.openxmlformats.org/officeDocument/2006/relationships/hyperlink" Target="https://diariodarepublica.pt/dr/detalhe/despacho/5543-a-2025-918326433" TargetMode="External" /><ns0:Relationship Id="nativeLink256" Type="http://schemas.openxmlformats.org/officeDocument/2006/relationships/hyperlink" Target="https://diariodarepublica.pt/dr/detalhe/despacho/5543-a-2025-918326433" TargetMode="External" /><ns0:Relationship Id="nativeLink257" Type="http://schemas.openxmlformats.org/officeDocument/2006/relationships/hyperlink" Target="https://diariodarepublica.pt/dr/detalhe/despacho/5543-a-2025-918326433" TargetMode="External" /><ns0:Relationship Id="nativeLink258" Type="http://schemas.openxmlformats.org/officeDocument/2006/relationships/hyperlink" Target="https://diariodarepublica.pt/dr/detalhe/despacho/5543-a-2025-918326433" TargetMode="External" /><ns0:Relationship Id="nativeLink259" Type="http://schemas.openxmlformats.org/officeDocument/2006/relationships/hyperlink" Target="https://diariodarepublica.pt/dr/detalhe/despacho/5543-a-2025-918326433" TargetMode="External" /><ns0:Relationship Id="nativeLink260" Type="http://schemas.openxmlformats.org/officeDocument/2006/relationships/hyperlink" Target="https://diariodarepublica.pt/dr/detalhe/despacho/5543-a-2025-918326433" TargetMode="External" /><ns0:Relationship Id="nativeLink261" Type="http://schemas.openxmlformats.org/officeDocument/2006/relationships/hyperlink" Target="https://diariodarepublica.pt/dr/detalhe/despacho/5543-a-2025-918326433" TargetMode="External" /><ns0:Relationship Id="nativeLink262" Type="http://schemas.openxmlformats.org/officeDocument/2006/relationships/hyperlink" Target="https://diariodarepublica.pt/dr/detalhe/despacho/5543-a-2025-918326433" TargetMode="External" /><ns0:Relationship Id="nativeLink263" Type="http://schemas.openxmlformats.org/officeDocument/2006/relationships/hyperlink" Target="https://diariodarepublica.pt/dr/detalhe/despacho/5543-a-2025-918326433" TargetMode="External" /><ns0:Relationship Id="nativeLink264" Type="http://schemas.openxmlformats.org/officeDocument/2006/relationships/hyperlink" Target="https://diariodarepublica.pt/dr/detalhe/despacho/5543-a-2025-918326433" TargetMode="External" /><ns0:Relationship Id="nativeLink265" Type="http://schemas.openxmlformats.org/officeDocument/2006/relationships/hyperlink" Target="https://diariodarepublica.pt/dr/detalhe/despacho/5543-a-2025-918326433" TargetMode="External" /><ns0:Relationship Id="nativeLink266" Type="http://schemas.openxmlformats.org/officeDocument/2006/relationships/hyperlink" Target="https://diariodarepublica.pt/dr/detalhe/despacho/5543-a-2025-918326433" TargetMode="External" /><ns0:Relationship Id="nativeLink267" Type="http://schemas.openxmlformats.org/officeDocument/2006/relationships/hyperlink" Target="https://diariodarepublica.pt/dr/detalhe/despacho/5543-a-2025-918326433" TargetMode="External" /><ns0:Relationship Id="nativeLink268" Type="http://schemas.openxmlformats.org/officeDocument/2006/relationships/hyperlink" Target="https://diariodarepublica.pt/dr/detalhe/despacho/5543-a-2025-918326433" TargetMode="External" /><ns0:Relationship Id="nativeLink269" Type="http://schemas.openxmlformats.org/officeDocument/2006/relationships/hyperlink" Target="https://diariodarepublica.pt/dr/detalhe/despacho/5543-a-2025-918326433" TargetMode="External" /><ns0:Relationship Id="nativeLink270" Type="http://schemas.openxmlformats.org/officeDocument/2006/relationships/hyperlink" Target="https://diariodarepublica.pt/dr/detalhe/despacho/5543-a-2025-918326433" TargetMode="External" /><ns0:Relationship Id="nativeLink271" Type="http://schemas.openxmlformats.org/officeDocument/2006/relationships/hyperlink" Target="https://diariodarepublica.pt/dr/detalhe/despacho/5543-a-2025-918326433" TargetMode="External" /><ns0:Relationship Id="nativeLink272" Type="http://schemas.openxmlformats.org/officeDocument/2006/relationships/hyperlink" Target="https://diariodarepublica.pt/dr/detalhe/despacho/5725-2025-918884615" TargetMode="External" /><ns0:Relationship Id="nativeLink273" Type="http://schemas.openxmlformats.org/officeDocument/2006/relationships/hyperlink" Target="https://diariodarepublica.pt/dr/detalhe/despacho/5725-2025-918884615" TargetMode="External" /><ns0:Relationship Id="nativeLink274" Type="http://schemas.openxmlformats.org/officeDocument/2006/relationships/hyperlink" Target="https://diariodarepublica.pt/dr/detalhe/despacho/5725-2025-918884615" TargetMode="External" /><ns0:Relationship Id="nativeLink275" Type="http://schemas.openxmlformats.org/officeDocument/2006/relationships/hyperlink" Target="https://diariodarepublica.pt/dr/detalhe/despacho/5725-2025-918884615" TargetMode="External" /><ns0:Relationship Id="nativeLink276" Type="http://schemas.openxmlformats.org/officeDocument/2006/relationships/hyperlink" Target="https://diariodarepublica.pt/dr/detalhe/despacho/5725-2025-918884615" TargetMode="External" /><ns0:Relationship Id="nativeLink277" Type="http://schemas.openxmlformats.org/officeDocument/2006/relationships/hyperlink" Target="https://diariodarepublica.pt/dr/detalhe/resolucao-conselho-ministros/119-2025-928506357" TargetMode="External" /><ns0:Relationship Id="nativeLink278" Type="http://schemas.openxmlformats.org/officeDocument/2006/relationships/hyperlink" Target="https://diariodarepublica.pt/dr/detalhe/resolucao-conselho-ministros/119-2025-928506357" TargetMode="External" /><ns0:Relationship Id="nativeLink279" Type="http://schemas.openxmlformats.org/officeDocument/2006/relationships/hyperlink" Target="https://diariodarepublica.pt/dr/detalhe/despacho/9698-2025-928825171" TargetMode="External" /><ns0:Relationship Id="nativeLink280" Type="http://schemas.openxmlformats.org/officeDocument/2006/relationships/hyperlink" Target="https://diariodarepublica.pt/dr/detalhe/despacho/9698-2025-928825171" TargetMode="External" /><ns0:Relationship Id="nativeLink281" Type="http://schemas.openxmlformats.org/officeDocument/2006/relationships/hyperlink" Target="https://diariodarepublica.pt/dr/detalhe/despacho/9698-2025-928825171" TargetMode="External" /><ns0:Relationship Id="nativeLink282" Type="http://schemas.openxmlformats.org/officeDocument/2006/relationships/hyperlink" Target="https://diariodarepublica.pt/dr/detalhe/despacho/9795-2025-932537244" TargetMode="External" /><ns0:Relationship Id="nativeLink283" Type="http://schemas.openxmlformats.org/officeDocument/2006/relationships/hyperlink" Target="https://diariodarepublica.pt/dr/detalhe/despacho/9795-2025-932537244" TargetMode="External" /><ns0:Relationship Id="nativeLink284" Type="http://schemas.openxmlformats.org/officeDocument/2006/relationships/hyperlink" Target="https://diariodarepublica.pt/dr/detalhe/despacho/9795-2025-932537244" TargetMode="External" /><ns0:Relationship Id="nativeLink285" Type="http://schemas.openxmlformats.org/officeDocument/2006/relationships/hyperlink" Target="https://diariodarepublica.pt/dr/detalhe/despacho/9795-2025-932537244" TargetMode="External" /><ns0:Relationship Id="nativeLink286" Type="http://schemas.openxmlformats.org/officeDocument/2006/relationships/hyperlink" Target="https://diariodarepublica.pt/dr/detalhe/despacho/9990-2025-932720961" TargetMode="External" /><ns0:Relationship Id="nativeLink287" Type="http://schemas.openxmlformats.org/officeDocument/2006/relationships/hyperlink" Target="https://diariodarepublica.pt/dr/detalhe/despacho/9990-2025-932720961" TargetMode="External" /><ns0:Relationship Id="nativeLink288" Type="http://schemas.openxmlformats.org/officeDocument/2006/relationships/hyperlink" Target="https://diariodarepublica.pt/dr/detalhe/despacho/9990-2025-932720961" TargetMode="External" /><ns0:Relationship Id="nativeLink289" Type="http://schemas.openxmlformats.org/officeDocument/2006/relationships/hyperlink" Target="https://diariodarepublica.pt/dr/detalhe/despacho/10519-2025-934179787" TargetMode="External" /><ns0:Relationship Id="nativeLink290" Type="http://schemas.openxmlformats.org/officeDocument/2006/relationships/hyperlink" Target="https://diariodarepublica.pt/dr/detalhe/despacho/10519-2025-934179787" TargetMode="External" /><ns0:Relationship Id="nativeLink291" Type="http://schemas.openxmlformats.org/officeDocument/2006/relationships/hyperlink" Target="https://diariodarepublica.pt/dr/detalhe/despacho/10547-2025-934422161" TargetMode="External" /><ns0:Relationship Id="nativeLink292" Type="http://schemas.openxmlformats.org/officeDocument/2006/relationships/hyperlink" Target="https://diariodarepublica.pt/dr/detalhe/despacho/10547-2025-934422161" TargetMode="External" /><ns0:Relationship Id="nativeLink293" Type="http://schemas.openxmlformats.org/officeDocument/2006/relationships/hyperlink" Target="https://diariodarepublica.pt/dr/detalhe/despacho/10547-2025-934422161" TargetMode="External" /><ns0:Relationship Id="nativeLink294" Type="http://schemas.openxmlformats.org/officeDocument/2006/relationships/hyperlink" Target="https://diariodarepublica.pt/dr/detalhe/despacho/10547-2025-934422161" TargetMode="External" /><ns0:Relationship Id="nativeLink295" Type="http://schemas.openxmlformats.org/officeDocument/2006/relationships/hyperlink" Target="https://diariodarepublica.pt/dr/detalhe/despacho/10662-2025-934744248" TargetMode="External" /><ns0:Relationship Id="nativeLink296" Type="http://schemas.openxmlformats.org/officeDocument/2006/relationships/hyperlink" Target="https://diariodarepublica.pt/dr/detalhe/despacho/10662-2025-934744248" TargetMode="External" /><ns0:Relationship Id="nativeLink297" Type="http://schemas.openxmlformats.org/officeDocument/2006/relationships/hyperlink" Target="https://diariodarepublica.pt/dr/detalhe/despacho/10662-2025-934744248" TargetMode="External" /><ns0:Relationship Id="nativeLink298" Type="http://schemas.openxmlformats.org/officeDocument/2006/relationships/hyperlink" Target="https://diariodarepublica.pt/dr/detalhe/despacho/10903-2025-935441970" TargetMode="External" /><ns0:Relationship Id="nativeLink299" Type="http://schemas.openxmlformats.org/officeDocument/2006/relationships/hyperlink" Target="https://diariodarepublica.pt/dr/detalhe/despacho/10903-2025-935441970" TargetMode="External" /><ns0:Relationship Id="nativeLink300" Type="http://schemas.openxmlformats.org/officeDocument/2006/relationships/hyperlink" Target="https://diariodarepublica.pt/dr/detalhe/despacho/10903-2025-935441970" TargetMode="External" /><ns0:Relationship Id="nativeLink301" Type="http://schemas.openxmlformats.org/officeDocument/2006/relationships/hyperlink" Target="https://diariodarepublica.pt/dr/detalhe/despacho/10918-2025-935495088" TargetMode="External" /><ns0:Relationship Id="nativeLink302" Type="http://schemas.openxmlformats.org/officeDocument/2006/relationships/hyperlink" Target="https://diariodarepublica.pt/dr/detalhe/despacho/10918-2025-935495088" TargetMode="External" /><ns0:Relationship Id="nativeLink303" Type="http://schemas.openxmlformats.org/officeDocument/2006/relationships/hyperlink" Target="https://diariodarepublica.pt/dr/detalhe/despacho/10918-2025-935495088" TargetMode="External" /><ns0:Relationship Id="nativeLink304" Type="http://schemas.openxmlformats.org/officeDocument/2006/relationships/hyperlink" Target="https://diariodarepublica.pt/dr/detalhe/despacho/10918-2025-935495088" TargetMode="External" /><ns0:Relationship Id="nativeLink305" Type="http://schemas.openxmlformats.org/officeDocument/2006/relationships/hyperlink" Target="https://diariodarepublica.pt/dr/detalhe/despacho/10918-2025-935495088" TargetMode="External" /><ns0:Relationship Id="nativeLink306" Type="http://schemas.openxmlformats.org/officeDocument/2006/relationships/hyperlink" Target="https://diariodarepublica.pt/dr/detalhe/despacho/10918-2025-935495088" TargetMode="External" /><ns0:Relationship Id="nativeLink307" Type="http://schemas.openxmlformats.org/officeDocument/2006/relationships/hyperlink" Target="https://diariodarepublica.pt/dr/detalhe/despacho/10918-2025-935495088" TargetMode="External" /><ns0:Relationship Id="nativeLink308" Type="http://schemas.openxmlformats.org/officeDocument/2006/relationships/hyperlink" Target="https://diariodarepublica.pt/dr/detalhe/despacho/10918-2025-935495088" TargetMode="External" /><ns0:Relationship Id="nativeLink309" Type="http://schemas.openxmlformats.org/officeDocument/2006/relationships/hyperlink" Target="https://diariodarepublica.pt/dr/detalhe/despacho/10918-2025-935495088" TargetMode="External" /><ns0:Relationship Id="nativeLink310" Type="http://schemas.openxmlformats.org/officeDocument/2006/relationships/hyperlink" Target="https://diariodarepublica.pt/dr/detalhe/despacho/10945-2025-935495442" TargetMode="External" /><ns0:Relationship Id="nativeLink311" Type="http://schemas.openxmlformats.org/officeDocument/2006/relationships/hyperlink" Target="https://diariodarepublica.pt/dr/detalhe/despacho/10945-2025-935495442" TargetMode="External" /><ns0:Relationship Id="nativeLink312" Type="http://schemas.openxmlformats.org/officeDocument/2006/relationships/hyperlink" Target="https://diariodarepublica.pt/dr/detalhe/despacho/10945-2025-935495442" TargetMode="External" /><ns0:Relationship Id="nativeLink313" Type="http://schemas.openxmlformats.org/officeDocument/2006/relationships/hyperlink" Target="https://diariodarepublica.pt/dr/detalhe/despacho/10945-2025-935495442" TargetMode="External" /><ns0:Relationship Id="nativeLink314" Type="http://schemas.openxmlformats.org/officeDocument/2006/relationships/hyperlink" Target="https://diariodarepublica.pt/dr/detalhe/despacho/10945-2025-935495442" TargetMode="External" /><ns0:Relationship Id="nativeLink315" Type="http://schemas.openxmlformats.org/officeDocument/2006/relationships/hyperlink" Target="https://diariodarepublica.pt/dr/detalhe/despacho/10945-2025-935495442" TargetMode="External" /><ns0:Relationship Id="nativeLink316" Type="http://schemas.openxmlformats.org/officeDocument/2006/relationships/hyperlink" Target="https://diariodarepublica.pt/dr/detalhe/despacho/10945-2025-935495442" TargetMode="External" /><ns0:Relationship Id="nativeLink317" Type="http://schemas.openxmlformats.org/officeDocument/2006/relationships/hyperlink" Target="https://diariodarepublica.pt/dr/detalhe/despacho/10945-2025-935495442" TargetMode="External" /><ns0:Relationship Id="nativeLink318" Type="http://schemas.openxmlformats.org/officeDocument/2006/relationships/hyperlink" Target="https://diariodarepublica.pt/dr/detalhe/despacho/11297-2025-936527063" TargetMode="External" /><ns0:Relationship Id="nativeLink319" Type="http://schemas.openxmlformats.org/officeDocument/2006/relationships/hyperlink" Target="https://diariodarepublica.pt/dr/detalhe/despacho/11297-2025-936527063" TargetMode="External" /><ns0:Relationship Id="nativeLink320" Type="http://schemas.openxmlformats.org/officeDocument/2006/relationships/hyperlink" Target="https://diariodarepublica.pt/dr/detalhe/despacho/11297-2025-936527063" TargetMode="External" /><ns0:Relationship Id="nativeLink321" Type="http://schemas.openxmlformats.org/officeDocument/2006/relationships/hyperlink" Target="https://diariodarepublica.pt/dr/detalhe/despacho/11412-a-2025-937049215" TargetMode="External" /><ns0:Relationship Id="nativeLink322" Type="http://schemas.openxmlformats.org/officeDocument/2006/relationships/hyperlink" Target="https://diariodarepublica.pt/dr/detalhe/despacho/11412-a-2025-937049215" TargetMode="External" /><ns0:Relationship Id="nativeLink323" Type="http://schemas.openxmlformats.org/officeDocument/2006/relationships/hyperlink" Target="https://diariodarepublica.pt/dr/detalhe/despacho/11412-a-2025-937049215" TargetMode="External" /><ns0:Relationship Id="nativeLink324" Type="http://schemas.openxmlformats.org/officeDocument/2006/relationships/hyperlink" Target="https://diariodarepublica.pt/dr/detalhe/despacho/11412-a-2025-937049215" TargetMode="External" /><ns0:Relationship Id="nativeLink325" Type="http://schemas.openxmlformats.org/officeDocument/2006/relationships/hyperlink" Target="https://diariodarepublica.pt/dr/detalhe/despacho/11412-a-2025-937049215" TargetMode="External" /><ns0:Relationship Id="nativeLink326" Type="http://schemas.openxmlformats.org/officeDocument/2006/relationships/hyperlink" Target="https://diariodarepublica.pt/dr/detalhe/despacho/11649-2025-937675961" TargetMode="External" /><ns0:Relationship Id="nativeLink327" Type="http://schemas.openxmlformats.org/officeDocument/2006/relationships/hyperlink" Target="https://diariodarepublica.pt/dr/detalhe/despacho/11649-2025-937675961" TargetMode="External" /><ns0:Relationship Id="nativeLink328" Type="http://schemas.openxmlformats.org/officeDocument/2006/relationships/hyperlink" Target="https://diariodarepublica.pt/dr/detalhe/despacho/11649-2025-937675961" TargetMode="External" /><ns0:Relationship Id="nativeLink329" Type="http://schemas.openxmlformats.org/officeDocument/2006/relationships/hyperlink" Target="https://diariodarepublica.pt/dr/detalhe/despacho/11843-2025-938604558" TargetMode="External" /><ns0:Relationship Id="nativeLink330" Type="http://schemas.openxmlformats.org/officeDocument/2006/relationships/hyperlink" Target="https://diariodarepublica.pt/dr/detalhe/despacho/11843-2025-938604558" TargetMode="External" /><ns0:Relationship Id="nativeLink331" Type="http://schemas.openxmlformats.org/officeDocument/2006/relationships/hyperlink" Target="https://diariodarepublica.pt/dr/detalhe/despacho/11843-2025-938604558" TargetMode="External" /><ns0:Relationship Id="nativeLink332" Type="http://schemas.openxmlformats.org/officeDocument/2006/relationships/hyperlink" Target="https://diariodarepublica.pt/dr/detalhe/despacho/11843-2025-938604558" TargetMode="External" /><ns0:Relationship Id="nativeLink333" Type="http://schemas.openxmlformats.org/officeDocument/2006/relationships/hyperlink" Target="https://diariodarepublica.pt/dr/detalhe/despacho/11843-2025-938604558" TargetMode="External" /><ns0:Relationship Id="nativeLink334" Type="http://schemas.openxmlformats.org/officeDocument/2006/relationships/hyperlink" Target="https://diariodarepublica.pt/dr/detalhe/resolucao-conselho-ministros/175-2025-945116919" TargetMode="External" /><ns0:Relationship Id="nativeLink335" Type="http://schemas.openxmlformats.org/officeDocument/2006/relationships/hyperlink" Target="https://diariodarepublica.pt/dr/detalhe/resolucao-conselho-ministros/175-2025-945116919" TargetMode="External" /><ns0:Relationship Id="nativeLink336" Type="http://schemas.openxmlformats.org/officeDocument/2006/relationships/hyperlink" Target="https://diariodarepublica.pt/dr/detalhe/resolucao-conselho-ministros/175-2025-945116919" TargetMode="External" /><ns0:Relationship Id="nativeLink337" Type="http://schemas.openxmlformats.org/officeDocument/2006/relationships/hyperlink" Target="https://diariodarepublica.pt/dr/detalhe/resolucao-conselho-ministros/175-2025-945116919" TargetMode="External" /><ns0:Relationship Id="nativeLink338" Type="http://schemas.openxmlformats.org/officeDocument/2006/relationships/hyperlink" Target="https://diariodarepublica.pt/dr/detalhe/resolucao-conselho-ministros/175-2025-945116919" TargetMode="External" /><ns0:Relationship Id="nativeLink339" Type="http://schemas.openxmlformats.org/officeDocument/2006/relationships/hyperlink" Target="https://diariodarepublica.pt/dr/detalhe/resolucao-conselho-ministros/175-2025-945116919" TargetMode="External" /><ns0:Relationship Id="nativeLink340" Type="http://schemas.openxmlformats.org/officeDocument/2006/relationships/hyperlink" Target="https://diariodarepublica.pt/dr/detalhe/despacho/14492-2025-962955481" TargetMode="External" /><ns0:Relationship Id="nativeLink341" Type="http://schemas.openxmlformats.org/officeDocument/2006/relationships/hyperlink" Target="https://diariodarepublica.pt/dr/detalhe/despacho/14492-2025-962955481" TargetMode="External" /><ns0:Relationship Id="nativeLink342" Type="http://schemas.openxmlformats.org/officeDocument/2006/relationships/hyperlink" Target="https://diariodarepublica.pt/dr/detalhe/despacho/14507-2025-962955516" TargetMode="External" /><ns0:Relationship Id="nativeLink343" Type="http://schemas.openxmlformats.org/officeDocument/2006/relationships/hyperlink" Target="https://diariodarepublica.pt/dr/detalhe/despacho/14507-2025-962955516" TargetMode="External" /><ns0:Relationship Id="nativeLink344" Type="http://schemas.openxmlformats.org/officeDocument/2006/relationships/hyperlink" Target="https://diariodarepublica.pt/dr/detalhe/despacho/14507-2025-962955516" TargetMode="External" /><ns0:Relationship Id="nativeLink345" Type="http://schemas.openxmlformats.org/officeDocument/2006/relationships/hyperlink" Target="https://diariodarepublica.pt/dr/detalhe/despacho/14507-2025-962955516" TargetMode="External" /><ns0:Relationship Id="nativeLink346" Type="http://schemas.openxmlformats.org/officeDocument/2006/relationships/hyperlink" Target="https://diariodarepublica.pt/dr/detalhe/despacho/14507-2025-962955516" TargetMode="External" /><ns0:Relationship Id="nativeLink347" Type="http://schemas.openxmlformats.org/officeDocument/2006/relationships/hyperlink" Target="https://diariodarepublica.pt/dr/detalhe/despacho/14507-2025-962955516" TargetMode="External" /><ns0:Relationship Id="nativeLink348" Type="http://schemas.openxmlformats.org/officeDocument/2006/relationships/hyperlink" Target="https://www.dgav.pt/destaques/noticias/abertura-de-consulta-publica-plano-de-acao-nacional-para-o-uso-sustentavel-de-produtos-fitofarmaceuticos-2025-2030-2-a-revisao/" TargetMode="External" /><ns0:Relationship Id="nativeLink349" Type="http://schemas.openxmlformats.org/officeDocument/2006/relationships/hyperlink" Target="https://diariodarepublica.pt/dr/detalhe/despacho/14507-2025-962955516" TargetMode="External" /><ns0:Relationship Id="nativeLink350" Type="http://schemas.openxmlformats.org/officeDocument/2006/relationships/hyperlink" Target="https://diariodarepublica.pt/dr/detalhe/despacho/15275-2025-992393997" TargetMode="External" /><ns0:Relationship Id="nativeLink351" Type="http://schemas.openxmlformats.org/officeDocument/2006/relationships/hyperlink" Target="https://diariodarepublica.pt/dr/detalhe/despacho/15275-2025-992393997" TargetMode="External" /><ns0:Relationship Id="nativeLink352" Type="http://schemas.openxmlformats.org/officeDocument/2006/relationships/hyperlink" Target="https://diariodarepublica.pt/dr/detalhe/despacho/15275-2025-992393997" TargetMode="External" /><ns0:Relationship Id="nativeLink353" Type="http://schemas.openxmlformats.org/officeDocument/2006/relationships/hyperlink" Target="https://diariodarepublica.pt/dr/detalhe/despacho/15438-2025-992877961" TargetMode="External" /><ns0:Relationship Id="nativeLink354" Type="http://schemas.openxmlformats.org/officeDocument/2006/relationships/hyperlink" Target="https://diariodarepublica.pt/dr/detalhe/despacho/15438-2025-992877961" TargetMode="External" /><ns0:Relationship Id="nativeLink355" Type="http://schemas.openxmlformats.org/officeDocument/2006/relationships/hyperlink" Target="https://diariodarepublica.pt/dr/detalhe/despacho/15438-2025-992877961" TargetMode="External" /><ns0:Relationship Id="nativeLink356" Type="http://schemas.openxmlformats.org/officeDocument/2006/relationships/hyperlink" Target="https://diariodarepublica.pt/dr/detalhe/despacho/661-2026-1016752446" TargetMode="External" /><ns0:Relationship Id="nativeLink357" Type="http://schemas.openxmlformats.org/officeDocument/2006/relationships/hyperlink" Target="https://diariodarepublica.pt/dr/detalhe/despacho/831-2026-1022554176" TargetMode="External" /><ns0:Relationship Id="nativeLink358" Type="http://schemas.openxmlformats.org/officeDocument/2006/relationships/hyperlink" Target="https://diariodarepublica.pt/dr/detalhe/despacho/831-2026-1022554176" TargetMode="External" /><ns0:Relationship Id="nativeLink359" Type="http://schemas.openxmlformats.org/officeDocument/2006/relationships/hyperlink" Target="https://diariodarepublica.pt/dr/detalhe/despacho/831-2026-1022554176" TargetMode="External" /><ns0:Relationship Id="nativeLink360" Type="http://schemas.openxmlformats.org/officeDocument/2006/relationships/hyperlink" Target="https://diariodarepublica.pt/dr/detalhe/despacho/9701-2026-1153917423" TargetMode="External" /><ns0:Relationship Id="nativeLink361" Type="http://schemas.openxmlformats.org/officeDocument/2006/relationships/hyperlink" Target="https://diariodarepublica.pt/dr/detalhe/despacho/1994-2026-1051076689" TargetMode="External" /><ns0:Relationship Id="nativeLink362" Type="http://schemas.openxmlformats.org/officeDocument/2006/relationships/hyperlink" Target="https://diariodarepublica.pt/dr/detalhe/despacho/1994-2026-1051076689" TargetMode="External" /><ns0:Relationship Id="nativeLink363" Type="http://schemas.openxmlformats.org/officeDocument/2006/relationships/hyperlink" Target="https://diariodarepublica.pt/dr/detalhe/despacho/3089-2026-1070724105" TargetMode="External" /><ns0:Relationship Id="nativeLink364" Type="http://schemas.openxmlformats.org/officeDocument/2006/relationships/hyperlink" Target="https://diariodarepublica.pt/dr/detalhe/despacho/3089-2026-1070724105" TargetMode="External" /><ns0:Relationship Id="nativeLink365" Type="http://schemas.openxmlformats.org/officeDocument/2006/relationships/hyperlink" Target="https://diariodarepublica.pt/dr/detalhe/despacho/3089-2026-1070724105" TargetMode="External" /><ns0:Relationship Id="nativeLink366" Type="http://schemas.openxmlformats.org/officeDocument/2006/relationships/hyperlink" Target="https://diariodarepublica.pt/dr/detalhe/despacho/3317-2026-1071481467" TargetMode="External" /><ns0:Relationship Id="nativeLink367" Type="http://schemas.openxmlformats.org/officeDocument/2006/relationships/hyperlink" Target="https://diariodarepublica.pt/dr/detalhe/despacho/3808-2026-1075988859" TargetMode="External" /><ns0:Relationship Id="nativeLink368" Type="http://schemas.openxmlformats.org/officeDocument/2006/relationships/hyperlink" Target="https://diariodarepublica.pt/dr/detalhe/despacho/3808-2026-1075988859" TargetMode="External" /><ns0:Relationship Id="nativeLink369" Type="http://schemas.openxmlformats.org/officeDocument/2006/relationships/hyperlink" Target="https://diariodarepublica.pt/dr/detalhe/despacho/3808-2026-1075988859" TargetMode="External" /><ns0:Relationship Id="nativeLink370" Type="http://schemas.openxmlformats.org/officeDocument/2006/relationships/hyperlink" Target="https://diariodarepublica.pt/dr/detalhe/despacho/3965-2026-1077349638" TargetMode="External" /><ns0:Relationship Id="nativeLink371" Type="http://schemas.openxmlformats.org/officeDocument/2006/relationships/hyperlink" Target="https://diariodarepublica.pt/dr/detalhe/despacho/3965-2026-1077349638" TargetMode="External" /><ns0:Relationship Id="nativeLink372" Type="http://schemas.openxmlformats.org/officeDocument/2006/relationships/hyperlink" Target="https://diariodarepublica.pt/dr/detalhe/despacho/4319-2026-1080930313" TargetMode="External" /><ns0:Relationship Id="nativeLink373" Type="http://schemas.openxmlformats.org/officeDocument/2006/relationships/hyperlink" Target="https://diariodarepublica.pt/dr/detalhe/despacho/4319-2026-1080930313" TargetMode="External" /><ns0:Relationship Id="nativeLink374" Type="http://schemas.openxmlformats.org/officeDocument/2006/relationships/hyperlink" Target="https://diariodarepublica.pt/dr/detalhe/despacho/4319-2026-1080930313" TargetMode="External" /><ns0:Relationship Id="nativeLink375" Type="http://schemas.openxmlformats.org/officeDocument/2006/relationships/hyperlink" Target="https://diariodarepublica.pt/dr/detalhe/despacho/4319-2026-1080930313" TargetMode="External" /><ns0:Relationship Id="nativeLink376" Type="http://schemas.openxmlformats.org/officeDocument/2006/relationships/hyperlink" Target="https://diariodarepublica.pt/dr/detalhe/despacho/4319-2026-1080930313" TargetMode="External" /><ns0:Relationship Id="nativeLink377" Type="http://schemas.openxmlformats.org/officeDocument/2006/relationships/hyperlink" Target="https://diariodarepublica.pt/dr/detalhe/despacho/4319-2026-1080930313" TargetMode="External" /><ns0:Relationship Id="nativeLink378" Type="http://schemas.openxmlformats.org/officeDocument/2006/relationships/hyperlink" Target="https://diariodarepublica.pt/dr/detalhe/despacho/4319-2026-1080930313" TargetMode="External" /><ns0:Relationship Id="nativeLink379" Type="http://schemas.openxmlformats.org/officeDocument/2006/relationships/hyperlink" Target="https://diariodarepublica.pt/dr/detalhe/despacho/4643-2026-1082906758" TargetMode="External" /><ns0:Relationship Id="nativeLink380" Type="http://schemas.openxmlformats.org/officeDocument/2006/relationships/hyperlink" Target="https://diariodarepublica.pt/dr/detalhe/despacho/4643-2026-1082906758" TargetMode="External" /><ns0:Relationship Id="nativeLink381" Type="http://schemas.openxmlformats.org/officeDocument/2006/relationships/hyperlink" Target="https://diariodarepublica.pt/dr/detalhe/despacho/4643-2026-1082906758" TargetMode="External" /><ns0:Relationship Id="nativeLink382" Type="http://schemas.openxmlformats.org/officeDocument/2006/relationships/hyperlink" Target="https://diariodarepublica.pt/dr/detalhe/despacho/4643-2026-1082906758" TargetMode="External" /><ns0:Relationship Id="nativeLink383" Type="http://schemas.openxmlformats.org/officeDocument/2006/relationships/hyperlink" Target="https://diariodarepublica.pt/dr/detalhe/despacho/4749-2026-1084035715" TargetMode="External" /><ns0:Relationship Id="nativeLink384" Type="http://schemas.openxmlformats.org/officeDocument/2006/relationships/hyperlink" Target="https://diariodarepublica.pt/dr/detalhe/despacho/4749-2026-1084035715" TargetMode="External" /><ns0:Relationship Id="nativeLink385" Type="http://schemas.openxmlformats.org/officeDocument/2006/relationships/hyperlink" Target="https://diariodarepublica.pt/dr/detalhe/despacho/5146-2026-1086825315" TargetMode="External" /><ns0:Relationship Id="nativeLink386" Type="http://schemas.openxmlformats.org/officeDocument/2006/relationships/hyperlink" Target="https://diariodarepublica.pt/dr/detalhe/despacho/5146-2026-1086825315" TargetMode="External" /><ns0:Relationship Id="nativeLink387" Type="http://schemas.openxmlformats.org/officeDocument/2006/relationships/hyperlink" Target="https://diariodarepublica.pt/dr/detalhe/despacho/5146-2026-1086825315" TargetMode="External" /><ns0:Relationship Id="nativeLink388" Type="http://schemas.openxmlformats.org/officeDocument/2006/relationships/hyperlink" Target="https://diariodarepublica.pt/dr/detalhe/despacho/5146-2026-1086825315" TargetMode="External" /><ns0:Relationship Id="nativeLink389" Type="http://schemas.openxmlformats.org/officeDocument/2006/relationships/hyperlink" Target="https://diariodarepublica.pt/dr/detalhe/despacho/5900-2026-1114075412" TargetMode="External" /><ns0:Relationship Id="nativeLink390" Type="http://schemas.openxmlformats.org/officeDocument/2006/relationships/hyperlink" Target="https://diariodarepublica.pt/dr/detalhe/despacho/5900-2026-1114075412" TargetMode="External" /><ns0:Relationship Id="nativeLink391" Type="http://schemas.openxmlformats.org/officeDocument/2006/relationships/hyperlink" Target="https://diariodarepublica.pt/dr/detalhe/despacho/6859-2026-1127910940" TargetMode="External" /><ns0:Relationship Id="nativeLink392" Type="http://schemas.openxmlformats.org/officeDocument/2006/relationships/hyperlink" Target="https://diariodarepublica.pt/dr/detalhe/despacho/6941-2026-1128499274" TargetMode="External" /><ns0:Relationship Id="nativeLink393" Type="http://schemas.openxmlformats.org/officeDocument/2006/relationships/hyperlink" Target="https://diariodarepublica.pt/dr/detalhe/despacho/6941-2026-1128499274" TargetMode="External" /><ns0:Relationship Id="nativeLink394" Type="http://schemas.openxmlformats.org/officeDocument/2006/relationships/hyperlink" Target="https://diariodarepublica.pt/dr/detalhe/despacho/6941-2026-1128499274" TargetMode="External" /><ns0:Relationship Id="nativeLink395" Type="http://schemas.openxmlformats.org/officeDocument/2006/relationships/hyperlink" Target="https://diariodarepublica.pt/dr/detalhe/despacho/6941-2026-1128499274" TargetMode="External" /><ns0:Relationship Id="nativeLink396" Type="http://schemas.openxmlformats.org/officeDocument/2006/relationships/hyperlink" Target="https://diariodarepublica.pt/dr/detalhe/despacho/6941-2026-1128499274" TargetMode="External" /><ns0:Relationship Id="nativeLink397" Type="http://schemas.openxmlformats.org/officeDocument/2006/relationships/hyperlink" Target="https://diariodarepublica.pt/dr/detalhe/despacho/6941-2026-1128499274" TargetMode="External" /><ns0:Relationship Id="nativeLink398" Type="http://schemas.openxmlformats.org/officeDocument/2006/relationships/hyperlink" Target="https://diariodarepublica.pt/dr/detalhe/despacho/6941-2026-1128499274" TargetMode="External" /><ns0:Relationship Id="nativeLink399" Type="http://schemas.openxmlformats.org/officeDocument/2006/relationships/hyperlink" Target="https://diariodarepublica.pt/dr/detalhe/despacho/6941-2026-1128499274" TargetMode="External" /><ns0:Relationship Id="nativeLink400" Type="http://schemas.openxmlformats.org/officeDocument/2006/relationships/hyperlink" Target="https://diariodarepublica.pt/dr/detalhe/despacho/6941-2026-1128499274" TargetMode="External" /><ns0:Relationship Id="nativeLink401" Type="http://schemas.openxmlformats.org/officeDocument/2006/relationships/hyperlink" Target="https://diariodarepublica.pt/dr/detalhe/despacho/6941-2026-1128499274" TargetMode="External" /><ns0:Relationship Id="nativeLink402" Type="http://schemas.openxmlformats.org/officeDocument/2006/relationships/hyperlink" Target="https://diariodarepublica.pt/dr/detalhe/despacho/7229-2026-1130120993" TargetMode="External" /><ns0:Relationship Id="nativeLink403" Type="http://schemas.openxmlformats.org/officeDocument/2006/relationships/hyperlink" Target="https://diariodarepublica.pt/dr/detalhe/despacho/7229-2026-1130120993" TargetMode="External" /><ns0:Relationship Id="nativeLink404" Type="http://schemas.openxmlformats.org/officeDocument/2006/relationships/hyperlink" Target="https://diariodarepublica.pt/dr/detalhe/despacho/7381-2026-1131612628" TargetMode="External" /><ns0:Relationship Id="nativeLink405" Type="http://schemas.openxmlformats.org/officeDocument/2006/relationships/hyperlink" Target="https://diariodarepublica.pt/dr/detalhe/despacho/7541-2026-1132818510" TargetMode="External" /><ns0:Relationship Id="nativeLink406" Type="http://schemas.openxmlformats.org/officeDocument/2006/relationships/hyperlink" Target="https://diariodarepublica.pt/dr/detalhe/despacho/7541-2026-1132818510" TargetMode="External" /><ns0:Relationship Id="nativeLink407" Type="http://schemas.openxmlformats.org/officeDocument/2006/relationships/hyperlink" Target="https://diariodarepublica.pt/dr/detalhe/despacho/7542-2026-1132818511" TargetMode="External" /><ns0:Relationship Id="nativeLink408" Type="http://schemas.openxmlformats.org/officeDocument/2006/relationships/hyperlink" Target="https://diariodarepublica.pt/dr/detalhe/despacho/7542-2026-1132818511" TargetMode="External" /><ns0:Relationship Id="nativeLink409" Type="http://schemas.openxmlformats.org/officeDocument/2006/relationships/hyperlink" Target="https://diariodarepublica.pt/dr/detalhe/despacho/7543-2026-1132818512" TargetMode="External" /><ns0:Relationship Id="nativeLink410" Type="http://schemas.openxmlformats.org/officeDocument/2006/relationships/hyperlink" Target="https://diariodarepublica.pt/dr/detalhe/despacho/7543-2026-1132818512" TargetMode="External" /><ns0:Relationship Id="nativeLink411" Type="http://schemas.openxmlformats.org/officeDocument/2006/relationships/hyperlink" Target="https://diariodarepublica.pt/dr/detalhe/despacho/7650-2026-1133910824" TargetMode="External" /><ns0:Relationship Id="nativeLink412" Type="http://schemas.openxmlformats.org/officeDocument/2006/relationships/hyperlink" Target="https://diariodarepublica.pt/dr/detalhe/despacho/7650-2026-1133910824" TargetMode="External" /><ns0:Relationship Id="nativeLink413" Type="http://schemas.openxmlformats.org/officeDocument/2006/relationships/hyperlink" Target="https://diariodarepublica.pt/dr/detalhe/despacho/7971-2026-1138363947" TargetMode="External" /><ns0:Relationship Id="nativeLink414" Type="http://schemas.openxmlformats.org/officeDocument/2006/relationships/hyperlink" Target="https://diariodarepublica.pt/dr/detalhe/despacho/7971-2026-1138363947" TargetMode="External" /><ns0:Relationship Id="nativeLink415" Type="http://schemas.openxmlformats.org/officeDocument/2006/relationships/hyperlink" Target="https://diariodarepublica.pt/dr/detalhe/despacho/7971-2026-1138363947" TargetMode="External" /><ns0:Relationship Id="nativeLink416" Type="http://schemas.openxmlformats.org/officeDocument/2006/relationships/hyperlink" Target="https://diariodarepublica.pt/dr/detalhe/despacho/7971-2026-1138363947" TargetMode="External" /><ns0:Relationship Id="nativeLink417" Type="http://schemas.openxmlformats.org/officeDocument/2006/relationships/hyperlink" Target="https://diariodarepublica.pt/dr/detalhe/despacho/7971-2026-1138363947" TargetMode="External" /><ns0:Relationship Id="nativeLink418" Type="http://schemas.openxmlformats.org/officeDocument/2006/relationships/hyperlink" Target="https://diariodarepublica.pt/dr/detalhe/despacho/7971-2026-1138363947" TargetMode="External" /><ns0:Relationship Id="nativeLink419" Type="http://schemas.openxmlformats.org/officeDocument/2006/relationships/hyperlink" Target="https://diariodarepublica.pt/dr/detalhe/resolucao-conselho-ministros/144-2026-1147043702" TargetMode="External" /><ns0:Relationship Id="nativeLink420" Type="http://schemas.openxmlformats.org/officeDocument/2006/relationships/hyperlink" Target="https://diariodarepublica.pt/dr/detalhe/resolucao-conselho-ministros/144-2026-1147043702" TargetMode="External" /><ns0:Relationship Id="nativeLink421" Type="http://schemas.openxmlformats.org/officeDocument/2006/relationships/hyperlink" Target="https://diariodarepublica.pt/dr/detalhe/despacho/8971-2026-1148259710" TargetMode="External" /><ns0:Relationship Id="nativeLink422" Type="http://schemas.openxmlformats.org/officeDocument/2006/relationships/hyperlink" Target="https://diariodarepublica.pt/dr/detalhe/despacho/8971-2026-1148259710" TargetMode="External" /><ns0:Relationship Id="nativeLink423" Type="http://schemas.openxmlformats.org/officeDocument/2006/relationships/hyperlink" Target="https://diariodarepublica.pt/dr/detalhe/despacho/8971-2026-1148259710" TargetMode="External" /><ns0:Relationship Id="nativeLink424" Type="http://schemas.openxmlformats.org/officeDocument/2006/relationships/hyperlink" Target="https://diariodarepublica.pt/dr/detalhe/despacho/9999-2026-1155101848" TargetMode="External" /><ns0:Relationship Id="nativeLink425" Type="http://schemas.openxmlformats.org/officeDocument/2006/relationships/hyperlink" Target="https://diariodarepublica.pt/dr/detalhe/despacho/9999-2026-1155101848" TargetMode="External" /><ns0:Relationship Id="nativeLink426" Type="http://schemas.openxmlformats.org/officeDocument/2006/relationships/hyperlink" Target="https://diariodarepublica.pt/dr/detalhe/despacho/9999-2026-1155101848" TargetMode="External" /><ns0:Relationship Id="nativeLink427" Type="http://schemas.openxmlformats.org/officeDocument/2006/relationships/hyperlink" Target="https://diariodarepublica.pt/dr/detalhe/despacho/9999-2026-1155101848" TargetMode="External" /><ns0:Relationship Id="nativeLink428" Type="http://schemas.openxmlformats.org/officeDocument/2006/relationships/hyperlink" Target="https://diariodarepublica.pt/dr/detalhe/despacho/10174-2026-1156689146" TargetMode="External" /><ns0:Relationship Id="nativeLink429" Type="http://schemas.openxmlformats.org/officeDocument/2006/relationships/hyperlink" Target="https://diariodarepublica.pt/dr/detalhe/despacho/10174-2026-1156689146" TargetMode="External" /><ns0:Relationship Id="nativeLink430" Type="http://schemas.openxmlformats.org/officeDocument/2006/relationships/hyperlink" Target="https://diariodarepublica.pt/dr/detalhe/despacho/11130-2026-1168075404" TargetMode="External" /><ns0:Relationship Id="nativeLink431" Type="http://schemas.openxmlformats.org/officeDocument/2006/relationships/hyperlink" Target="https://diariodarepublica.pt/dr/detalhe/despacho/11130-2026-1168075404" TargetMode="External" /><ns0:Relationship Id="nativeLink432" Type="http://schemas.openxmlformats.org/officeDocument/2006/relationships/hyperlink" Target="https://diariodarepublica.pt/dr/detalhe/despacho/11130-2026-1168075404" TargetMode="External" /><ns0:Relationship Id="nativeLink433" Type="http://schemas.openxmlformats.org/officeDocument/2006/relationships/hyperlink" Target="https://diariodarepublica.pt/dr/detalhe/despacho/11488-2026-1171481959" TargetMode="External" /><ns0:Relationship Id="nativeLink434" Type="http://schemas.openxmlformats.org/officeDocument/2006/relationships/hyperlink" Target="https://diariodarepublica.pt/dr/detalhe/despacho/11488-2026-1171481959" TargetMode="External" /><ns0:Relationship Id="nativeLink435" Type="http://schemas.openxmlformats.org/officeDocument/2006/relationships/hyperlink" Target="https://diariodarepublica.pt/dr/detalhe/despacho/11488-2026-1171481959" TargetMode="External" /><ns0:Relationship Id="nativeLink436" Type="http://schemas.openxmlformats.org/officeDocument/2006/relationships/hyperlink" Target="https://diariodarepublica.pt/dr/detalhe/despacho/11488-2026-1171481959" TargetMode="External" /><ns0:Relationship Id="nativeLink437" Type="http://schemas.openxmlformats.org/officeDocument/2006/relationships/hyperlink" Target="https://diariodarepublica.pt/dr/detalhe/despacho/11672-2026-1172867984" TargetMode="External" /><ns0:Relationship Id="nativeLink438" Type="http://schemas.openxmlformats.org/officeDocument/2006/relationships/hyperlink" Target="https://diariodarepublica.pt/dr/detalhe/despacho/11672-2026-1172867984" TargetMode="External" /><ns0:Relationship Id="nativeLink439" Type="http://schemas.openxmlformats.org/officeDocument/2006/relationships/hyperlink" Target="https://diariodarepublica.pt/dr/detalhe/despacho/11672-2026-1172867984" TargetMode="External" /><ns0:Relationship Id="nativeLink440" Type="http://schemas.openxmlformats.org/officeDocument/2006/relationships/hyperlink" Target="https://diariodarepublica.pt/dr/detalhe/despacho/11672-2026-1172867984" TargetMode="External" /><ns0:Relationship Id="nativeLink441" Type="http://schemas.openxmlformats.org/officeDocument/2006/relationships/hyperlink" Target="https://diariodarepublica.pt/dr/detalhe/despacho/11672-2026-1172867984" TargetMode="External" /></ns0:Relationships>
</file>

<file path=xl/worksheets/_rels/sheet4.xml.rels><?xml version='1.0' encoding='utf-8'?>
<ns0:Relationships xmlns:ns0="http://schemas.openxmlformats.org/package/2006/relationships"><ns0:Relationship Type="http://schemas.openxmlformats.org/officeDocument/2006/relationships/table" Target="/xl/tables/table3.xml" Id="R952e39d0e0c6451b" /><ns0:Relationship Id="nativeLink1" Type="http://schemas.openxmlformats.org/officeDocument/2006/relationships/hyperlink" Target="https://diariodarepublica.pt/dr/detalhe/resolucao-conselho-ministros/68-2024-867194464" TargetMode="External" /><ns0:Relationship Id="nativeLink2" Type="http://schemas.openxmlformats.org/officeDocument/2006/relationships/hyperlink" Target="https://diariodarepublica.pt/dr/detalhe/despacho/6475-2024-868409451" TargetMode="External" /><ns0:Relationship Id="nativeLink3" Type="http://schemas.openxmlformats.org/officeDocument/2006/relationships/hyperlink" Target="https://diariodarepublica.pt/dr/detalhe/despacho/6475-2024-868409451" TargetMode="External" /><ns0:Relationship Id="nativeLink4" Type="http://schemas.openxmlformats.org/officeDocument/2006/relationships/hyperlink" Target="https://diariodarepublica.pt/dr/detalhe/despacho/6475-2024-868409451" TargetMode="External" /><ns0:Relationship Id="nativeLink5" Type="http://schemas.openxmlformats.org/officeDocument/2006/relationships/hyperlink" Target="https://diariodarepublica.pt/dr/detalhe/despacho/6475-2024-868409451" TargetMode="External" /><ns0:Relationship Id="nativeLink6" Type="http://schemas.openxmlformats.org/officeDocument/2006/relationships/hyperlink" Target="https://diariodarepublica.pt/dr/detalhe/despacho/6563-2024-868447723" TargetMode="External" /><ns0:Relationship Id="nativeLink7" Type="http://schemas.openxmlformats.org/officeDocument/2006/relationships/hyperlink" Target="https://diariodarepublica.pt/dr/detalhe/despacho/6564-2024-868447724" TargetMode="External" /><ns0:Relationship Id="nativeLink8" Type="http://schemas.openxmlformats.org/officeDocument/2006/relationships/hyperlink" Target="https://diariodarepublica.pt/dr/detalhe/despacho/6757-a-2024-868812119" TargetMode="External" /><ns0:Relationship Id="nativeLink9" Type="http://schemas.openxmlformats.org/officeDocument/2006/relationships/hyperlink" Target="https://diariodarepublica.pt/dr/detalhe/despacho/6757-a-2024-868812119" TargetMode="External" /><ns0:Relationship Id="nativeLink10" Type="http://schemas.openxmlformats.org/officeDocument/2006/relationships/hyperlink" Target="https://diariodarepublica.pt/dr/detalhe/despacho/6757-a-2024-868812119" TargetMode="External" /><ns0:Relationship Id="nativeLink11" Type="http://schemas.openxmlformats.org/officeDocument/2006/relationships/hyperlink" Target="https://diariodarepublica.pt/dr/detalhe/despacho/6757-a-2024-868812119" TargetMode="External" /><ns0:Relationship Id="nativeLink12" Type="http://schemas.openxmlformats.org/officeDocument/2006/relationships/hyperlink" Target="https://diariodarepublica.pt/dr/detalhe/despacho/6757-a-2024-868812119" TargetMode="External" /><ns0:Relationship Id="nativeLink13" Type="http://schemas.openxmlformats.org/officeDocument/2006/relationships/hyperlink" Target="https://diariodarepublica.pt/dr/detalhe/despacho/7321-2024-871047338" TargetMode="External" /><ns0:Relationship Id="nativeLink14" Type="http://schemas.openxmlformats.org/officeDocument/2006/relationships/hyperlink" Target="https://diariodarepublica.pt/dr/detalhe/despacho/7613-2024-871760310" TargetMode="External" /><ns0:Relationship Id="nativeLink15" Type="http://schemas.openxmlformats.org/officeDocument/2006/relationships/hyperlink" Target="https://diariodarepublica.pt/dr/detalhe/despacho/7613-2024-871760310" TargetMode="External" /><ns0:Relationship Id="nativeLink16" Type="http://schemas.openxmlformats.org/officeDocument/2006/relationships/hyperlink" Target="https://diariodarepublica.pt/dr/detalhe/despacho/7821-2024-872108077" TargetMode="External" /><ns0:Relationship Id="nativeLink17" Type="http://schemas.openxmlformats.org/officeDocument/2006/relationships/hyperlink" Target="https://diariodarepublica.pt/dr/detalhe/despacho/7821-2024-872108077" TargetMode="External" /><ns0:Relationship Id="nativeLink18" Type="http://schemas.openxmlformats.org/officeDocument/2006/relationships/hyperlink" Target="https://diariodarepublica.pt/dr/detalhe/despacho/8023-2024-872631226" TargetMode="External" /><ns0:Relationship Id="nativeLink19" Type="http://schemas.openxmlformats.org/officeDocument/2006/relationships/hyperlink" Target="https://diariodarepublica.pt/dr/detalhe/despacho/8023-2024-872631226" TargetMode="External" /><ns0:Relationship Id="nativeLink20" Type="http://schemas.openxmlformats.org/officeDocument/2006/relationships/hyperlink" Target="https://diariodarepublica.pt/dr/detalhe/despacho/8151-2024-873009448" TargetMode="External" /><ns0:Relationship Id="nativeLink21" Type="http://schemas.openxmlformats.org/officeDocument/2006/relationships/hyperlink" Target="https://diariodarepublica.pt/dr/detalhe/despacho/8151-2024-873009448" TargetMode="External" /><ns0:Relationship Id="nativeLink22" Type="http://schemas.openxmlformats.org/officeDocument/2006/relationships/hyperlink" Target="https://diariodarepublica.pt/dr/detalhe/despacho/8251-2024-873180041" TargetMode="External" /><ns0:Relationship Id="nativeLink23" Type="http://schemas.openxmlformats.org/officeDocument/2006/relationships/hyperlink" Target="https://diariodarepublica.pt/dr/detalhe/despacho/8251-2024-873180041" TargetMode="External" /><ns0:Relationship Id="nativeLink24" Type="http://schemas.openxmlformats.org/officeDocument/2006/relationships/hyperlink" Target="https://diariodarepublica.pt/dr/detalhe/despacho/8277-2024-873180289" TargetMode="External" /><ns0:Relationship Id="nativeLink25" Type="http://schemas.openxmlformats.org/officeDocument/2006/relationships/hyperlink" Target="https://diariodarepublica.pt/dr/detalhe/despacho/8335-2024-873447584" TargetMode="External" /><ns0:Relationship Id="nativeLink26" Type="http://schemas.openxmlformats.org/officeDocument/2006/relationships/hyperlink" Target="https://diariodarepublica.pt/dr/detalhe/despacho/8335-2024-873447584" TargetMode="External" /><ns0:Relationship Id="nativeLink27" Type="http://schemas.openxmlformats.org/officeDocument/2006/relationships/hyperlink" Target="https://diariodarepublica.pt/dr/detalhe/despacho/8335-2024-873447584" TargetMode="External" /><ns0:Relationship Id="nativeLink28" Type="http://schemas.openxmlformats.org/officeDocument/2006/relationships/hyperlink" Target="https://diariodarepublica.pt/dr/detalhe/despacho/8335-2024-873447584" TargetMode="External" /><ns0:Relationship Id="nativeLink29" Type="http://schemas.openxmlformats.org/officeDocument/2006/relationships/hyperlink" Target="https://diariodarepublica.pt/dr/detalhe/despacho/8591-2024-874078354" TargetMode="External" /><ns0:Relationship Id="nativeLink30" Type="http://schemas.openxmlformats.org/officeDocument/2006/relationships/hyperlink" Target="https://diariodarepublica.pt/dr/detalhe/despacho/8591-2024-874078354" TargetMode="External" /><ns0:Relationship Id="nativeLink31" Type="http://schemas.openxmlformats.org/officeDocument/2006/relationships/hyperlink" Target="https://diariodarepublica.pt/dr/detalhe/despacho/8591-2024-874078354" TargetMode="External" /><ns0:Relationship Id="nativeLink32" Type="http://schemas.openxmlformats.org/officeDocument/2006/relationships/hyperlink" Target="https://diariodarepublica.pt/dr/detalhe/despacho/8914-a-2024-875716593" TargetMode="External" /><ns0:Relationship Id="nativeLink33" Type="http://schemas.openxmlformats.org/officeDocument/2006/relationships/hyperlink" Target="https://diariodarepublica.pt/dr/detalhe/despacho/8972-2024-875838784" TargetMode="External" /><ns0:Relationship Id="nativeLink34" Type="http://schemas.openxmlformats.org/officeDocument/2006/relationships/hyperlink" Target="https://diariodarepublica.pt/dr/detalhe/despacho/9075-a-2024-876110681" TargetMode="External" /><ns0:Relationship Id="nativeLink35" Type="http://schemas.openxmlformats.org/officeDocument/2006/relationships/hyperlink" Target="https://diariodarepublica.pt/dr/detalhe/despacho/9075-a-2024-876110681" TargetMode="External" /><ns0:Relationship Id="nativeLink36" Type="http://schemas.openxmlformats.org/officeDocument/2006/relationships/hyperlink" Target="https://diariodarepublica.pt/dr/detalhe/despacho/9123-2024-876110746" TargetMode="External" /><ns0:Relationship Id="nativeLink37" Type="http://schemas.openxmlformats.org/officeDocument/2006/relationships/hyperlink" Target="https://diariodarepublica.pt/dr/detalhe/despacho/9477-2024-884784995" TargetMode="External" /><ns0:Relationship Id="nativeLink38" Type="http://schemas.openxmlformats.org/officeDocument/2006/relationships/hyperlink" Target="https://diariodarepublica.pt/dr/detalhe/despacho/9477-2024-884784995" TargetMode="External" /><ns0:Relationship Id="nativeLink39" Type="http://schemas.openxmlformats.org/officeDocument/2006/relationships/hyperlink" Target="https://diariodarepublica.pt/dr/detalhe/despacho/9477-2024-884784995" TargetMode="External" /><ns0:Relationship Id="nativeLink40" Type="http://schemas.openxmlformats.org/officeDocument/2006/relationships/hyperlink" Target="https://diariodarepublica.pt/dr/detalhe/despacho/9589-2024-884941463" TargetMode="External" /><ns0:Relationship Id="nativeLink41" Type="http://schemas.openxmlformats.org/officeDocument/2006/relationships/hyperlink" Target="https://diariodarepublica.pt/dr/detalhe/despacho/9589-2024-884941463" TargetMode="External" /><ns0:Relationship Id="nativeLink42" Type="http://schemas.openxmlformats.org/officeDocument/2006/relationships/hyperlink" Target="https://diariodarepublica.pt/dr/detalhe/despacho/9589-2024-884941463" TargetMode="External" /><ns0:Relationship Id="nativeLink43" Type="http://schemas.openxmlformats.org/officeDocument/2006/relationships/hyperlink" Target="https://diariodarepublica.pt/dr/detalhe/despacho/9589-2024-884941463" TargetMode="External" /><ns0:Relationship Id="nativeLink44" Type="http://schemas.openxmlformats.org/officeDocument/2006/relationships/hyperlink" Target="https://diariodarepublica.pt/dr/detalhe/despacho/9648-2024-885027571" TargetMode="External" /><ns0:Relationship Id="nativeLink45" Type="http://schemas.openxmlformats.org/officeDocument/2006/relationships/hyperlink" Target="https://diariodarepublica.pt/dr/detalhe/despacho/9649-2024-885027572" TargetMode="External" /><ns0:Relationship Id="nativeLink46" Type="http://schemas.openxmlformats.org/officeDocument/2006/relationships/hyperlink" Target="https://diariodarepublica.pt/dr/detalhe/despacho/10208-a-2024-886333775" TargetMode="External" /><ns0:Relationship Id="nativeLink47" Type="http://schemas.openxmlformats.org/officeDocument/2006/relationships/hyperlink" Target="https://diariodarepublica.pt/dr/detalhe/despacho/10294-c-2024-886385435" TargetMode="External" /><ns0:Relationship Id="nativeLink48" Type="http://schemas.openxmlformats.org/officeDocument/2006/relationships/hyperlink" Target="https://diariodarepublica.pt/dr/detalhe/despacho/10294-c-2024-886385435" TargetMode="External" /><ns0:Relationship Id="nativeLink49" Type="http://schemas.openxmlformats.org/officeDocument/2006/relationships/hyperlink" Target="https://diariodarepublica.pt/dr/detalhe/despacho/10294-c-2024-886385435" TargetMode="External" /><ns0:Relationship Id="nativeLink50" Type="http://schemas.openxmlformats.org/officeDocument/2006/relationships/hyperlink" Target="https://diariodarepublica.pt/dr/detalhe/despacho/10294-c-2024-886385435" TargetMode="External" /><ns0:Relationship Id="nativeLink51" Type="http://schemas.openxmlformats.org/officeDocument/2006/relationships/hyperlink" Target="https://diariodarepublica.pt/dr/detalhe/despacho/10294-c-2024-886385435" TargetMode="External" /><ns0:Relationship Id="nativeLink52" Type="http://schemas.openxmlformats.org/officeDocument/2006/relationships/hyperlink" Target="https://diariodarepublica.pt/dr/detalhe/despacho/10294-c-2024-886385435" TargetMode="External" /><ns0:Relationship Id="nativeLink53" Type="http://schemas.openxmlformats.org/officeDocument/2006/relationships/hyperlink" Target="https://diariodarepublica.pt/dr/detalhe/despacho/10294-c-2024-886385435" TargetMode="External" /><ns0:Relationship Id="nativeLink54" Type="http://schemas.openxmlformats.org/officeDocument/2006/relationships/hyperlink" Target="https://diariodarepublica.pt/dr/detalhe/despacho/10294-c-2024-886385435" TargetMode="External" /><ns0:Relationship Id="nativeLink55" Type="http://schemas.openxmlformats.org/officeDocument/2006/relationships/hyperlink" Target="https://diariodarepublica.pt/dr/detalhe/despacho/10294-c-2024-886385435" TargetMode="External" /><ns0:Relationship Id="nativeLink56" Type="http://schemas.openxmlformats.org/officeDocument/2006/relationships/hyperlink" Target="https://diariodarepublica.pt/dr/detalhe/despacho/10559-2024-887067337" TargetMode="External" /><ns0:Relationship Id="nativeLink57" Type="http://schemas.openxmlformats.org/officeDocument/2006/relationships/hyperlink" Target="https://diariodarepublica.pt/dr/detalhe/despacho/10559-2024-887067337" TargetMode="External" /><ns0:Relationship Id="nativeLink58" Type="http://schemas.openxmlformats.org/officeDocument/2006/relationships/hyperlink" Target="https://diariodarepublica.pt/dr/detalhe/resolucao-conselho-ministros/126-a-2024-888218912" TargetMode="External" /><ns0:Relationship Id="nativeLink59" Type="http://schemas.openxmlformats.org/officeDocument/2006/relationships/hyperlink" Target="https://diariodarepublica.pt/dr/detalhe/despacho/10989-2024-888216496" TargetMode="External" /><ns0:Relationship Id="nativeLink60" Type="http://schemas.openxmlformats.org/officeDocument/2006/relationships/hyperlink" Target="https://diariodarepublica.pt/dr/detalhe/despacho/10989-2024-888216496" TargetMode="External" /><ns0:Relationship Id="nativeLink61" Type="http://schemas.openxmlformats.org/officeDocument/2006/relationships/hyperlink" Target="https://diariodarepublica.pt/dr/detalhe/despacho/11152-2024-888560032" TargetMode="External" /><ns0:Relationship Id="nativeLink62" Type="http://schemas.openxmlformats.org/officeDocument/2006/relationships/hyperlink" Target="https://diariodarepublica.pt/dr/detalhe/despacho/11152-2024-888560032" TargetMode="External" /><ns0:Relationship Id="nativeLink63" Type="http://schemas.openxmlformats.org/officeDocument/2006/relationships/hyperlink" Target="https://diariodarepublica.pt/dr/detalhe/despacho/11271-2024-888843218" TargetMode="External" /><ns0:Relationship Id="nativeLink64" Type="http://schemas.openxmlformats.org/officeDocument/2006/relationships/hyperlink" Target="https://diariodarepublica.pt/dr/detalhe/despacho/11856-a-2024-890194538" TargetMode="External" /><ns0:Relationship Id="nativeLink65" Type="http://schemas.openxmlformats.org/officeDocument/2006/relationships/hyperlink" Target="https://diariodarepublica.pt/dr/detalhe/despacho/11856-a-2024-890194538" TargetMode="External" /><ns0:Relationship Id="nativeLink66" Type="http://schemas.openxmlformats.org/officeDocument/2006/relationships/hyperlink" Target="https://diariodarepublica.pt/dr/detalhe/despacho/11856-a-2024-890194538" TargetMode="External" /><ns0:Relationship Id="nativeLink67" Type="http://schemas.openxmlformats.org/officeDocument/2006/relationships/hyperlink" Target="https://diariodarepublica.pt/dr/detalhe/despacho/11856-a-2024-890194538" TargetMode="External" /><ns0:Relationship Id="nativeLink68" Type="http://schemas.openxmlformats.org/officeDocument/2006/relationships/hyperlink" Target="https://diariodarepublica.pt/dr/detalhe/despacho/12071-2024-890791825" TargetMode="External" /><ns0:Relationship Id="nativeLink69" Type="http://schemas.openxmlformats.org/officeDocument/2006/relationships/hyperlink" Target="https://diariodarepublica.pt/dr/detalhe/despacho/12072-2024-890791826" TargetMode="External" /><ns0:Relationship Id="nativeLink70" Type="http://schemas.openxmlformats.org/officeDocument/2006/relationships/hyperlink" Target="https://diariodarepublica.pt/dr/detalhe/despacho/12293-2024-891174394" TargetMode="External" /><ns0:Relationship Id="nativeLink71" Type="http://schemas.openxmlformats.org/officeDocument/2006/relationships/hyperlink" Target="https://diariodarepublica.pt/dr/detalhe/despacho/12645-2024-892306790" TargetMode="External" /><ns0:Relationship Id="nativeLink72" Type="http://schemas.openxmlformats.org/officeDocument/2006/relationships/hyperlink" Target="https://diariodarepublica.pt/dr/detalhe/despacho/12734-2024-892664373" TargetMode="External" /><ns0:Relationship Id="nativeLink73" Type="http://schemas.openxmlformats.org/officeDocument/2006/relationships/hyperlink" Target="https://diariodarepublica.pt/dr/detalhe/despacho/12734-2024-892664373" TargetMode="External" /><ns0:Relationship Id="nativeLink74" Type="http://schemas.openxmlformats.org/officeDocument/2006/relationships/hyperlink" Target="https://diariodarepublica.pt/dr/detalhe/despacho/12734-2024-892664373" TargetMode="External" /><ns0:Relationship Id="nativeLink75" Type="http://schemas.openxmlformats.org/officeDocument/2006/relationships/hyperlink" Target="https://diariodarepublica.pt/dr/detalhe/despacho/12734-2024-892664373" TargetMode="External" /><ns0:Relationship Id="nativeLink76" Type="http://schemas.openxmlformats.org/officeDocument/2006/relationships/hyperlink" Target="https://diariodarepublica.pt/dr/detalhe/despacho/12734-2024-892664373" TargetMode="External" /><ns0:Relationship Id="nativeLink77" Type="http://schemas.openxmlformats.org/officeDocument/2006/relationships/hyperlink" Target="https://diariodarepublica.pt/dr/detalhe/despacho/12964-2024-894207815" TargetMode="External" /><ns0:Relationship Id="nativeLink78" Type="http://schemas.openxmlformats.org/officeDocument/2006/relationships/hyperlink" Target="https://diariodarepublica.pt/dr/detalhe/despacho/13345-2024-896165032" TargetMode="External" /><ns0:Relationship Id="nativeLink79" Type="http://schemas.openxmlformats.org/officeDocument/2006/relationships/hyperlink" Target="https://diariodarepublica.pt/dr/detalhe/despacho/13345-2024-896165032" TargetMode="External" /><ns0:Relationship Id="nativeLink80" Type="http://schemas.openxmlformats.org/officeDocument/2006/relationships/hyperlink" Target="https://diariodarepublica.pt/dr/detalhe/despacho/13355-2024-896165054" TargetMode="External" /><ns0:Relationship Id="nativeLink81" Type="http://schemas.openxmlformats.org/officeDocument/2006/relationships/hyperlink" Target="https://diariodarepublica.pt/dr/detalhe/despacho/13583-2024-896828793" TargetMode="External" /><ns0:Relationship Id="nativeLink82" Type="http://schemas.openxmlformats.org/officeDocument/2006/relationships/hyperlink" Target="https://diariodarepublica.pt/dr/detalhe/despacho/13583-2024-896828793" TargetMode="External" /><ns0:Relationship Id="nativeLink83" Type="http://schemas.openxmlformats.org/officeDocument/2006/relationships/hyperlink" Target="https://diariodarepublica.pt/dr/detalhe/despacho/13786-2024-897217652" TargetMode="External" /><ns0:Relationship Id="nativeLink84" Type="http://schemas.openxmlformats.org/officeDocument/2006/relationships/hyperlink" Target="https://diariodarepublica.pt/dr/detalhe/despacho/13890-2024-897660800" TargetMode="External" /><ns0:Relationship Id="nativeLink85" Type="http://schemas.openxmlformats.org/officeDocument/2006/relationships/hyperlink" Target="https://diariodarepublica.pt/dr/detalhe/despacho/13890-2024-897660800" TargetMode="External" /><ns0:Relationship Id="nativeLink86" Type="http://schemas.openxmlformats.org/officeDocument/2006/relationships/hyperlink" Target="https://diariodarepublica.pt/dr/detalhe/despacho/13946-2024-897796652" TargetMode="External" /><ns0:Relationship Id="nativeLink87" Type="http://schemas.openxmlformats.org/officeDocument/2006/relationships/hyperlink" Target="https://diariodarepublica.pt/dr/detalhe/despacho/14013-a-2024-897796612" TargetMode="External" /><ns0:Relationship Id="nativeLink88" Type="http://schemas.openxmlformats.org/officeDocument/2006/relationships/hyperlink" Target="https://diariodarepublica.pt/dr/detalhe/despacho/14013-a-2024-897796612" TargetMode="External" /><ns0:Relationship Id="nativeLink89" Type="http://schemas.openxmlformats.org/officeDocument/2006/relationships/hyperlink" Target="https://diariodarepublica.pt/dr/detalhe/despacho/14013-a-2024-897796612" TargetMode="External" /><ns0:Relationship Id="nativeLink90" Type="http://schemas.openxmlformats.org/officeDocument/2006/relationships/hyperlink" Target="https://diariodarepublica.pt/dr/detalhe/despacho/14284-2024-898695314" TargetMode="External" /><ns0:Relationship Id="nativeLink91" Type="http://schemas.openxmlformats.org/officeDocument/2006/relationships/hyperlink" Target="https://diariodarepublica.pt/dr/detalhe/despacho/14284-2024-898695314" TargetMode="External" /><ns0:Relationship Id="nativeLink92" Type="http://schemas.openxmlformats.org/officeDocument/2006/relationships/hyperlink" Target="https://diariodarepublica.pt/dr/detalhe/despacho/14284-2024-898695314" TargetMode="External" /><ns0:Relationship Id="nativeLink93" Type="http://schemas.openxmlformats.org/officeDocument/2006/relationships/hyperlink" Target="https://diariodarepublica.pt/dr/detalhe/despacho/14622-2024-899721530" TargetMode="External" /><ns0:Relationship Id="nativeLink94" Type="http://schemas.openxmlformats.org/officeDocument/2006/relationships/hyperlink" Target="https://diariodarepublica.pt/dr/detalhe/despacho/14758-2024-899911211" TargetMode="External" /><ns0:Relationship Id="nativeLink95" Type="http://schemas.openxmlformats.org/officeDocument/2006/relationships/hyperlink" Target="https://diariodarepublica.pt/dr/detalhe/despacho/14758-2024-899911211" TargetMode="External" /><ns0:Relationship Id="nativeLink96" Type="http://schemas.openxmlformats.org/officeDocument/2006/relationships/hyperlink" Target="https://diariodarepublica.pt/dr/detalhe/despacho/14758-2024-899911211" TargetMode="External" /><ns0:Relationship Id="nativeLink97" Type="http://schemas.openxmlformats.org/officeDocument/2006/relationships/hyperlink" Target="https://diariodarepublica.pt/dr/detalhe/despacho/14926-2024-900549494" TargetMode="External" /><ns0:Relationship Id="nativeLink98" Type="http://schemas.openxmlformats.org/officeDocument/2006/relationships/hyperlink" Target="https://diariodarepublica.pt/dr/detalhe/despacho/14926-2024-900549494" TargetMode="External" /><ns0:Relationship Id="nativeLink99" Type="http://schemas.openxmlformats.org/officeDocument/2006/relationships/hyperlink" Target="https://diariodarepublica.pt/dr/detalhe/despacho/15073-2024-901014350" TargetMode="External" /><ns0:Relationship Id="nativeLink100" Type="http://schemas.openxmlformats.org/officeDocument/2006/relationships/hyperlink" Target="https://diariodarepublica.pt/dr/detalhe/resolucao-conselho-ministros/207-2024-901536081" TargetMode="External" /><ns0:Relationship Id="nativeLink101" Type="http://schemas.openxmlformats.org/officeDocument/2006/relationships/hyperlink" Target="https://diariodarepublica.pt/dr/detalhe/despacho/382-2025-902718273" TargetMode="External" /><ns0:Relationship Id="nativeLink102" Type="http://schemas.openxmlformats.org/officeDocument/2006/relationships/hyperlink" Target="https://diariodarepublica.pt/dr/detalhe/despacho/507-2025-902932710" TargetMode="External" /><ns0:Relationship Id="nativeLink103" Type="http://schemas.openxmlformats.org/officeDocument/2006/relationships/hyperlink" Target="https://diariodarepublica.pt/dr/detalhe/despacho/986-2025-904227444" TargetMode="External" /><ns0:Relationship Id="nativeLink104" Type="http://schemas.openxmlformats.org/officeDocument/2006/relationships/hyperlink" Target="https://diariodarepublica.pt/dr/detalhe/despacho/1116-2025-904738434" TargetMode="External" /><ns0:Relationship Id="nativeLink105" Type="http://schemas.openxmlformats.org/officeDocument/2006/relationships/hyperlink" Target="https://diariodarepublica.pt/dr/detalhe/despacho/1116-2025-904738434" TargetMode="External" /><ns0:Relationship Id="nativeLink106" Type="http://schemas.openxmlformats.org/officeDocument/2006/relationships/hyperlink" Target="https://diariodarepublica.pt/dr/detalhe/despacho/1391-2025-905459892" TargetMode="External" /><ns0:Relationship Id="nativeLink107" Type="http://schemas.openxmlformats.org/officeDocument/2006/relationships/hyperlink" Target="https://diariodarepublica.pt/dr/detalhe/despacho/1452-2025-905659876" TargetMode="External" /><ns0:Relationship Id="nativeLink108" Type="http://schemas.openxmlformats.org/officeDocument/2006/relationships/hyperlink" Target="https://diariodarepublica.pt/dr/detalhe/despacho/1498-2025-905831257" TargetMode="External" /><ns0:Relationship Id="nativeLink109" Type="http://schemas.openxmlformats.org/officeDocument/2006/relationships/hyperlink" Target="https://diariodarepublica.pt/dr/detalhe/despacho/1498-2025-905831257" TargetMode="External" /><ns0:Relationship Id="nativeLink110" Type="http://schemas.openxmlformats.org/officeDocument/2006/relationships/hyperlink" Target="https://diariodarepublica.pt/dr/detalhe/despacho/1498-2025-905831257" TargetMode="External" /><ns0:Relationship Id="nativeLink111" Type="http://schemas.openxmlformats.org/officeDocument/2006/relationships/hyperlink" Target="https://diariodarepublica.pt/dr/detalhe/despacho/1498-2025-905831257" TargetMode="External" /><ns0:Relationship Id="nativeLink112" Type="http://schemas.openxmlformats.org/officeDocument/2006/relationships/hyperlink" Target="https://diariodarepublica.pt/dr/detalhe/despacho/1498-2025-905831257" TargetMode="External" /><ns0:Relationship Id="nativeLink113" Type="http://schemas.openxmlformats.org/officeDocument/2006/relationships/hyperlink" Target="https://diariodarepublica.pt/dr/detalhe/despacho/2367-2025-908071163" TargetMode="External" /><ns0:Relationship Id="nativeLink114" Type="http://schemas.openxmlformats.org/officeDocument/2006/relationships/hyperlink" Target="https://diariodarepublica.pt/dr/detalhe/despacho/2367-2025-908071163" TargetMode="External" /><ns0:Relationship Id="nativeLink115" Type="http://schemas.openxmlformats.org/officeDocument/2006/relationships/hyperlink" Target="https://diariodarepublica.pt/dr/detalhe/despacho/2820-2025-909307266" TargetMode="External" /><ns0:Relationship Id="nativeLink116" Type="http://schemas.openxmlformats.org/officeDocument/2006/relationships/hyperlink" Target="https://diariodarepublica.pt/dr/detalhe/despacho/2919-2025-909476563" TargetMode="External" /><ns0:Relationship Id="nativeLink117" Type="http://schemas.openxmlformats.org/officeDocument/2006/relationships/hyperlink" Target="https://diariodarepublica.pt/dr/detalhe/despacho/2961-2025-909652643" TargetMode="External" /><ns0:Relationship Id="nativeLink118" Type="http://schemas.openxmlformats.org/officeDocument/2006/relationships/hyperlink" Target="https://diariodarepublica.pt/dr/detalhe/despacho/3143-2025-910331597" TargetMode="External" /><ns0:Relationship Id="nativeLink119" Type="http://schemas.openxmlformats.org/officeDocument/2006/relationships/hyperlink" Target="https://diariodarepublica.pt/dr/detalhe/despacho/3402-2025-911131353" TargetMode="External" /><ns0:Relationship Id="nativeLink120" Type="http://schemas.openxmlformats.org/officeDocument/2006/relationships/hyperlink" Target="https://diariodarepublica.pt/dr/detalhe/despacho/3406-a-2025-911344585" TargetMode="External" /><ns0:Relationship Id="nativeLink121" Type="http://schemas.openxmlformats.org/officeDocument/2006/relationships/hyperlink" Target="https://diariodarepublica.pt/dr/detalhe/despacho/3518-2025-911650069" TargetMode="External" /><ns0:Relationship Id="nativeLink122" Type="http://schemas.openxmlformats.org/officeDocument/2006/relationships/hyperlink" Target="https://diariodarepublica.pt/dr/detalhe/despacho/3675-2025-911850448" TargetMode="External" /><ns0:Relationship Id="nativeLink123" Type="http://schemas.openxmlformats.org/officeDocument/2006/relationships/hyperlink" Target="https://diariodarepublica.pt/dr/detalhe/despacho/3675-2025-911850448" TargetMode="External" /><ns0:Relationship Id="nativeLink124" Type="http://schemas.openxmlformats.org/officeDocument/2006/relationships/hyperlink" Target="https://diariodarepublica.pt/dr/detalhe/despacho/3675-2025-911850448" TargetMode="External" /><ns0:Relationship Id="nativeLink125" Type="http://schemas.openxmlformats.org/officeDocument/2006/relationships/hyperlink" Target="https://diariodarepublica.pt/dr/detalhe/despacho/3918-2025-912846496" TargetMode="External" /><ns0:Relationship Id="nativeLink126" Type="http://schemas.openxmlformats.org/officeDocument/2006/relationships/hyperlink" Target="https://diariodarepublica.pt/dr/detalhe/despacho/5543-a-2025-918326433" TargetMode="External" /><ns0:Relationship Id="nativeLink127" Type="http://schemas.openxmlformats.org/officeDocument/2006/relationships/hyperlink" Target="https://diariodarepublica.pt/dr/detalhe/despacho/5543-a-2025-918326433" TargetMode="External" /><ns0:Relationship Id="nativeLink128" Type="http://schemas.openxmlformats.org/officeDocument/2006/relationships/hyperlink" Target="https://diariodarepublica.pt/dr/detalhe/despacho/5543-a-2025-918326433" TargetMode="External" /><ns0:Relationship Id="nativeLink129" Type="http://schemas.openxmlformats.org/officeDocument/2006/relationships/hyperlink" Target="https://diariodarepublica.pt/dr/detalhe/despacho/5543-a-2025-918326433" TargetMode="External" /><ns0:Relationship Id="nativeLink130" Type="http://schemas.openxmlformats.org/officeDocument/2006/relationships/hyperlink" Target="https://diariodarepublica.pt/dr/detalhe/despacho/5543-a-2025-918326433" TargetMode="External" /><ns0:Relationship Id="nativeLink131" Type="http://schemas.openxmlformats.org/officeDocument/2006/relationships/hyperlink" Target="https://diariodarepublica.pt/dr/detalhe/despacho/5543-a-2025-918326433" TargetMode="External" /><ns0:Relationship Id="nativeLink132" Type="http://schemas.openxmlformats.org/officeDocument/2006/relationships/hyperlink" Target="https://diariodarepublica.pt/dr/detalhe/despacho/5543-a-2025-918326433" TargetMode="External" /><ns0:Relationship Id="nativeLink133" Type="http://schemas.openxmlformats.org/officeDocument/2006/relationships/hyperlink" Target="https://diariodarepublica.pt/dr/detalhe/despacho/5543-a-2025-918326433" TargetMode="External" /><ns0:Relationship Id="nativeLink134" Type="http://schemas.openxmlformats.org/officeDocument/2006/relationships/hyperlink" Target="https://diariodarepublica.pt/dr/detalhe/despacho/5543-a-2025-918326433" TargetMode="External" /><ns0:Relationship Id="nativeLink135" Type="http://schemas.openxmlformats.org/officeDocument/2006/relationships/hyperlink" Target="https://diariodarepublica.pt/dr/detalhe/despacho/5543-a-2025-918326433" TargetMode="External" /><ns0:Relationship Id="nativeLink136" Type="http://schemas.openxmlformats.org/officeDocument/2006/relationships/hyperlink" Target="https://diariodarepublica.pt/dr/detalhe/despacho/5543-a-2025-918326433" TargetMode="External" /><ns0:Relationship Id="nativeLink137" Type="http://schemas.openxmlformats.org/officeDocument/2006/relationships/hyperlink" Target="https://diariodarepublica.pt/dr/detalhe/despacho/5543-a-2025-918326433" TargetMode="External" /><ns0:Relationship Id="nativeLink138" Type="http://schemas.openxmlformats.org/officeDocument/2006/relationships/hyperlink" Target="https://diariodarepublica.pt/dr/detalhe/despacho/5543-a-2025-918326433" TargetMode="External" /><ns0:Relationship Id="nativeLink139" Type="http://schemas.openxmlformats.org/officeDocument/2006/relationships/hyperlink" Target="https://diariodarepublica.pt/dr/detalhe/despacho/5543-a-2025-918326433" TargetMode="External" /><ns0:Relationship Id="nativeLink140" Type="http://schemas.openxmlformats.org/officeDocument/2006/relationships/hyperlink" Target="https://diariodarepublica.pt/dr/detalhe/despacho/5543-a-2025-918326433" TargetMode="External" /><ns0:Relationship Id="nativeLink141" Type="http://schemas.openxmlformats.org/officeDocument/2006/relationships/hyperlink" Target="https://diariodarepublica.pt/dr/detalhe/despacho/5725-2025-918884615" TargetMode="External" /><ns0:Relationship Id="nativeLink142" Type="http://schemas.openxmlformats.org/officeDocument/2006/relationships/hyperlink" Target="https://diariodarepublica.pt/dr/detalhe/despacho/5725-2025-918884615" TargetMode="External" /><ns0:Relationship Id="nativeLink143" Type="http://schemas.openxmlformats.org/officeDocument/2006/relationships/hyperlink" Target="https://diariodarepublica.pt/dr/detalhe/resolucao-conselho-ministros/119-2025-928506357" TargetMode="External" /><ns0:Relationship Id="nativeLink144" Type="http://schemas.openxmlformats.org/officeDocument/2006/relationships/hyperlink" Target="https://diariodarepublica.pt/dr/detalhe/despacho/9698-2025-928825171" TargetMode="External" /><ns0:Relationship Id="nativeLink145" Type="http://schemas.openxmlformats.org/officeDocument/2006/relationships/hyperlink" Target="https://diariodarepublica.pt/dr/detalhe/despacho/9795-2025-932537244" TargetMode="External" /><ns0:Relationship Id="nativeLink146" Type="http://schemas.openxmlformats.org/officeDocument/2006/relationships/hyperlink" Target="https://diariodarepublica.pt/dr/detalhe/despacho/9795-2025-932537244" TargetMode="External" /><ns0:Relationship Id="nativeLink147" Type="http://schemas.openxmlformats.org/officeDocument/2006/relationships/hyperlink" Target="https://diariodarepublica.pt/dr/detalhe/despacho/9990-2025-932720961" TargetMode="External" /><ns0:Relationship Id="nativeLink148" Type="http://schemas.openxmlformats.org/officeDocument/2006/relationships/hyperlink" Target="https://diariodarepublica.pt/dr/detalhe/despacho/10519-2025-934179787" TargetMode="External" /><ns0:Relationship Id="nativeLink149" Type="http://schemas.openxmlformats.org/officeDocument/2006/relationships/hyperlink" Target="https://diariodarepublica.pt/dr/detalhe/despacho/10547-2025-934422161" TargetMode="External" /><ns0:Relationship Id="nativeLink150" Type="http://schemas.openxmlformats.org/officeDocument/2006/relationships/hyperlink" Target="https://diariodarepublica.pt/dr/detalhe/despacho/10547-2025-934422161" TargetMode="External" /><ns0:Relationship Id="nativeLink151" Type="http://schemas.openxmlformats.org/officeDocument/2006/relationships/hyperlink" Target="https://diariodarepublica.pt/dr/detalhe/despacho/10547-2025-934422161" TargetMode="External" /><ns0:Relationship Id="nativeLink152" Type="http://schemas.openxmlformats.org/officeDocument/2006/relationships/hyperlink" Target="https://diariodarepublica.pt/dr/detalhe/despacho/10547-2025-934422161" TargetMode="External" /><ns0:Relationship Id="nativeLink153" Type="http://schemas.openxmlformats.org/officeDocument/2006/relationships/hyperlink" Target="https://diariodarepublica.pt/dr/detalhe/despacho/10547-2025-934422161" TargetMode="External" /><ns0:Relationship Id="nativeLink154" Type="http://schemas.openxmlformats.org/officeDocument/2006/relationships/hyperlink" Target="https://diariodarepublica.pt/dr/detalhe/despacho/10662-2025-934744248" TargetMode="External" /><ns0:Relationship Id="nativeLink155" Type="http://schemas.openxmlformats.org/officeDocument/2006/relationships/hyperlink" Target="https://diariodarepublica.pt/dr/detalhe/despacho/10903-2025-935441970" TargetMode="External" /><ns0:Relationship Id="nativeLink156" Type="http://schemas.openxmlformats.org/officeDocument/2006/relationships/hyperlink" Target="https://diariodarepublica.pt/dr/detalhe/despacho/10903-2025-935441970" TargetMode="External" /><ns0:Relationship Id="nativeLink157" Type="http://schemas.openxmlformats.org/officeDocument/2006/relationships/hyperlink" Target="https://diariodarepublica.pt/dr/detalhe/despacho/10918-2025-935495088" TargetMode="External" /><ns0:Relationship Id="nativeLink158" Type="http://schemas.openxmlformats.org/officeDocument/2006/relationships/hyperlink" Target="https://diariodarepublica.pt/dr/detalhe/despacho/10945-2025-935495442" TargetMode="External" /><ns0:Relationship Id="nativeLink159" Type="http://schemas.openxmlformats.org/officeDocument/2006/relationships/hyperlink" Target="https://diariodarepublica.pt/dr/detalhe/despacho/11297-2025-936527063" TargetMode="External" /><ns0:Relationship Id="nativeLink160" Type="http://schemas.openxmlformats.org/officeDocument/2006/relationships/hyperlink" Target="https://diariodarepublica.pt/dr/detalhe/despacho/11412-a-2025-937049215" TargetMode="External" /><ns0:Relationship Id="nativeLink161" Type="http://schemas.openxmlformats.org/officeDocument/2006/relationships/hyperlink" Target="https://diariodarepublica.pt/dr/detalhe/despacho/11412-a-2025-937049215" TargetMode="External" /><ns0:Relationship Id="nativeLink162" Type="http://schemas.openxmlformats.org/officeDocument/2006/relationships/hyperlink" Target="https://diariodarepublica.pt/dr/detalhe/despacho/11412-a-2025-937049215" TargetMode="External" /><ns0:Relationship Id="nativeLink163" Type="http://schemas.openxmlformats.org/officeDocument/2006/relationships/hyperlink" Target="https://diariodarepublica.pt/dr/detalhe/despacho/11649-2025-937675961" TargetMode="External" /><ns0:Relationship Id="nativeLink164" Type="http://schemas.openxmlformats.org/officeDocument/2006/relationships/hyperlink" Target="https://diariodarepublica.pt/dr/detalhe/despacho/11843-2025-938604558" TargetMode="External" /><ns0:Relationship Id="nativeLink165" Type="http://schemas.openxmlformats.org/officeDocument/2006/relationships/hyperlink" Target="https://diariodarepublica.pt/dr/detalhe/resolucao-conselho-ministros/175-2025-945116919" TargetMode="External" /><ns0:Relationship Id="nativeLink166" Type="http://schemas.openxmlformats.org/officeDocument/2006/relationships/hyperlink" Target="https://diariodarepublica.pt/dr/detalhe/despacho/14188-2025-955733785" TargetMode="External" /><ns0:Relationship Id="nativeLink167" Type="http://schemas.openxmlformats.org/officeDocument/2006/relationships/hyperlink" Target="https://diariodarepublica.pt/dr/detalhe/despacho/14492-2025-962955481" TargetMode="External" /><ns0:Relationship Id="nativeLink168" Type="http://schemas.openxmlformats.org/officeDocument/2006/relationships/hyperlink" Target="https://diariodarepublica.pt/dr/detalhe/despacho/14492-2025-962955481" TargetMode="External" /><ns0:Relationship Id="nativeLink169" Type="http://schemas.openxmlformats.org/officeDocument/2006/relationships/hyperlink" Target="https://diariodarepublica.pt/dr/detalhe/despacho/14492-2025-962955481" TargetMode="External" /><ns0:Relationship Id="nativeLink170" Type="http://schemas.openxmlformats.org/officeDocument/2006/relationships/hyperlink" Target="https://diariodarepublica.pt/dr/detalhe/despacho/14507-2025-962955516" TargetMode="External" /><ns0:Relationship Id="nativeLink171" Type="http://schemas.openxmlformats.org/officeDocument/2006/relationships/hyperlink" Target="https://diariodarepublica.pt/dr/detalhe/despacho/14507-2025-962955516" TargetMode="External" /><ns0:Relationship Id="nativeLink172" Type="http://schemas.openxmlformats.org/officeDocument/2006/relationships/hyperlink" Target="https://diariodarepublica.pt/dr/detalhe/despacho/15275-2025-992393997" TargetMode="External" /><ns0:Relationship Id="nativeLink173" Type="http://schemas.openxmlformats.org/officeDocument/2006/relationships/hyperlink" Target="https://diariodarepublica.pt/dr/detalhe/despacho/15438-2025-992877961" TargetMode="External" /><ns0:Relationship Id="nativeLink174" Type="http://schemas.openxmlformats.org/officeDocument/2006/relationships/hyperlink" Target="https://diariodarepublica.pt/dr/detalhe/despacho/661-2026-1016752446" TargetMode="External" /><ns0:Relationship Id="nativeLink175" Type="http://schemas.openxmlformats.org/officeDocument/2006/relationships/hyperlink" Target="https://diariodarepublica.pt/dr/detalhe/despacho/661-2026-1016752446" TargetMode="External" /><ns0:Relationship Id="nativeLink176" Type="http://schemas.openxmlformats.org/officeDocument/2006/relationships/hyperlink" Target="https://diariodarepublica.pt/dr/detalhe/despacho/831-2026-1022554176" TargetMode="External" /><ns0:Relationship Id="nativeLink177" Type="http://schemas.openxmlformats.org/officeDocument/2006/relationships/hyperlink" Target="https://diariodarepublica.pt/dr/detalhe/despacho/831-2026-1022554176" TargetMode="External" /><ns0:Relationship Id="nativeLink178" Type="http://schemas.openxmlformats.org/officeDocument/2006/relationships/hyperlink" Target="https://diariodarepublica.pt/dr/detalhe/despacho/831-2026-1022554176" TargetMode="External" /><ns0:Relationship Id="nativeLink179" Type="http://schemas.openxmlformats.org/officeDocument/2006/relationships/hyperlink" Target="https://diariodarepublica.pt/dr/detalhe/despacho/1994-2026-1051076689" TargetMode="External" /><ns0:Relationship Id="nativeLink180" Type="http://schemas.openxmlformats.org/officeDocument/2006/relationships/hyperlink" Target="https://diariodarepublica.pt/dr/detalhe/despacho/1994-2026-1051076689" TargetMode="External" /><ns0:Relationship Id="nativeLink181" Type="http://schemas.openxmlformats.org/officeDocument/2006/relationships/hyperlink" Target="https://diariodarepublica.pt/dr/detalhe/despacho/1994-2026-1051076689" TargetMode="External" /><ns0:Relationship Id="nativeLink182" Type="http://schemas.openxmlformats.org/officeDocument/2006/relationships/hyperlink" Target="https://diariodarepublica.pt/dr/detalhe/despacho/3089-2026-1070724105" TargetMode="External" /><ns0:Relationship Id="nativeLink183" Type="http://schemas.openxmlformats.org/officeDocument/2006/relationships/hyperlink" Target="https://diariodarepublica.pt/dr/detalhe/despacho/3089-2026-1070724105" TargetMode="External" /><ns0:Relationship Id="nativeLink184" Type="http://schemas.openxmlformats.org/officeDocument/2006/relationships/hyperlink" Target="https://diariodarepublica.pt/dr/detalhe/despacho/3089-2026-1070724105" TargetMode="External" /><ns0:Relationship Id="nativeLink185" Type="http://schemas.openxmlformats.org/officeDocument/2006/relationships/hyperlink" Target="https://diariodarepublica.pt/dr/detalhe/despacho/3089-2026-1070724105" TargetMode="External" /><ns0:Relationship Id="nativeLink186" Type="http://schemas.openxmlformats.org/officeDocument/2006/relationships/hyperlink" Target="https://diariodarepublica.pt/dr/detalhe/despacho/3317-2026-1071481467" TargetMode="External" /><ns0:Relationship Id="nativeLink187" Type="http://schemas.openxmlformats.org/officeDocument/2006/relationships/hyperlink" Target="https://diariodarepublica.pt/dr/detalhe/despacho/3808-2026-1075988859" TargetMode="External" /><ns0:Relationship Id="nativeLink188" Type="http://schemas.openxmlformats.org/officeDocument/2006/relationships/hyperlink" Target="https://diariodarepublica.pt/dr/detalhe/despacho/3965-2026-1077349638" TargetMode="External" /><ns0:Relationship Id="nativeLink189" Type="http://schemas.openxmlformats.org/officeDocument/2006/relationships/hyperlink" Target="https://diariodarepublica.pt/dr/detalhe/despacho/3965-2026-1077349638" TargetMode="External" /><ns0:Relationship Id="nativeLink190" Type="http://schemas.openxmlformats.org/officeDocument/2006/relationships/hyperlink" Target="https://diariodarepublica.pt/dr/detalhe/despacho/3965-2026-1077349638" TargetMode="External" /><ns0:Relationship Id="nativeLink191" Type="http://schemas.openxmlformats.org/officeDocument/2006/relationships/hyperlink" Target="https://diariodarepublica.pt/dr/detalhe/despacho/4319-2026-1080930313" TargetMode="External" /><ns0:Relationship Id="nativeLink192" Type="http://schemas.openxmlformats.org/officeDocument/2006/relationships/hyperlink" Target="https://diariodarepublica.pt/dr/detalhe/despacho/4319-2026-1080930313" TargetMode="External" /><ns0:Relationship Id="nativeLink193" Type="http://schemas.openxmlformats.org/officeDocument/2006/relationships/hyperlink" Target="https://diariodarepublica.pt/dr/detalhe/despacho/4643-2026-1082906758" TargetMode="External" /><ns0:Relationship Id="nativeLink194" Type="http://schemas.openxmlformats.org/officeDocument/2006/relationships/hyperlink" Target="https://diariodarepublica.pt/dr/detalhe/despacho/4643-2026-1082906758" TargetMode="External" /><ns0:Relationship Id="nativeLink195" Type="http://schemas.openxmlformats.org/officeDocument/2006/relationships/hyperlink" Target="https://diariodarepublica.pt/dr/detalhe/despacho/4643-2026-1082906758" TargetMode="External" /><ns0:Relationship Id="nativeLink196" Type="http://schemas.openxmlformats.org/officeDocument/2006/relationships/hyperlink" Target="https://diariodarepublica.pt/dr/detalhe/despacho/4643-2026-1082906758" TargetMode="External" /><ns0:Relationship Id="nativeLink197" Type="http://schemas.openxmlformats.org/officeDocument/2006/relationships/hyperlink" Target="https://diariodarepublica.pt/dr/detalhe/despacho/4643-2026-1082906758" TargetMode="External" /><ns0:Relationship Id="nativeLink198" Type="http://schemas.openxmlformats.org/officeDocument/2006/relationships/hyperlink" Target="https://diariodarepublica.pt/dr/detalhe/despacho/4643-2026-1082906758" TargetMode="External" /><ns0:Relationship Id="nativeLink199" Type="http://schemas.openxmlformats.org/officeDocument/2006/relationships/hyperlink" Target="https://diariodarepublica.pt/dr/detalhe/despacho/4643-2026-1082906758" TargetMode="External" /><ns0:Relationship Id="nativeLink200" Type="http://schemas.openxmlformats.org/officeDocument/2006/relationships/hyperlink" Target="https://diariodarepublica.pt/dr/detalhe/despacho/4643-2026-1082906758" TargetMode="External" /><ns0:Relationship Id="nativeLink201" Type="http://schemas.openxmlformats.org/officeDocument/2006/relationships/hyperlink" Target="https://diariodarepublica.pt/dr/detalhe/despacho/4749-2026-1084035715" TargetMode="External" /><ns0:Relationship Id="nativeLink202" Type="http://schemas.openxmlformats.org/officeDocument/2006/relationships/hyperlink" Target="https://diariodarepublica.pt/dr/detalhe/despacho/4749-2026-1084035715" TargetMode="External" /><ns0:Relationship Id="nativeLink203" Type="http://schemas.openxmlformats.org/officeDocument/2006/relationships/hyperlink" Target="https://diariodarepublica.pt/dr/detalhe/despacho/4749-2026-1084035715" TargetMode="External" /><ns0:Relationship Id="nativeLink204" Type="http://schemas.openxmlformats.org/officeDocument/2006/relationships/hyperlink" Target="https://diariodarepublica.pt/dr/detalhe/despacho/4749-2026-1084035715" TargetMode="External" /><ns0:Relationship Id="nativeLink205" Type="http://schemas.openxmlformats.org/officeDocument/2006/relationships/hyperlink" Target="https://diariodarepublica.pt/dr/detalhe/despacho/5146-2026-1086825315" TargetMode="External" /><ns0:Relationship Id="nativeLink206" Type="http://schemas.openxmlformats.org/officeDocument/2006/relationships/hyperlink" Target="https://diariodarepublica.pt/dr/detalhe/despacho/5146-2026-1086825315" TargetMode="External" /><ns0:Relationship Id="nativeLink207" Type="http://schemas.openxmlformats.org/officeDocument/2006/relationships/hyperlink" Target="https://diariodarepublica.pt/dr/detalhe/despacho/5146-2026-1086825315" TargetMode="External" /><ns0:Relationship Id="nativeLink208" Type="http://schemas.openxmlformats.org/officeDocument/2006/relationships/hyperlink" Target="https://diariodarepublica.pt/dr/detalhe/despacho/5900-2026-1114075412" TargetMode="External" /><ns0:Relationship Id="nativeLink209" Type="http://schemas.openxmlformats.org/officeDocument/2006/relationships/hyperlink" Target="https://diariodarepublica.pt/dr/detalhe/despacho/6859-2026-1127910940" TargetMode="External" /><ns0:Relationship Id="nativeLink210" Type="http://schemas.openxmlformats.org/officeDocument/2006/relationships/hyperlink" Target="https://diariodarepublica.pt/dr/detalhe/despacho/6859-2026-1127910940" TargetMode="External" /><ns0:Relationship Id="nativeLink211" Type="http://schemas.openxmlformats.org/officeDocument/2006/relationships/hyperlink" Target="https://diariodarepublica.pt/dr/detalhe/despacho/6941-2026-1128499274" TargetMode="External" /><ns0:Relationship Id="nativeLink212" Type="http://schemas.openxmlformats.org/officeDocument/2006/relationships/hyperlink" Target="https://diariodarepublica.pt/dr/detalhe/despacho/7229-2026-1130120993" TargetMode="External" /><ns0:Relationship Id="nativeLink213" Type="http://schemas.openxmlformats.org/officeDocument/2006/relationships/hyperlink" Target="https://diariodarepublica.pt/dr/detalhe/despacho/7381-2026-1131612628" TargetMode="External" /><ns0:Relationship Id="nativeLink214" Type="http://schemas.openxmlformats.org/officeDocument/2006/relationships/hyperlink" Target="https://diariodarepublica.pt/dr/detalhe/despacho/7381-2026-1131612628" TargetMode="External" /><ns0:Relationship Id="nativeLink215" Type="http://schemas.openxmlformats.org/officeDocument/2006/relationships/hyperlink" Target="https://diariodarepublica.pt/dr/detalhe/despacho/7541-2026-1132818510" TargetMode="External" /><ns0:Relationship Id="nativeLink216" Type="http://schemas.openxmlformats.org/officeDocument/2006/relationships/hyperlink" Target="https://diariodarepublica.pt/dr/detalhe/despacho/7542-2026-1132818511" TargetMode="External" /><ns0:Relationship Id="nativeLink217" Type="http://schemas.openxmlformats.org/officeDocument/2006/relationships/hyperlink" Target="https://diariodarepublica.pt/dr/detalhe/despacho/7543-2026-1132818512" TargetMode="External" /><ns0:Relationship Id="nativeLink218" Type="http://schemas.openxmlformats.org/officeDocument/2006/relationships/hyperlink" Target="https://diariodarepublica.pt/dr/detalhe/despacho/7650-2026-1133910824" TargetMode="External" /><ns0:Relationship Id="nativeLink219" Type="http://schemas.openxmlformats.org/officeDocument/2006/relationships/hyperlink" Target="https://diariodarepublica.pt/dr/detalhe/despacho/7971-2026-1138363947" TargetMode="External" /><ns0:Relationship Id="nativeLink220" Type="http://schemas.openxmlformats.org/officeDocument/2006/relationships/hyperlink" Target="https://diariodarepublica.pt/dr/detalhe/resolucao-conselho-ministros/144-2026-1147043702" TargetMode="External" /><ns0:Relationship Id="nativeLink221" Type="http://schemas.openxmlformats.org/officeDocument/2006/relationships/hyperlink" Target="https://diariodarepublica.pt/dr/detalhe/despacho/8971-2026-1148259710" TargetMode="External" /><ns0:Relationship Id="nativeLink222" Type="http://schemas.openxmlformats.org/officeDocument/2006/relationships/hyperlink" Target="https://diariodarepublica.pt/dr/detalhe/despacho/8971-2026-1148259710" TargetMode="External" /><ns0:Relationship Id="nativeLink223" Type="http://schemas.openxmlformats.org/officeDocument/2006/relationships/hyperlink" Target="https://diariodarepublica.pt/dr/detalhe/despacho/8971-2026-1148259710" TargetMode="External" /><ns0:Relationship Id="nativeLink224" Type="http://schemas.openxmlformats.org/officeDocument/2006/relationships/hyperlink" Target="https://diariodarepublica.pt/dr/detalhe/despacho/8971-2026-1148259710" TargetMode="External" /><ns0:Relationship Id="nativeLink225" Type="http://schemas.openxmlformats.org/officeDocument/2006/relationships/hyperlink" Target="https://diariodarepublica.pt/dr/detalhe/despacho/9999-2026-1155101848" TargetMode="External" /><ns0:Relationship Id="nativeLink226" Type="http://schemas.openxmlformats.org/officeDocument/2006/relationships/hyperlink" Target="https://diariodarepublica.pt/dr/detalhe/despacho/9999-2026-1155101848" TargetMode="External" /><ns0:Relationship Id="nativeLink227" Type="http://schemas.openxmlformats.org/officeDocument/2006/relationships/hyperlink" Target="https://diariodarepublica.pt/dr/detalhe/despacho/9999-2026-1155101848" TargetMode="External" /><ns0:Relationship Id="nativeLink228" Type="http://schemas.openxmlformats.org/officeDocument/2006/relationships/hyperlink" Target="https://diariodarepublica.pt/dr/detalhe/despacho/10174-2026-1156689146" TargetMode="External" /><ns0:Relationship Id="nativeLink229" Type="http://schemas.openxmlformats.org/officeDocument/2006/relationships/hyperlink" Target="https://diariodarepublica.pt/dr/detalhe/despacho/10174-2026-1156689146" TargetMode="External" /><ns0:Relationship Id="nativeLink230" Type="http://schemas.openxmlformats.org/officeDocument/2006/relationships/hyperlink" Target="https://diariodarepublica.pt/dr/detalhe/despacho/11130-2026-1168075404" TargetMode="External" /><ns0:Relationship Id="nativeLink231" Type="http://schemas.openxmlformats.org/officeDocument/2006/relationships/hyperlink" Target="https://diariodarepublica.pt/dr/detalhe/despacho/11130-2026-1168075404" TargetMode="External" /><ns0:Relationship Id="nativeLink232" Type="http://schemas.openxmlformats.org/officeDocument/2006/relationships/hyperlink" Target="https://diariodarepublica.pt/dr/detalhe/despacho/11488-2026-1171481959" TargetMode="External" /><ns0:Relationship Id="nativeLink233" Type="http://schemas.openxmlformats.org/officeDocument/2006/relationships/hyperlink" Target="https://diariodarepublica.pt/dr/detalhe/despacho/11488-2026-1171481959" TargetMode="External" /><ns0:Relationship Id="nativeLink234" Type="http://schemas.openxmlformats.org/officeDocument/2006/relationships/hyperlink" Target="https://diariodarepublica.pt/dr/detalhe/despacho/11672-2026-1172867984" TargetMode="External" /></ns0:Relationships>
</file>

<file path=xl/worksheets/_rels/sheet5.xml.rels><?xml version='1.0' encoding='utf-8'?>
<ns0:Relationships xmlns:ns0="http://schemas.openxmlformats.org/package/2006/relationships"><ns0:Relationship Type="http://schemas.openxmlformats.org/officeDocument/2006/relationships/table" Target="/xl/tables/table4.xml" Id="Rfa1a79f86fbb4c24" /><ns0:Relationship Id="nativeLink1" Type="http://schemas.openxmlformats.org/officeDocument/2006/relationships/hyperlink" Target="https://diariodarepublica.pt/dr/detalhe/despacho/8340-2024-873447590" TargetMode="External" /><ns0:Relationship Id="nativeLink2" Type="http://schemas.openxmlformats.org/officeDocument/2006/relationships/hyperlink" Target="https://diariodarepublica.pt/dr/detalhe/despacho/8434-2024-873614433" TargetMode="External" /><ns0:Relationship Id="nativeLink3" Type="http://schemas.openxmlformats.org/officeDocument/2006/relationships/hyperlink" Target="https://diariodarepublica.pt/dr/detalhe/resolucao-conselho-ministros/105-2024-884941426" TargetMode="External" /><ns0:Relationship Id="nativeLink4" Type="http://schemas.openxmlformats.org/officeDocument/2006/relationships/hyperlink" Target="https://diariodarepublica.pt/dr/detalhe/despacho/10791-2024-887629419" TargetMode="External" /><ns0:Relationship Id="nativeLink5" Type="http://schemas.openxmlformats.org/officeDocument/2006/relationships/hyperlink" Target="https://diariodarepublica.pt/dr/detalhe/despacho/12785-2024-893675950" TargetMode="External" /><ns0:Relationship Id="nativeLink6" Type="http://schemas.openxmlformats.org/officeDocument/2006/relationships/hyperlink" Target="https://diariodarepublica.pt/dr/detalhe/resolucao-conselho-ministros/94-2024-873371754" TargetMode="External" /><ns0:Relationship Id="nativeLink7" Type="http://schemas.openxmlformats.org/officeDocument/2006/relationships/hyperlink" Target="https://diariodarepublica.pt/dr/detalhe/despacho/2564-2025-908703872" TargetMode="External" /><ns0:Relationship Id="nativeLink8" Type="http://schemas.openxmlformats.org/officeDocument/2006/relationships/hyperlink" Target="https://diariodarepublica.pt/dr/detalhe/despacho/5274-2025-917251743" TargetMode="External" /><ns0:Relationship Id="nativeLink9" Type="http://schemas.openxmlformats.org/officeDocument/2006/relationships/hyperlink" Target="https://diariodarepublica.pt/dr/detalhe/despacho/6486-2025-921001117" TargetMode="External" /><ns0:Relationship Id="nativeLink10" Type="http://schemas.openxmlformats.org/officeDocument/2006/relationships/hyperlink" Target="https://diariodarepublica.pt/dr/detalhe/resolucao-conselho-ministros/182-2025-953220525" TargetMode="External" /><ns0:Relationship Id="nativeLink11" Type="http://schemas.openxmlformats.org/officeDocument/2006/relationships/hyperlink" Target="https://diariodarepublica.pt/dr/detalhe/despacho/4650-2026-1082906767" TargetMode="External" /><ns0:Relationship Id="nativeLink12" Type="http://schemas.openxmlformats.org/officeDocument/2006/relationships/hyperlink" Target="https://diariodarepublica.pt/dr/detalhe/despacho/4762-2026-1084035742" TargetMode="External" /><ns0:Relationship Id="nativeLink13" Type="http://schemas.openxmlformats.org/officeDocument/2006/relationships/hyperlink" Target="https://diariodarepublica.pt/dr/detalhe/resolucao-conselho-ministros/175-2026-1163562936" TargetMode="External" /><ns0:Relationship Id="nativeLink14" Type="http://schemas.openxmlformats.org/officeDocument/2006/relationships/hyperlink" Target="https://diariodarepublica.pt/dr/detalhe/despacho/12734-2024-892664373" TargetMode="External" /><ns0:Relationship Id="nativeLink15" Type="http://schemas.openxmlformats.org/officeDocument/2006/relationships/hyperlink" Target="https://diariodarepublica.pt/dr/detalhe/despacho/12734-2024-892664373" TargetMode="External" /></ns0:Relationships>
</file>

<file path=xl/worksheets/_rels/sheet6.xml.rels><?xml version='1.0' encoding='utf-8'?>
<ns0:Relationships xmlns:ns0="http://schemas.openxmlformats.org/package/2006/relationships"><ns0:Relationship Type="http://schemas.openxmlformats.org/officeDocument/2006/relationships/table" Target="/xl/tables/table5.xml" Id="Rc332c81f4c7b4fa3" /><ns0:Relationship Id="nativeLink1" Type="http://schemas.openxmlformats.org/officeDocument/2006/relationships/hyperlink" Target="https://diariodarepublica.pt/dr/detalhe/portaria/270-a-2025-925934050" TargetMode="External" /><ns0:Relationship Id="nativeLink2" Type="http://schemas.openxmlformats.org/officeDocument/2006/relationships/hyperlink" Target="https://diariodarepublica.pt/dr/detalhe/resolucao-conselho-ministros/158-2025-939474962" TargetMode="External" /><ns0:Relationship Id="nativeLink3" Type="http://schemas.openxmlformats.org/officeDocument/2006/relationships/hyperlink" Target="https://diariodarepublica.pt/dr/detalhe/resolucao-conselho-ministros/64-a-2026-1080481227" TargetMode="External" /><ns0:Relationship Id="nativeLink4" Type="http://schemas.openxmlformats.org/officeDocument/2006/relationships/hyperlink" Target="https://diariodarepublica.pt/dr/detalhe/resolucao-conselho-ministros/94-2024-873371754" TargetMode="External" /><ns0:Relationship Id="nativeLink5" Type="http://schemas.openxmlformats.org/officeDocument/2006/relationships/hyperlink" Target="https://diariodarepublica.pt/dr/detalhe/resolucao-conselho-ministros/175-2026-1163562936" TargetMode="External" /><ns0:Relationship Id="nativeLink6" Type="http://schemas.openxmlformats.org/officeDocument/2006/relationships/hyperlink" Target="https://diariodarepublica.pt/dr/detalhe/despacho/4214-2026-1080130550" TargetMode="External" /><ns0:Relationship Id="nativeLink7" Type="http://schemas.openxmlformats.org/officeDocument/2006/relationships/hyperlink" Target="https://www.parlamento.pt/ActividadeParlamentar/Paginas/DetalhePerguntaRequerimento.aspx?BID=187966" TargetMode="External" /><ns0:Relationship Id="nativeLink8" Type="http://schemas.openxmlformats.org/officeDocument/2006/relationships/hyperlink" Target="https://diariodarepublica.pt/dr/detalhe/resolucao-conselho-ministros/61-2024-858576211" TargetMode="External" /><ns0:Relationship Id="nativeLink9" Type="http://schemas.openxmlformats.org/officeDocument/2006/relationships/hyperlink" Target="https://diariodarepublica.pt/dr/detalhe/resolucao-conselho-ministros/62-2024-858631718" TargetMode="External" /></ns0:Relationships>
</file>

<file path=xl/worksheets/_rels/sheet7.xml.rels>&#65279;<?xml version="1.0" encoding="utf-8"?><Relationships xmlns="http://schemas.openxmlformats.org/package/2006/relationships"><Relationship Type="http://schemas.openxmlformats.org/officeDocument/2006/relationships/table" Target="/xl/tables/table6.xml" Id="R42e191206b98492c" /></Relationships>
</file>

<file path=xl/worksheets/_rels/sheet8.xml.rels><?xml version='1.0' encoding='utf-8'?>
<ns0:Relationships xmlns:ns0="http://schemas.openxmlformats.org/package/2006/relationships"><ns0:Relationship Type="http://schemas.openxmlformats.org/officeDocument/2006/relationships/table" Target="/xl/tables/table7.xml" Id="R082a3cf64dc54f40" /><ns0:Relationship Id="nativeLink1" Type="http://schemas.openxmlformats.org/officeDocument/2006/relationships/hyperlink" Target="https://diariodarepublica.pt/dr/detalhe/resolucao-conselho-ministros/61-2024-858576211" TargetMode="External" /><ns0:Relationship Id="nativeLink2" Type="http://schemas.openxmlformats.org/officeDocument/2006/relationships/hyperlink" Target="https://diariodarepublica.pt/dr/detalhe/resolucao-conselho-ministros/62-2024-858631718" TargetMode="External" /><ns0:Relationship Id="nativeLink3" Type="http://schemas.openxmlformats.org/officeDocument/2006/relationships/hyperlink" Target="https://diariodarepublica.pt/dr/detalhe/despacho/3819-2024-859718343" TargetMode="External" /><ns0:Relationship Id="nativeLink4" Type="http://schemas.openxmlformats.org/officeDocument/2006/relationships/hyperlink" Target="https://diariodarepublica.pt/dr/detalhe/despacho/3955-2024-860142945" TargetMode="External" /><ns0:Relationship Id="nativeLink5" Type="http://schemas.openxmlformats.org/officeDocument/2006/relationships/hyperlink" Target="https://diariodarepublica.pt/dr/detalhe/despacho/4156-2024-860667456" TargetMode="External" /><ns0:Relationship Id="nativeLink6" Type="http://schemas.openxmlformats.org/officeDocument/2006/relationships/hyperlink" Target="https://diariodarepublica.pt/dr/detalhe/despacho/4162-2024-860667470" TargetMode="External" /><ns0:Relationship Id="nativeLink7" Type="http://schemas.openxmlformats.org/officeDocument/2006/relationships/hyperlink" Target="https://diariodarepublica.pt/dr/detalhe/despacho/4168-2024-860683580" TargetMode="External" /><ns0:Relationship Id="nativeLink8" Type="http://schemas.openxmlformats.org/officeDocument/2006/relationships/hyperlink" Target="https://diariodarepublica.pt/dr/detalhe/despacho/4727-2024-863369039" TargetMode="External" /><ns0:Relationship Id="nativeLink9" Type="http://schemas.openxmlformats.org/officeDocument/2006/relationships/hyperlink" Target="https://diariodarepublica.pt/dr/detalhe/resolucao-conselho-ministros/68-2024-867194464" TargetMode="External" /><ns0:Relationship Id="nativeLink10" Type="http://schemas.openxmlformats.org/officeDocument/2006/relationships/hyperlink" Target="https://diariodarepublica.pt/dr/detalhe/resolucao-conselho-ministros/71-2024-867843037" TargetMode="External" /><ns0:Relationship Id="nativeLink11" Type="http://schemas.openxmlformats.org/officeDocument/2006/relationships/hyperlink" Target="https://diariodarepublica.pt/dr/detalhe/despacho/6475-2024-868409451" TargetMode="External" /><ns0:Relationship Id="nativeLink12" Type="http://schemas.openxmlformats.org/officeDocument/2006/relationships/hyperlink" Target="https://diariodarepublica.pt/dr/detalhe/despacho/6563-2024-868447723" TargetMode="External" /><ns0:Relationship Id="nativeLink13" Type="http://schemas.openxmlformats.org/officeDocument/2006/relationships/hyperlink" Target="https://diariodarepublica.pt/dr/detalhe/despacho/6564-2024-868447724" TargetMode="External" /><ns0:Relationship Id="nativeLink14" Type="http://schemas.openxmlformats.org/officeDocument/2006/relationships/hyperlink" Target="https://diariodarepublica.pt/dr/detalhe/despacho/6757-a-2024-868812119" TargetMode="External" /><ns0:Relationship Id="nativeLink15" Type="http://schemas.openxmlformats.org/officeDocument/2006/relationships/hyperlink" Target="https://diariodarepublica.pt/dr/detalhe/despacho/6770-2024-868696748" TargetMode="External" /><ns0:Relationship Id="nativeLink16" Type="http://schemas.openxmlformats.org/officeDocument/2006/relationships/hyperlink" Target="https://diariodarepublica.pt/dr/detalhe/resolucao-conselho-ministros/80-2024-869623320" TargetMode="External" /><ns0:Relationship Id="nativeLink17" Type="http://schemas.openxmlformats.org/officeDocument/2006/relationships/hyperlink" Target="https://diariodarepublica.pt/dr/detalhe/decreto-lei/41-a-2024-870297959" TargetMode="External" /><ns0:Relationship Id="nativeLink18" Type="http://schemas.openxmlformats.org/officeDocument/2006/relationships/hyperlink" Target="https://diariodarepublica.pt/dr/detalhe/decreto-lei/43-a-2024-870757937" TargetMode="External" /><ns0:Relationship Id="nativeLink19" Type="http://schemas.openxmlformats.org/officeDocument/2006/relationships/hyperlink" Target="https://diariodarepublica.pt/dr/detalhe/despacho/7321-2024-871047338" TargetMode="External" /><ns0:Relationship Id="nativeLink20" Type="http://schemas.openxmlformats.org/officeDocument/2006/relationships/hyperlink" Target="https://diariodarepublica.pt/dr/detalhe/despacho/7613-2024-871760310" TargetMode="External" /><ns0:Relationship Id="nativeLink21" Type="http://schemas.openxmlformats.org/officeDocument/2006/relationships/hyperlink" Target="https://diariodarepublica.pt/dr/detalhe/despacho/7817-2024-872107058" TargetMode="External" /><ns0:Relationship Id="nativeLink22" Type="http://schemas.openxmlformats.org/officeDocument/2006/relationships/hyperlink" Target="https://diariodarepublica.pt/dr/detalhe/despacho/7821-2024-872108077" TargetMode="External" /><ns0:Relationship Id="nativeLink23" Type="http://schemas.openxmlformats.org/officeDocument/2006/relationships/hyperlink" Target="https://diariodarepublica.pt/dr/detalhe/despacho/8023-2024-872631226" TargetMode="External" /><ns0:Relationship Id="nativeLink24" Type="http://schemas.openxmlformats.org/officeDocument/2006/relationships/hyperlink" Target="https://diariodarepublica.pt/dr/detalhe/despacho/8151-2024-873009448" TargetMode="External" /><ns0:Relationship Id="nativeLink25" Type="http://schemas.openxmlformats.org/officeDocument/2006/relationships/hyperlink" Target="https://diariodarepublica.pt/dr/detalhe/despacho/8251-2024-873180041" TargetMode="External" /><ns0:Relationship Id="nativeLink26" Type="http://schemas.openxmlformats.org/officeDocument/2006/relationships/hyperlink" Target="https://diariodarepublica.pt/dr/detalhe/despacho/8252-2024-873180042" TargetMode="External" /><ns0:Relationship Id="nativeLink27" Type="http://schemas.openxmlformats.org/officeDocument/2006/relationships/hyperlink" Target="https://diariodarepublica.pt/dr/detalhe/despacho/8277-2024-873180289" TargetMode="External" /><ns0:Relationship Id="nativeLink28" Type="http://schemas.openxmlformats.org/officeDocument/2006/relationships/hyperlink" Target="https://diariodarepublica.pt/dr/detalhe/despacho/8335-2024-873447584" TargetMode="External" /><ns0:Relationship Id="nativeLink29" Type="http://schemas.openxmlformats.org/officeDocument/2006/relationships/hyperlink" Target="https://diariodarepublica.pt/dr/detalhe/despacho/8340-2024-873447590" TargetMode="External" /><ns0:Relationship Id="nativeLink30" Type="http://schemas.openxmlformats.org/officeDocument/2006/relationships/hyperlink" Target="https://diariodarepublica.pt/dr/detalhe/despacho/8344-2024-873447595" TargetMode="External" /><ns0:Relationship Id="nativeLink31" Type="http://schemas.openxmlformats.org/officeDocument/2006/relationships/hyperlink" Target="https://diariodarepublica.pt/dr/detalhe/resolucao-conselho-ministros/94-2024-873371754" TargetMode="External" /><ns0:Relationship Id="nativeLink32" Type="http://schemas.openxmlformats.org/officeDocument/2006/relationships/hyperlink" Target="https://diariodarepublica.pt/dr/detalhe/despacho/8434-2024-873614433" TargetMode="External" /><ns0:Relationship Id="nativeLink33" Type="http://schemas.openxmlformats.org/officeDocument/2006/relationships/hyperlink" Target="https://diariodarepublica.pt/dr/detalhe/despacho/8591-2024-874078354" TargetMode="External" /><ns0:Relationship Id="nativeLink34" Type="http://schemas.openxmlformats.org/officeDocument/2006/relationships/hyperlink" Target="https://diariodarepublica.pt/dr/detalhe/despacho/8914-a-2024-875716593" TargetMode="External" /><ns0:Relationship Id="nativeLink35" Type="http://schemas.openxmlformats.org/officeDocument/2006/relationships/hyperlink" Target="https://diariodarepublica.pt/dr/detalhe/despacho/8972-2024-875838784" TargetMode="External" /><ns0:Relationship Id="nativeLink36" Type="http://schemas.openxmlformats.org/officeDocument/2006/relationships/hyperlink" Target="https://diariodarepublica.pt/dr/detalhe/despacho/9075-a-2024-876110681" TargetMode="External" /><ns0:Relationship Id="nativeLink37" Type="http://schemas.openxmlformats.org/officeDocument/2006/relationships/hyperlink" Target="https://diariodarepublica.pt/dr/detalhe/despacho/9123-2024-876110746" TargetMode="External" /><ns0:Relationship Id="nativeLink38" Type="http://schemas.openxmlformats.org/officeDocument/2006/relationships/hyperlink" Target="https://diariodarepublica.pt/dr/detalhe/despacho/9132-2024-876110770" TargetMode="External" /><ns0:Relationship Id="nativeLink39" Type="http://schemas.openxmlformats.org/officeDocument/2006/relationships/hyperlink" Target="https://diariodarepublica.pt/dr/detalhe/decreto-lei/50-2024-876321026" TargetMode="External" /><ns0:Relationship Id="nativeLink40" Type="http://schemas.openxmlformats.org/officeDocument/2006/relationships/hyperlink" Target="https://diariodarepublica.pt/dr/detalhe/despacho/9477-2024-884784995" TargetMode="External" /><ns0:Relationship Id="nativeLink41" Type="http://schemas.openxmlformats.org/officeDocument/2006/relationships/hyperlink" Target="https://diariodarepublica.pt/dr/detalhe/despacho/9589-2024-884941463" TargetMode="External" /><ns0:Relationship Id="nativeLink42" Type="http://schemas.openxmlformats.org/officeDocument/2006/relationships/hyperlink" Target="https://diariodarepublica.pt/dr/detalhe/despacho/9648-2024-885027571" TargetMode="External" /><ns0:Relationship Id="nativeLink43" Type="http://schemas.openxmlformats.org/officeDocument/2006/relationships/hyperlink" Target="https://diariodarepublica.pt/dr/detalhe/despacho/9649-2024-885027572" TargetMode="External" /><ns0:Relationship Id="nativeLink44" Type="http://schemas.openxmlformats.org/officeDocument/2006/relationships/hyperlink" Target="https://diariodarepublica.pt/dr/detalhe/resolucao-conselho-ministros/105-2024-884941426" TargetMode="External" /><ns0:Relationship Id="nativeLink45" Type="http://schemas.openxmlformats.org/officeDocument/2006/relationships/hyperlink" Target="https://diariodarepublica.pt/dr/detalhe/resolucao-conselho-ministros/109-2024-885032308" TargetMode="External" /><ns0:Relationship Id="nativeLink46" Type="http://schemas.openxmlformats.org/officeDocument/2006/relationships/hyperlink" Target="https://diariodarepublica.pt/dr/detalhe/portaria/646-2024-885385180" TargetMode="External" /><ns0:Relationship Id="nativeLink47" Type="http://schemas.openxmlformats.org/officeDocument/2006/relationships/hyperlink" Target="https://diariodarepublica.pt/dr/detalhe/despacho/10208-a-2024-886333775" TargetMode="External" /><ns0:Relationship Id="nativeLink48" Type="http://schemas.openxmlformats.org/officeDocument/2006/relationships/hyperlink" Target="https://diariodarepublica.pt/dr/detalhe/despacho/10294-c-2024-886385435" TargetMode="External" /><ns0:Relationship Id="nativeLink49" Type="http://schemas.openxmlformats.org/officeDocument/2006/relationships/hyperlink" Target="https://diariodarepublica.pt/dr/detalhe/despacho/10471-2024-886919577" TargetMode="External" /><ns0:Relationship Id="nativeLink50" Type="http://schemas.openxmlformats.org/officeDocument/2006/relationships/hyperlink" Target="https://diariodarepublica.pt/dr/detalhe/despacho/10559-2024-887067337" TargetMode="External" /><ns0:Relationship Id="nativeLink51" Type="http://schemas.openxmlformats.org/officeDocument/2006/relationships/hyperlink" Target="https://diariodarepublica.pt/dr/detalhe/despacho/10791-2024-887629419" TargetMode="External" /><ns0:Relationship Id="nativeLink52" Type="http://schemas.openxmlformats.org/officeDocument/2006/relationships/hyperlink" Target="https://diariodarepublica.pt/dr/detalhe/resolucao-conselho-ministros/126-a-2024-888218912" TargetMode="External" /><ns0:Relationship Id="nativeLink53" Type="http://schemas.openxmlformats.org/officeDocument/2006/relationships/hyperlink" Target="https://diariodarepublica.pt/dr/detalhe/despacho/10989-2024-888216496" TargetMode="External" /><ns0:Relationship Id="nativeLink54" Type="http://schemas.openxmlformats.org/officeDocument/2006/relationships/hyperlink" Target="https://diariodarepublica.pt/dr/detalhe/despacho/11152-2024-888560032" TargetMode="External" /><ns0:Relationship Id="nativeLink55" Type="http://schemas.openxmlformats.org/officeDocument/2006/relationships/hyperlink" Target="https://diariodarepublica.pt/dr/detalhe/despacho/11271-2024-888843218" TargetMode="External" /><ns0:Relationship Id="nativeLink56" Type="http://schemas.openxmlformats.org/officeDocument/2006/relationships/hyperlink" Target="https://diariodarepublica.pt/dr/detalhe/decreto-lei/59-a-2024-889277040" TargetMode="External" /><ns0:Relationship Id="nativeLink57" Type="http://schemas.openxmlformats.org/officeDocument/2006/relationships/hyperlink" Target="https://diariodarepublica.pt/dr/detalhe/despacho/11856-a-2024-890194538" TargetMode="External" /><ns0:Relationship Id="nativeLink58" Type="http://schemas.openxmlformats.org/officeDocument/2006/relationships/hyperlink" Target="https://diariodarepublica.pt/dr/detalhe/decreto-lei/67-2024-890194534" TargetMode="External" /><ns0:Relationship Id="nativeLink59" Type="http://schemas.openxmlformats.org/officeDocument/2006/relationships/hyperlink" Target="https://diariodarepublica.pt/dr/detalhe/decreto-lei/68-2024-890194535" TargetMode="External" /><ns0:Relationship Id="nativeLink60" Type="http://schemas.openxmlformats.org/officeDocument/2006/relationships/hyperlink" Target="https://diariodarepublica.pt/dr/detalhe/despacho/12071-2024-890791825" TargetMode="External" /><ns0:Relationship Id="nativeLink61" Type="http://schemas.openxmlformats.org/officeDocument/2006/relationships/hyperlink" Target="https://diariodarepublica.pt/dr/detalhe/despacho/12072-2024-890791826" TargetMode="External" /><ns0:Relationship Id="nativeLink62" Type="http://schemas.openxmlformats.org/officeDocument/2006/relationships/hyperlink" Target="https://diariodarepublica.pt/dr/detalhe/resolucao-conselho-ministros/136-2024-891107797" TargetMode="External" /><ns0:Relationship Id="nativeLink63" Type="http://schemas.openxmlformats.org/officeDocument/2006/relationships/hyperlink" Target="https://diariodarepublica.pt/dr/detalhe/resolucao-conselho-ministros/138-2024-891107799" TargetMode="External" /><ns0:Relationship Id="nativeLink64" Type="http://schemas.openxmlformats.org/officeDocument/2006/relationships/hyperlink" Target="https://diariodarepublica.pt/dr/detalhe/despacho/12293-2024-891174394" TargetMode="External" /><ns0:Relationship Id="nativeLink65" Type="http://schemas.openxmlformats.org/officeDocument/2006/relationships/hyperlink" Target="https://diariodarepublica.pt/dr/detalhe/despacho/12645-2024-892306790" TargetMode="External" /><ns0:Relationship Id="nativeLink66" Type="http://schemas.openxmlformats.org/officeDocument/2006/relationships/hyperlink" Target="https://diariodarepublica.pt/dr/detalhe/despacho/12734-2024-892664373" TargetMode="External" /><ns0:Relationship Id="nativeLink67" Type="http://schemas.openxmlformats.org/officeDocument/2006/relationships/hyperlink" Target="https://diariodarepublica.pt/dr/detalhe/despacho/12785-2024-893675950" TargetMode="External" /><ns0:Relationship Id="nativeLink68" Type="http://schemas.openxmlformats.org/officeDocument/2006/relationships/hyperlink" Target="https://diariodarepublica.pt/dr/detalhe/resolucao-conselho-ministros/148-2024-893782289" TargetMode="External" /><ns0:Relationship Id="nativeLink69" Type="http://schemas.openxmlformats.org/officeDocument/2006/relationships/hyperlink" Target="https://diariodarepublica.pt/dr/detalhe/despacho/12894-2024-893862058" TargetMode="External" /><ns0:Relationship Id="nativeLink70" Type="http://schemas.openxmlformats.org/officeDocument/2006/relationships/hyperlink" Target="https://diariodarepublica.pt/dr/detalhe/despacho/12964-2024-894207815" TargetMode="External" /><ns0:Relationship Id="nativeLink71" Type="http://schemas.openxmlformats.org/officeDocument/2006/relationships/hyperlink" Target="https://diariodarepublica.pt/dr/detalhe/despacho/13345-2024-896165032" TargetMode="External" /><ns0:Relationship Id="nativeLink72" Type="http://schemas.openxmlformats.org/officeDocument/2006/relationships/hyperlink" Target="https://diariodarepublica.pt/dr/detalhe/despacho/13355-2024-896165054" TargetMode="External" /><ns0:Relationship Id="nativeLink73" Type="http://schemas.openxmlformats.org/officeDocument/2006/relationships/hyperlink" Target="https://diariodarepublica.pt/dr/detalhe/resolucao-conselho-ministros/162-2024-896271472" TargetMode="External" /><ns0:Relationship Id="nativeLink74" Type="http://schemas.openxmlformats.org/officeDocument/2006/relationships/hyperlink" Target="https://diariodarepublica.pt/dr/detalhe/despacho/13583-2024-896828793" TargetMode="External" /><ns0:Relationship Id="nativeLink75" Type="http://schemas.openxmlformats.org/officeDocument/2006/relationships/hyperlink" Target="https://diariodarepublica.pt/dr/detalhe/despacho/13786-2024-897217652" TargetMode="External" /><ns0:Relationship Id="nativeLink76" Type="http://schemas.openxmlformats.org/officeDocument/2006/relationships/hyperlink" Target="https://diariodarepublica.pt/dr/detalhe/despacho/13890-2024-897660800" TargetMode="External" /><ns0:Relationship Id="nativeLink77" Type="http://schemas.openxmlformats.org/officeDocument/2006/relationships/hyperlink" Target="https://diariodarepublica.pt/dr/detalhe/despacho/13946-2024-897796652" TargetMode="External" /><ns0:Relationship Id="nativeLink78" Type="http://schemas.openxmlformats.org/officeDocument/2006/relationships/hyperlink" Target="https://diariodarepublica.pt/dr/detalhe/despacho/14013-a-2024-897796612" TargetMode="External" /><ns0:Relationship Id="nativeLink79" Type="http://schemas.openxmlformats.org/officeDocument/2006/relationships/hyperlink" Target="https://diariodarepublica.pt/dr/detalhe/portaria/305-2024-897994597" TargetMode="External" /><ns0:Relationship Id="nativeLink80" Type="http://schemas.openxmlformats.org/officeDocument/2006/relationships/hyperlink" Target="https://diariodarepublica.pt/dr/detalhe/decreto-lei/96-2024-898201693" TargetMode="External" /><ns0:Relationship Id="nativeLink81" Type="http://schemas.openxmlformats.org/officeDocument/2006/relationships/hyperlink" Target="https://diariodarepublica.pt/dr/detalhe/despacho/14188-2024-898378179" TargetMode="External" /><ns0:Relationship Id="nativeLink82" Type="http://schemas.openxmlformats.org/officeDocument/2006/relationships/hyperlink" Target="https://diariodarepublica.pt/dr/detalhe/despacho/14236-2024-898377838" TargetMode="External" /><ns0:Relationship Id="nativeLink83" Type="http://schemas.openxmlformats.org/officeDocument/2006/relationships/hyperlink" Target="https://diariodarepublica.pt/dr/detalhe/decreto-lei/99-2024-898705893" TargetMode="External" /><ns0:Relationship Id="nativeLink84" Type="http://schemas.openxmlformats.org/officeDocument/2006/relationships/hyperlink" Target="https://diariodarepublica.pt/dr/detalhe/despacho/14284-2024-898695314" TargetMode="External" /><ns0:Relationship Id="nativeLink85" Type="http://schemas.openxmlformats.org/officeDocument/2006/relationships/hyperlink" Target="https://diariodarepublica.pt/dr/detalhe/despacho/14622-2024-899721530" TargetMode="External" /><ns0:Relationship Id="nativeLink86" Type="http://schemas.openxmlformats.org/officeDocument/2006/relationships/hyperlink" Target="https://diariodarepublica.pt/dr/detalhe/despacho/14632-2024-899721544" TargetMode="External" /><ns0:Relationship Id="nativeLink87" Type="http://schemas.openxmlformats.org/officeDocument/2006/relationships/hyperlink" Target="https://diariodarepublica.pt/dr/detalhe/resolucao-conselho-ministros/184-2024-899909683" TargetMode="External" /><ns0:Relationship Id="nativeLink88" Type="http://schemas.openxmlformats.org/officeDocument/2006/relationships/hyperlink" Target="https://diariodarepublica.pt/dr/detalhe/despacho/14758-2024-899911211" TargetMode="External" /><ns0:Relationship Id="nativeLink89" Type="http://schemas.openxmlformats.org/officeDocument/2006/relationships/hyperlink" Target="https://diariodarepublica.pt/dr/detalhe/despacho/14926-2024-900549494" TargetMode="External" /><ns0:Relationship Id="nativeLink90" Type="http://schemas.openxmlformats.org/officeDocument/2006/relationships/hyperlink" Target="https://diariodarepublica.pt/dr/detalhe/despacho/15073-2024-901014350" TargetMode="External" /><ns0:Relationship Id="nativeLink91" Type="http://schemas.openxmlformats.org/officeDocument/2006/relationships/hyperlink" Target="https://diariodarepublica.pt/dr/detalhe/resolucao-conselho-ministros/194-2024-901147126" TargetMode="External" /><ns0:Relationship Id="nativeLink92" Type="http://schemas.openxmlformats.org/officeDocument/2006/relationships/hyperlink" Target="https://diariodarepublica.pt/dr/detalhe/decreto-lei/115-2024-901400366" TargetMode="External" /><ns0:Relationship Id="nativeLink93" Type="http://schemas.openxmlformats.org/officeDocument/2006/relationships/hyperlink" Target="https://diariodarepublica.pt/dr/detalhe/resolucao-conselho-ministros/207-2024-901536081" TargetMode="External" /><ns0:Relationship Id="nativeLink94" Type="http://schemas.openxmlformats.org/officeDocument/2006/relationships/hyperlink" Target="https://diariodarepublica.pt/dr/detalhe/resolucao-conselho-ministros/208-2024-901536082" TargetMode="External" /><ns0:Relationship Id="nativeLink95" Type="http://schemas.openxmlformats.org/officeDocument/2006/relationships/hyperlink" Target="https://diariodarepublica.pt/dr/detalhe/decreto-lei/122-2024-901661921" TargetMode="External" /><ns0:Relationship Id="nativeLink96" Type="http://schemas.openxmlformats.org/officeDocument/2006/relationships/hyperlink" Target="https://diariodarepublica.pt/dr/detalhe/despacho/35-2025-901693477" TargetMode="External" /><ns0:Relationship Id="nativeLink97" Type="http://schemas.openxmlformats.org/officeDocument/2006/relationships/hyperlink" Target="https://diariodarepublica.pt/dr/detalhe/despacho/382-2025-902718273" TargetMode="External" /><ns0:Relationship Id="nativeLink98" Type="http://schemas.openxmlformats.org/officeDocument/2006/relationships/hyperlink" Target="https://diariodarepublica.pt/dr/detalhe/despacho/507-2025-902932710" TargetMode="External" /><ns0:Relationship Id="nativeLink99" Type="http://schemas.openxmlformats.org/officeDocument/2006/relationships/hyperlink" Target="https://diariodarepublica.pt/dr/detalhe/portaria/12-2025-903619168" TargetMode="External" /><ns0:Relationship Id="nativeLink100" Type="http://schemas.openxmlformats.org/officeDocument/2006/relationships/hyperlink" Target="https://diariodarepublica.pt/dr/detalhe/despacho/883-2025-904347064" TargetMode="External" /><ns0:Relationship Id="nativeLink101" Type="http://schemas.openxmlformats.org/officeDocument/2006/relationships/hyperlink" Target="https://diariodarepublica.pt/dr/detalhe/portaria/18-2025-904130040" TargetMode="External" /><ns0:Relationship Id="nativeLink102" Type="http://schemas.openxmlformats.org/officeDocument/2006/relationships/hyperlink" Target="https://diariodarepublica.pt/dr/detalhe/resolucao-conselho-ministros/2-2025-904130033" TargetMode="External" /><ns0:Relationship Id="nativeLink103" Type="http://schemas.openxmlformats.org/officeDocument/2006/relationships/hyperlink" Target="https://diariodarepublica.pt/dr/detalhe/despacho/986-2025-904227444" TargetMode="External" /><ns0:Relationship Id="nativeLink104" Type="http://schemas.openxmlformats.org/officeDocument/2006/relationships/hyperlink" Target="https://diariodarepublica.pt/dr/detalhe/despacho/1116-2025-904738434" TargetMode="External" /><ns0:Relationship Id="nativeLink105" Type="http://schemas.openxmlformats.org/officeDocument/2006/relationships/hyperlink" Target="https://diariodarepublica.pt/dr/detalhe/portaria/65-2025-905291928" TargetMode="External" /><ns0:Relationship Id="nativeLink106" Type="http://schemas.openxmlformats.org/officeDocument/2006/relationships/hyperlink" Target="https://diariodarepublica.pt/dr/detalhe/despacho/1391-2025-905459892" TargetMode="External" /><ns0:Relationship Id="nativeLink107" Type="http://schemas.openxmlformats.org/officeDocument/2006/relationships/hyperlink" Target="https://diariodarepublica.pt/dr/detalhe/despacho/1452-2025-905659876" TargetMode="External" /><ns0:Relationship Id="nativeLink108" Type="http://schemas.openxmlformats.org/officeDocument/2006/relationships/hyperlink" Target="https://diariodarepublica.pt/dr/detalhe/despacho/1498-2025-905831257" TargetMode="External" /><ns0:Relationship Id="nativeLink109" Type="http://schemas.openxmlformats.org/officeDocument/2006/relationships/hyperlink" Target="https://diariodarepublica.pt/dr/detalhe/despacho/1507-2025-905831269" TargetMode="External" /><ns0:Relationship Id="nativeLink110" Type="http://schemas.openxmlformats.org/officeDocument/2006/relationships/hyperlink" Target="https://diariodarepublica.pt/dr/detalhe/resolucao-conselho-ministros/18-2025-906519103" TargetMode="External" /><ns0:Relationship Id="nativeLink111" Type="http://schemas.openxmlformats.org/officeDocument/2006/relationships/hyperlink" Target="https://diariodarepublica.pt/dr/detalhe/resolucao-conselho-ministros/19-2025-906519104" TargetMode="External" /><ns0:Relationship Id="nativeLink112" Type="http://schemas.openxmlformats.org/officeDocument/2006/relationships/hyperlink" Target="https://diariodarepublica.pt/dr/detalhe/despacho/1887-2025-906913040" TargetMode="External" /><ns0:Relationship Id="nativeLink113" Type="http://schemas.openxmlformats.org/officeDocument/2006/relationships/hyperlink" Target="https://diariodarepublica.pt/dr/detalhe/despacho/2367-2025-908071163" TargetMode="External" /><ns0:Relationship Id="nativeLink114" Type="http://schemas.openxmlformats.org/officeDocument/2006/relationships/hyperlink" Target="https://diariodarepublica.pt/dr/detalhe/despacho/2438-2025-908253501" TargetMode="External" /><ns0:Relationship Id="nativeLink115" Type="http://schemas.openxmlformats.org/officeDocument/2006/relationships/hyperlink" Target="https://diariodarepublica.pt/dr/detalhe/despacho/2564-2025-908703872" TargetMode="External" /><ns0:Relationship Id="nativeLink116" Type="http://schemas.openxmlformats.org/officeDocument/2006/relationships/hyperlink" Target="https://diariodarepublica.pt/dr/detalhe/despacho/2701-2025-909150575" TargetMode="External" /><ns0:Relationship Id="nativeLink117" Type="http://schemas.openxmlformats.org/officeDocument/2006/relationships/hyperlink" Target="https://diariodarepublica.pt/dr/detalhe/resolucao-conselho-ministros/34-2025-909307237" TargetMode="External" /><ns0:Relationship Id="nativeLink118" Type="http://schemas.openxmlformats.org/officeDocument/2006/relationships/hyperlink" Target="https://diariodarepublica.pt/dr/detalhe/despacho/2820-2025-909307266" TargetMode="External" /><ns0:Relationship Id="nativeLink119" Type="http://schemas.openxmlformats.org/officeDocument/2006/relationships/hyperlink" Target="https://diariodarepublica.pt/dr/detalhe/portaria/78-2025-909476476" TargetMode="External" /><ns0:Relationship Id="nativeLink120" Type="http://schemas.openxmlformats.org/officeDocument/2006/relationships/hyperlink" Target="https://diariodarepublica.pt/dr/detalhe/despacho/2919-2025-909476563" TargetMode="External" /><ns0:Relationship Id="nativeLink121" Type="http://schemas.openxmlformats.org/officeDocument/2006/relationships/hyperlink" Target="https://diariodarepublica.pt/dr/detalhe/despacho/2961-2025-909652643" TargetMode="External" /><ns0:Relationship Id="nativeLink122" Type="http://schemas.openxmlformats.org/officeDocument/2006/relationships/hyperlink" Target="https://diariodarepublica.pt/dr/detalhe/decreto-lei/13-a-2025-910323298" TargetMode="External" /><ns0:Relationship Id="nativeLink123" Type="http://schemas.openxmlformats.org/officeDocument/2006/relationships/hyperlink" Target="https://diariodarepublica.pt/dr/detalhe/despacho/3143-2025-910331597" TargetMode="External" /><ns0:Relationship Id="nativeLink124" Type="http://schemas.openxmlformats.org/officeDocument/2006/relationships/hyperlink" Target="https://diariodarepublica.pt/dr/detalhe/despacho/3182-2025-910469452" TargetMode="External" /><ns0:Relationship Id="nativeLink125" Type="http://schemas.openxmlformats.org/officeDocument/2006/relationships/hyperlink" Target="https://diariodarepublica.pt/dr/detalhe/despacho/3402-2025-911131353" TargetMode="External" /><ns0:Relationship Id="nativeLink126" Type="http://schemas.openxmlformats.org/officeDocument/2006/relationships/hyperlink" Target="https://diariodarepublica.pt/dr/detalhe/despacho/3406-a-2025-911344585" TargetMode="External" /><ns0:Relationship Id="nativeLink127" Type="http://schemas.openxmlformats.org/officeDocument/2006/relationships/hyperlink" Target="https://diariodarepublica.pt/dr/detalhe/despacho/3407-2025-911315599" TargetMode="External" /><ns0:Relationship Id="nativeLink128" Type="http://schemas.openxmlformats.org/officeDocument/2006/relationships/hyperlink" Target="https://diariodarepublica.pt/dr/detalhe/portaria/119-2025-911349177" TargetMode="External" /><ns0:Relationship Id="nativeLink129" Type="http://schemas.openxmlformats.org/officeDocument/2006/relationships/hyperlink" Target="https://diariodarepublica.pt/dr/detalhe/resolucao-conselho-ministros/58-2025-911303067" TargetMode="External" /><ns0:Relationship Id="nativeLink130" Type="http://schemas.openxmlformats.org/officeDocument/2006/relationships/hyperlink" Target="https://diariodarepublica.pt/dr/detalhe/despacho/3518-2025-911650069" TargetMode="External" /><ns0:Relationship Id="nativeLink131" Type="http://schemas.openxmlformats.org/officeDocument/2006/relationships/hyperlink" Target="https://diariodarepublica.pt/dr/detalhe/despacho/3519-2025-911688676" TargetMode="External" /><ns0:Relationship Id="nativeLink132" Type="http://schemas.openxmlformats.org/officeDocument/2006/relationships/hyperlink" Target="https://diariodarepublica.pt/dr/detalhe/despacho/3595-2025-911816923" TargetMode="External" /><ns0:Relationship Id="nativeLink133" Type="http://schemas.openxmlformats.org/officeDocument/2006/relationships/hyperlink" Target="https://diariodarepublica.pt/dr/detalhe/despacho/3622-2025-911807081" TargetMode="External" /><ns0:Relationship Id="nativeLink134" Type="http://schemas.openxmlformats.org/officeDocument/2006/relationships/hyperlink" Target="https://diariodarepublica.pt/dr/detalhe/despacho/3675-2025-911850448" TargetMode="External" /><ns0:Relationship Id="nativeLink135" Type="http://schemas.openxmlformats.org/officeDocument/2006/relationships/hyperlink" Target="https://diariodarepublica.pt/dr/detalhe/despacho/3863-2025-912690428" TargetMode="External" /><ns0:Relationship Id="nativeLink136" Type="http://schemas.openxmlformats.org/officeDocument/2006/relationships/hyperlink" Target="https://diariodarepublica.pt/dr/detalhe/despacho/3918-2025-912846496" TargetMode="External" /><ns0:Relationship Id="nativeLink137" Type="http://schemas.openxmlformats.org/officeDocument/2006/relationships/hyperlink" Target="https://diariodarepublica.pt/dr/detalhe/decreto-lei/61-2025-913224267" TargetMode="External" /><ns0:Relationship Id="nativeLink138" Type="http://schemas.openxmlformats.org/officeDocument/2006/relationships/hyperlink" Target="https://diariodarepublica.pt/dr/detalhe/portaria/156-2025-913947260" TargetMode="External" /><ns0:Relationship Id="nativeLink139" Type="http://schemas.openxmlformats.org/officeDocument/2006/relationships/hyperlink" Target="https://diariodarepublica.pt/dr/detalhe/decreto-lei/67-2025-914713263" TargetMode="External" /><ns0:Relationship Id="nativeLink140" Type="http://schemas.openxmlformats.org/officeDocument/2006/relationships/hyperlink" Target="https://diariodarepublica.pt/dr/detalhe/resolucao-conselho-ministros/77-2025-915239713" TargetMode="External" /><ns0:Relationship Id="nativeLink141" Type="http://schemas.openxmlformats.org/officeDocument/2006/relationships/hyperlink" Target="https://diariodarepublica.pt/dr/detalhe/despacho/4752-2025-915282933" TargetMode="External" /><ns0:Relationship Id="nativeLink142" Type="http://schemas.openxmlformats.org/officeDocument/2006/relationships/hyperlink" Target="https://diariodarepublica.pt/dr/detalhe/despacho/4931-2025-915864442" TargetMode="External" /><ns0:Relationship Id="nativeLink143" Type="http://schemas.openxmlformats.org/officeDocument/2006/relationships/hyperlink" Target="https://diariodarepublica.pt/dr/detalhe/portaria/205-b-2025-916582055" TargetMode="External" /><ns0:Relationship Id="nativeLink144" Type="http://schemas.openxmlformats.org/officeDocument/2006/relationships/hyperlink" Target="https://diariodarepublica.pt/dr/detalhe/despacho/5274-2025-917251743" TargetMode="External" /><ns0:Relationship Id="nativeLink145" Type="http://schemas.openxmlformats.org/officeDocument/2006/relationships/hyperlink" Target="https://diariodarepublica.pt/dr/detalhe/despacho/5543-a-2025-918326433" TargetMode="External" /><ns0:Relationship Id="nativeLink146" Type="http://schemas.openxmlformats.org/officeDocument/2006/relationships/hyperlink" Target="https://diariodarepublica.pt/dr/detalhe/portaria/223-2025-918366405" TargetMode="External" /><ns0:Relationship Id="nativeLink147" Type="http://schemas.openxmlformats.org/officeDocument/2006/relationships/hyperlink" Target="https://diariodarepublica.pt/dr/detalhe/portaria/228-2025-918823456" TargetMode="External" /><ns0:Relationship Id="nativeLink148" Type="http://schemas.openxmlformats.org/officeDocument/2006/relationships/hyperlink" Target="https://diariodarepublica.pt/dr/detalhe/despacho/5725-2025-918884615" TargetMode="External" /><ns0:Relationship Id="nativeLink149" Type="http://schemas.openxmlformats.org/officeDocument/2006/relationships/hyperlink" Target="https://diariodarepublica.pt/dr/detalhe/portaria/229-2025-918999082" TargetMode="External" /><ns0:Relationship Id="nativeLink150" Type="http://schemas.openxmlformats.org/officeDocument/2006/relationships/hyperlink" Target="https://diariodarepublica.pt/dr/detalhe/despacho/5931-2025-919520986" TargetMode="External" /><ns0:Relationship Id="nativeLink151" Type="http://schemas.openxmlformats.org/officeDocument/2006/relationships/hyperlink" Target="https://diariodarepublica.pt/dr/detalhe/despacho/6486-2025-921001117" TargetMode="External" /><ns0:Relationship Id="nativeLink152" Type="http://schemas.openxmlformats.org/officeDocument/2006/relationships/hyperlink" Target="https://diariodarepublica.pt/dr/detalhe/despacho/6595-2025-921363002" TargetMode="External" /><ns0:Relationship Id="nativeLink153" Type="http://schemas.openxmlformats.org/officeDocument/2006/relationships/hyperlink" Target="https://diariodarepublica.pt/dr/detalhe/despacho/6597-2025-921363004" TargetMode="External" /><ns0:Relationship Id="nativeLink154" Type="http://schemas.openxmlformats.org/officeDocument/2006/relationships/hyperlink" Target="https://diariodarepublica.pt/dr/detalhe/portaria/269-2025-925378377" TargetMode="External" /><ns0:Relationship Id="nativeLink155" Type="http://schemas.openxmlformats.org/officeDocument/2006/relationships/hyperlink" Target="https://diariodarepublica.pt/dr/detalhe/despacho/8479-2025-925799869" TargetMode="External" /><ns0:Relationship Id="nativeLink156" Type="http://schemas.openxmlformats.org/officeDocument/2006/relationships/hyperlink" Target="https://diariodarepublica.pt/dr/detalhe/portaria/270-a-2025-925934050" TargetMode="External" /><ns0:Relationship Id="nativeLink157" Type="http://schemas.openxmlformats.org/officeDocument/2006/relationships/hyperlink" Target="https://diariodarepublica.pt/dr/detalhe/despacho/8816-2025-926748682" TargetMode="External" /><ns0:Relationship Id="nativeLink158" Type="http://schemas.openxmlformats.org/officeDocument/2006/relationships/hyperlink" Target="https://diariodarepublica.pt/dr/detalhe/despacho/9463-2025-928296838" TargetMode="External" /><ns0:Relationship Id="nativeLink159" Type="http://schemas.openxmlformats.org/officeDocument/2006/relationships/hyperlink" Target="https://diariodarepublica.pt/dr/detalhe/despacho/9535-2025-928657470" TargetMode="External" /><ns0:Relationship Id="nativeLink160" Type="http://schemas.openxmlformats.org/officeDocument/2006/relationships/hyperlink" Target="https://diariodarepublica.pt/dr/detalhe/resolucao-conselho-ministros/119-2025-928506357" TargetMode="External" /><ns0:Relationship Id="nativeLink161" Type="http://schemas.openxmlformats.org/officeDocument/2006/relationships/hyperlink" Target="https://diariodarepublica.pt/dr/detalhe/resolucao-conselho-ministros/121-2025-928506359" TargetMode="External" /><ns0:Relationship Id="nativeLink162" Type="http://schemas.openxmlformats.org/officeDocument/2006/relationships/hyperlink" Target="https://diariodarepublica.pt/dr/detalhe/despacho/9698-2025-928825171" TargetMode="External" /><ns0:Relationship Id="nativeLink163" Type="http://schemas.openxmlformats.org/officeDocument/2006/relationships/hyperlink" Target="https://diariodarepublica.pt/dr/detalhe/despacho/9712-a-2025-929044360" TargetMode="External" /><ns0:Relationship Id="nativeLink164" Type="http://schemas.openxmlformats.org/officeDocument/2006/relationships/hyperlink" Target="https://diariodarepublica.pt/dr/detalhe/despacho/9712-b-2025-929044361" TargetMode="External" /><ns0:Relationship Id="nativeLink165" Type="http://schemas.openxmlformats.org/officeDocument/2006/relationships/hyperlink" Target="https://diariodarepublica.pt/dr/detalhe/despacho/9795-2025-932537244" TargetMode="External" /><ns0:Relationship Id="nativeLink166" Type="http://schemas.openxmlformats.org/officeDocument/2006/relationships/hyperlink" Target="https://diariodarepublica.pt/dr/detalhe/decreto-lei/96-2025-932837040" TargetMode="External" /><ns0:Relationship Id="nativeLink167" Type="http://schemas.openxmlformats.org/officeDocument/2006/relationships/hyperlink" Target="https://diariodarepublica.pt/dr/detalhe/despacho/9990-2025-932720961" TargetMode="External" /><ns0:Relationship Id="nativeLink168" Type="http://schemas.openxmlformats.org/officeDocument/2006/relationships/hyperlink" Target="https://diariodarepublica.pt/dr/detalhe/decreto-lei/99-2025-933527232" TargetMode="External" /><ns0:Relationship Id="nativeLink169" Type="http://schemas.openxmlformats.org/officeDocument/2006/relationships/hyperlink" Target="https://diariodarepublica.pt/dr/detalhe/decreto-lei/100-2025-934278889" TargetMode="External" /><ns0:Relationship Id="nativeLink170" Type="http://schemas.openxmlformats.org/officeDocument/2006/relationships/hyperlink" Target="https://diariodarepublica.pt/dr/detalhe/despacho/10519-2025-934179787" TargetMode="External" /><ns0:Relationship Id="nativeLink171" Type="http://schemas.openxmlformats.org/officeDocument/2006/relationships/hyperlink" Target="https://diariodarepublica.pt/dr/detalhe/decreto-lei/101-2025-934454752" TargetMode="External" /><ns0:Relationship Id="nativeLink172" Type="http://schemas.openxmlformats.org/officeDocument/2006/relationships/hyperlink" Target="https://diariodarepublica.pt/dr/detalhe/despacho/10547-2025-934422161" TargetMode="External" /><ns0:Relationship Id="nativeLink173" Type="http://schemas.openxmlformats.org/officeDocument/2006/relationships/hyperlink" Target="https://diariodarepublica.pt/dr/detalhe/resolucao-conselho-ministros/133-2025-934502551" TargetMode="External" /><ns0:Relationship Id="nativeLink174" Type="http://schemas.openxmlformats.org/officeDocument/2006/relationships/hyperlink" Target="https://diariodarepublica.pt/dr/detalhe/despacho/10662-2025-934744248" TargetMode="External" /><ns0:Relationship Id="nativeLink175" Type="http://schemas.openxmlformats.org/officeDocument/2006/relationships/hyperlink" Target="https://diariodarepublica.pt/dr/detalhe/decreto-lei/105-2025-935098429" TargetMode="External" /><ns0:Relationship Id="nativeLink176" Type="http://schemas.openxmlformats.org/officeDocument/2006/relationships/hyperlink" Target="https://diariodarepublica.pt/dr/detalhe/decreto-lei/107-2025-935441900" TargetMode="External" /><ns0:Relationship Id="nativeLink177" Type="http://schemas.openxmlformats.org/officeDocument/2006/relationships/hyperlink" Target="https://diariodarepublica.pt/dr/detalhe/despacho/10903-2025-935441970" TargetMode="External" /><ns0:Relationship Id="nativeLink178" Type="http://schemas.openxmlformats.org/officeDocument/2006/relationships/hyperlink" Target="https://diariodarepublica.pt/dr/detalhe/despacho/10918-2025-935495088" TargetMode="External" /><ns0:Relationship Id="nativeLink179" Type="http://schemas.openxmlformats.org/officeDocument/2006/relationships/hyperlink" Target="https://diariodarepublica.pt/dr/detalhe/despacho/10945-2025-935495442" TargetMode="External" /><ns0:Relationship Id="nativeLink180" Type="http://schemas.openxmlformats.org/officeDocument/2006/relationships/hyperlink" Target="https://diariodarepublica.pt/dr/detalhe/decreto-lei/109-2025-936526996" TargetMode="External" /><ns0:Relationship Id="nativeLink181" Type="http://schemas.openxmlformats.org/officeDocument/2006/relationships/hyperlink" Target="https://diariodarepublica.pt/dr/detalhe/despacho/11297-2025-936527063" TargetMode="External" /><ns0:Relationship Id="nativeLink182" Type="http://schemas.openxmlformats.org/officeDocument/2006/relationships/hyperlink" Target="https://diariodarepublica.pt/dr/detalhe/despacho/11412-a-2025-937049215" TargetMode="External" /><ns0:Relationship Id="nativeLink183" Type="http://schemas.openxmlformats.org/officeDocument/2006/relationships/hyperlink" Target="https://diariodarepublica.pt/dr/detalhe/resolucao-conselho-ministros/143-2025-937197428" TargetMode="External" /><ns0:Relationship Id="nativeLink184" Type="http://schemas.openxmlformats.org/officeDocument/2006/relationships/hyperlink" Target="https://diariodarepublica.pt/dr/detalhe/despacho/11649-2025-937675961" TargetMode="External" /><ns0:Relationship Id="nativeLink185" Type="http://schemas.openxmlformats.org/officeDocument/2006/relationships/hyperlink" Target="https://diariodarepublica.pt/dr/detalhe/despacho/11843-2025-938604558" TargetMode="External" /><ns0:Relationship Id="nativeLink186" Type="http://schemas.openxmlformats.org/officeDocument/2006/relationships/hyperlink" Target="https://diariodarepublica.pt/dr/detalhe/resolucao-conselho-ministros/158-2025-939474962" TargetMode="External" /><ns0:Relationship Id="nativeLink187" Type="http://schemas.openxmlformats.org/officeDocument/2006/relationships/hyperlink" Target="https://diariodarepublica.pt/dr/detalhe/despacho/12550-2025-942405334" TargetMode="External" /><ns0:Relationship Id="nativeLink188" Type="http://schemas.openxmlformats.org/officeDocument/2006/relationships/hyperlink" Target="https://diariodarepublica.pt/dr/detalhe/resolucao-conselho-ministros/167-2025-942401305" TargetMode="External" /><ns0:Relationship Id="nativeLink189" Type="http://schemas.openxmlformats.org/officeDocument/2006/relationships/hyperlink" Target="https://diariodarepublica.pt/dr/detalhe/resolucao-conselho-ministros/175-2025-945116919" TargetMode="External" /><ns0:Relationship Id="nativeLink190" Type="http://schemas.openxmlformats.org/officeDocument/2006/relationships/hyperlink" Target="https://diariodarepublica.pt/dr/detalhe/despacho-extrato/13590-2025-946300996" TargetMode="External" /><ns0:Relationship Id="nativeLink191" Type="http://schemas.openxmlformats.org/officeDocument/2006/relationships/hyperlink" Target="https://diariodarepublica.pt/dr/detalhe/resolucao-conselho-ministros/182-2025-953220525" TargetMode="External" /><ns0:Relationship Id="nativeLink192" Type="http://schemas.openxmlformats.org/officeDocument/2006/relationships/hyperlink" Target="https://diariodarepublica.pt/dr/detalhe/resolucao-conselho-ministros/184-2025-953220527" TargetMode="External" /><ns0:Relationship Id="nativeLink193" Type="http://schemas.openxmlformats.org/officeDocument/2006/relationships/hyperlink" Target="https://diariodarepublica.pt/dr/detalhe/despacho/14188-2025-955733785" TargetMode="External" /><ns0:Relationship Id="nativeLink194" Type="http://schemas.openxmlformats.org/officeDocument/2006/relationships/hyperlink" Target="https://diariodarepublica.pt/dr/detalhe/despacho/14282-2025-958372256" TargetMode="External" /><ns0:Relationship Id="nativeLink195" Type="http://schemas.openxmlformats.org/officeDocument/2006/relationships/hyperlink" Target="https://diariodarepublica.pt/dr/detalhe/despacho/14283-2025-958372257" TargetMode="External" /><ns0:Relationship Id="nativeLink196" Type="http://schemas.openxmlformats.org/officeDocument/2006/relationships/hyperlink" Target="https://diariodarepublica.pt/dr/detalhe/despacho/14284-2025-958372258" TargetMode="External" /><ns0:Relationship Id="nativeLink197" Type="http://schemas.openxmlformats.org/officeDocument/2006/relationships/hyperlink" Target="https://diariodarepublica.pt/dr/detalhe/resolucao-conselho-ministros/187-2025-958984037" TargetMode="External" /><ns0:Relationship Id="nativeLink198" Type="http://schemas.openxmlformats.org/officeDocument/2006/relationships/hyperlink" Target="https://diariodarepublica.pt/dr/detalhe/resolucao-conselho-ministros/189-2025-962603404" TargetMode="External" /><ns0:Relationship Id="nativeLink199" Type="http://schemas.openxmlformats.org/officeDocument/2006/relationships/hyperlink" Target="https://diariodarepublica.pt/dr/detalhe/despacho/14492-2025-962955481" TargetMode="External" /><ns0:Relationship Id="nativeLink200" Type="http://schemas.openxmlformats.org/officeDocument/2006/relationships/hyperlink" Target="https://diariodarepublica.pt/dr/detalhe/despacho/14507-2025-962955516" TargetMode="External" /><ns0:Relationship Id="nativeLink201" Type="http://schemas.openxmlformats.org/officeDocument/2006/relationships/hyperlink" Target="https://diariodarepublica.pt/dr/detalhe/portaria/447-2025-986558789" TargetMode="External" /><ns0:Relationship Id="nativeLink202" Type="http://schemas.openxmlformats.org/officeDocument/2006/relationships/hyperlink" Target="https://diariodarepublica.pt/dr/detalhe/despacho/15088-2025-989596118" TargetMode="External" /><ns0:Relationship Id="nativeLink203" Type="http://schemas.openxmlformats.org/officeDocument/2006/relationships/hyperlink" Target="https://diariodarepublica.pt/dr/detalhe/despacho/15275-2025-992393997" TargetMode="External" /><ns0:Relationship Id="nativeLink204" Type="http://schemas.openxmlformats.org/officeDocument/2006/relationships/hyperlink" Target="https://diariodarepublica.pt/dr/detalhe/portaria/467-2025-992402119" TargetMode="External" /><ns0:Relationship Id="nativeLink205" Type="http://schemas.openxmlformats.org/officeDocument/2006/relationships/hyperlink" Target="https://diariodarepublica.pt/dr/detalhe/decreto-lei/130-2025-992627242" TargetMode="External" /><ns0:Relationship Id="nativeLink206" Type="http://schemas.openxmlformats.org/officeDocument/2006/relationships/hyperlink" Target="https://diariodarepublica.pt/dr/detalhe/decreto-lei/132-2025-992627244" TargetMode="External" /><ns0:Relationship Id="nativeLink207" Type="http://schemas.openxmlformats.org/officeDocument/2006/relationships/hyperlink" Target="https://diariodarepublica.pt/dr/detalhe/despacho/15438-2025-992877961" TargetMode="External" /><ns0:Relationship Id="nativeLink208" Type="http://schemas.openxmlformats.org/officeDocument/2006/relationships/hyperlink" Target="https://diariodarepublica.pt/dr/detalhe/portaria/2-2026-993773573" TargetMode="External" /><ns0:Relationship Id="nativeLink209" Type="http://schemas.openxmlformats.org/officeDocument/2006/relationships/hyperlink" Target="https://diariodarepublica.pt/dr/detalhe/portaria/3-2026-993773574" TargetMode="External" /><ns0:Relationship Id="nativeLink210" Type="http://schemas.openxmlformats.org/officeDocument/2006/relationships/hyperlink" Target="https://diariodarepublica.pt/dr/detalhe/resolucao-conselho-ministros/1-2026-1000882015" TargetMode="External" /><ns0:Relationship Id="nativeLink211" Type="http://schemas.openxmlformats.org/officeDocument/2006/relationships/hyperlink" Target="https://diariodarepublica.pt/dr/detalhe/decreto-regulamentar/1-2026-1017369023" TargetMode="External" /><ns0:Relationship Id="nativeLink212" Type="http://schemas.openxmlformats.org/officeDocument/2006/relationships/hyperlink" Target="https://diariodarepublica.pt/dr/detalhe/despacho/661-2026-1016752446" TargetMode="External" /><ns0:Relationship Id="nativeLink213" Type="http://schemas.openxmlformats.org/officeDocument/2006/relationships/hyperlink" Target="https://diariodarepublica.pt/dr/detalhe/despacho/831-2026-1022554176" TargetMode="External" /><ns0:Relationship Id="nativeLink214" Type="http://schemas.openxmlformats.org/officeDocument/2006/relationships/hyperlink" Target="https://diariodarepublica.pt/dr/detalhe/despacho/925-2026-1027689731" TargetMode="External" /><ns0:Relationship Id="nativeLink215" Type="http://schemas.openxmlformats.org/officeDocument/2006/relationships/hyperlink" Target="https://diariodarepublica.pt/dr/detalhe/despacho/926-2026-1027689732" TargetMode="External" /><ns0:Relationship Id="nativeLink216" Type="http://schemas.openxmlformats.org/officeDocument/2006/relationships/hyperlink" Target="https://diariodarepublica.pt/dr/detalhe/despacho/927-2026-1027689733" TargetMode="External" /><ns0:Relationship Id="nativeLink217" Type="http://schemas.openxmlformats.org/officeDocument/2006/relationships/hyperlink" Target="https://diariodarepublica.pt/dr/detalhe/despacho/928-2026-1027689734" TargetMode="External" /><ns0:Relationship Id="nativeLink218" Type="http://schemas.openxmlformats.org/officeDocument/2006/relationships/hyperlink" Target="https://diariodarepublica.pt/dr/detalhe/decreto-regulamentar/3-2026-1051282297" TargetMode="External" /><ns0:Relationship Id="nativeLink219" Type="http://schemas.openxmlformats.org/officeDocument/2006/relationships/hyperlink" Target="https://diariodarepublica.pt/dr/detalhe/despacho/1994-2026-1051076689" TargetMode="External" /><ns0:Relationship Id="nativeLink220" Type="http://schemas.openxmlformats.org/officeDocument/2006/relationships/hyperlink" Target="https://diariodarepublica.pt/dr/detalhe/decreto-lei/58-2026-1055043916" TargetMode="External" /><ns0:Relationship Id="nativeLink221" Type="http://schemas.openxmlformats.org/officeDocument/2006/relationships/hyperlink" Target="https://diariodarepublica.pt/dr/detalhe/decreto/10-2026-1062753815" TargetMode="External" /><ns0:Relationship Id="nativeLink222" Type="http://schemas.openxmlformats.org/officeDocument/2006/relationships/hyperlink" Target="https://diariodarepublica.pt/dr/detalhe/resolucao-conselho-ministros/48-2026-1068062487" TargetMode="External" /><ns0:Relationship Id="nativeLink223" Type="http://schemas.openxmlformats.org/officeDocument/2006/relationships/hyperlink" Target="https://diariodarepublica.pt/dr/detalhe/despacho/3089-2026-1070724105" TargetMode="External" /><ns0:Relationship Id="nativeLink224" Type="http://schemas.openxmlformats.org/officeDocument/2006/relationships/hyperlink" Target="https://diariodarepublica.pt/dr/detalhe/despacho/3293-2026-1071481439" TargetMode="External" /><ns0:Relationship Id="nativeLink225" Type="http://schemas.openxmlformats.org/officeDocument/2006/relationships/hyperlink" Target="https://diariodarepublica.pt/dr/detalhe/despacho/3317-2026-1071481467" TargetMode="External" /><ns0:Relationship Id="nativeLink226" Type="http://schemas.openxmlformats.org/officeDocument/2006/relationships/hyperlink" Target="https://diariodarepublica.pt/dr/detalhe/decreto-lei/79-2026-1073088591" TargetMode="External" /><ns0:Relationship Id="nativeLink227" Type="http://schemas.openxmlformats.org/officeDocument/2006/relationships/hyperlink" Target="https://diariodarepublica.pt/dr/detalhe/portaria/119-2026-1074104065" TargetMode="External" /><ns0:Relationship Id="nativeLink228" Type="http://schemas.openxmlformats.org/officeDocument/2006/relationships/hyperlink" Target="https://diariodarepublica.pt/dr/detalhe/resolucao-conselho-ministros/56-2026-1075293616" TargetMode="External" /><ns0:Relationship Id="nativeLink229" Type="http://schemas.openxmlformats.org/officeDocument/2006/relationships/hyperlink" Target="https://diariodarepublica.pt/dr/detalhe/resolucao-conselho-ministros/57-2026-1075293617" TargetMode="External" /><ns0:Relationship Id="nativeLink230" Type="http://schemas.openxmlformats.org/officeDocument/2006/relationships/hyperlink" Target="https://diariodarepublica.pt/dr/detalhe/despacho/3808-2026-1075988859" TargetMode="External" /><ns0:Relationship Id="nativeLink231" Type="http://schemas.openxmlformats.org/officeDocument/2006/relationships/hyperlink" Target="https://diariodarepublica.pt/dr/detalhe/despacho/3965-2026-1077349638" TargetMode="External" /><ns0:Relationship Id="nativeLink232" Type="http://schemas.openxmlformats.org/officeDocument/2006/relationships/hyperlink" Target="https://diariodarepublica.pt/dr/detalhe/despacho/4214-2026-1080130550" TargetMode="External" /><ns0:Relationship Id="nativeLink233" Type="http://schemas.openxmlformats.org/officeDocument/2006/relationships/hyperlink" Target="https://diariodarepublica.pt/dr/detalhe/resolucao-conselho-ministros/64-a-2026-1080481227" TargetMode="External" /><ns0:Relationship Id="nativeLink234" Type="http://schemas.openxmlformats.org/officeDocument/2006/relationships/hyperlink" Target="https://diariodarepublica.pt/dr/detalhe/resolucao-conselho-ministros/64-b-2026-1080481228" TargetMode="External" /><ns0:Relationship Id="nativeLink235" Type="http://schemas.openxmlformats.org/officeDocument/2006/relationships/hyperlink" Target="https://diariodarepublica.pt/dr/detalhe/despacho/4319-2026-1080930313" TargetMode="External" /><ns0:Relationship Id="nativeLink236" Type="http://schemas.openxmlformats.org/officeDocument/2006/relationships/hyperlink" Target="https://diariodarepublica.pt/dr/detalhe/despacho/4643-2026-1082906758" TargetMode="External" /><ns0:Relationship Id="nativeLink237" Type="http://schemas.openxmlformats.org/officeDocument/2006/relationships/hyperlink" Target="https://diariodarepublica.pt/dr/detalhe/despacho/4650-2026-1082906767" TargetMode="External" /><ns0:Relationship Id="nativeLink238" Type="http://schemas.openxmlformats.org/officeDocument/2006/relationships/hyperlink" Target="https://diariodarepublica.pt/dr/detalhe/despacho/4749-2026-1084035715" TargetMode="External" /><ns0:Relationship Id="nativeLink239" Type="http://schemas.openxmlformats.org/officeDocument/2006/relationships/hyperlink" Target="https://diariodarepublica.pt/dr/detalhe/despacho/4750-2026-1084035716" TargetMode="External" /><ns0:Relationship Id="nativeLink240" Type="http://schemas.openxmlformats.org/officeDocument/2006/relationships/hyperlink" Target="https://diariodarepublica.pt/dr/detalhe/despacho/4762-2026-1084035742" TargetMode="External" /><ns0:Relationship Id="nativeLink241" Type="http://schemas.openxmlformats.org/officeDocument/2006/relationships/hyperlink" Target="https://diariodarepublica.pt/dr/detalhe/despacho/5146-2026-1086825315" TargetMode="External" /><ns0:Relationship Id="nativeLink242" Type="http://schemas.openxmlformats.org/officeDocument/2006/relationships/hyperlink" Target="https://diariodarepublica.pt/dr/detalhe/despacho/5409-2026-1090795689" TargetMode="External" /><ns0:Relationship Id="nativeLink243" Type="http://schemas.openxmlformats.org/officeDocument/2006/relationships/hyperlink" Target="https://diariodarepublica.pt/dr/detalhe/despacho/5625-2026-1095311077" TargetMode="External" /><ns0:Relationship Id="nativeLink244" Type="http://schemas.openxmlformats.org/officeDocument/2006/relationships/hyperlink" Target="https://diariodarepublica.pt/dr/detalhe/despacho/5900-2026-1114075412" TargetMode="External" /><ns0:Relationship Id="nativeLink245" Type="http://schemas.openxmlformats.org/officeDocument/2006/relationships/hyperlink" Target="https://diariodarepublica.pt/dr/detalhe/portaria/231-2026-1126594011" TargetMode="External" /><ns0:Relationship Id="nativeLink246" Type="http://schemas.openxmlformats.org/officeDocument/2006/relationships/hyperlink" Target="https://diariodarepublica.pt/dr/detalhe/resolucao-conselho-ministros/101-2026-1126675658" TargetMode="External" /><ns0:Relationship Id="nativeLink247" Type="http://schemas.openxmlformats.org/officeDocument/2006/relationships/hyperlink" Target="https://diariodarepublica.pt/dr/detalhe/despacho/6859-2026-1127910940" TargetMode="External" /><ns0:Relationship Id="nativeLink248" Type="http://schemas.openxmlformats.org/officeDocument/2006/relationships/hyperlink" Target="https://diariodarepublica.pt/dr/detalhe/despacho/6922-2026-1128419953" TargetMode="External" /><ns0:Relationship Id="nativeLink249" Type="http://schemas.openxmlformats.org/officeDocument/2006/relationships/hyperlink" Target="https://diariodarepublica.pt/dr/detalhe/despacho/6941-2026-1128499274" TargetMode="External" /><ns0:Relationship Id="nativeLink250" Type="http://schemas.openxmlformats.org/officeDocument/2006/relationships/hyperlink" Target="https://diariodarepublica.pt/dr/detalhe/despacho/7083-2026-1129395644" TargetMode="External" /><ns0:Relationship Id="nativeLink251" Type="http://schemas.openxmlformats.org/officeDocument/2006/relationships/hyperlink" Target="https://diariodarepublica.pt/dr/detalhe/portaria/249-2026-1129514956" TargetMode="External" /><ns0:Relationship Id="nativeLink252" Type="http://schemas.openxmlformats.org/officeDocument/2006/relationships/hyperlink" Target="https://diariodarepublica.pt/dr/detalhe/decreto-lei/113-2026-1130121306" TargetMode="External" /><ns0:Relationship Id="nativeLink253" Type="http://schemas.openxmlformats.org/officeDocument/2006/relationships/hyperlink" Target="https://diariodarepublica.pt/dr/detalhe/despacho/7229-2026-1130120993" TargetMode="External" /><ns0:Relationship Id="nativeLink254" Type="http://schemas.openxmlformats.org/officeDocument/2006/relationships/hyperlink" Target="https://diariodarepublica.pt/dr/detalhe/regulamento/711-2026-1129941143" TargetMode="External" /><ns0:Relationship Id="nativeLink255" Type="http://schemas.openxmlformats.org/officeDocument/2006/relationships/hyperlink" Target="https://diariodarepublica.pt/dr/detalhe/despacho/7373-2026-1131612614" TargetMode="External" /><ns0:Relationship Id="nativeLink256" Type="http://schemas.openxmlformats.org/officeDocument/2006/relationships/hyperlink" Target="https://diariodarepublica.pt/dr/detalhe/despacho/7381-2026-1131612628" TargetMode="External" /><ns0:Relationship Id="nativeLink257" Type="http://schemas.openxmlformats.org/officeDocument/2006/relationships/hyperlink" Target="https://diariodarepublica.pt/dr/detalhe/decreto-lei/118-2026-1133485780" TargetMode="External" /><ns0:Relationship Id="nativeLink258" Type="http://schemas.openxmlformats.org/officeDocument/2006/relationships/hyperlink" Target="https://diariodarepublica.pt/dr/detalhe/despacho/7541-2026-1132818510" TargetMode="External" /><ns0:Relationship Id="nativeLink259" Type="http://schemas.openxmlformats.org/officeDocument/2006/relationships/hyperlink" Target="https://diariodarepublica.pt/dr/detalhe/despacho/7542-2026-1132818511" TargetMode="External" /><ns0:Relationship Id="nativeLink260" Type="http://schemas.openxmlformats.org/officeDocument/2006/relationships/hyperlink" Target="https://diariodarepublica.pt/dr/detalhe/despacho/7543-2026-1132818512" TargetMode="External" /><ns0:Relationship Id="nativeLink261" Type="http://schemas.openxmlformats.org/officeDocument/2006/relationships/hyperlink" Target="https://diariodarepublica.pt/dr/detalhe/resolucao-conselho-ministros/125-2026-1133485782" TargetMode="External" /><ns0:Relationship Id="nativeLink262" Type="http://schemas.openxmlformats.org/officeDocument/2006/relationships/hyperlink" Target="https://diariodarepublica.pt/dr/detalhe/despacho/7603-2026-1133518850" TargetMode="External" /><ns0:Relationship Id="nativeLink263" Type="http://schemas.openxmlformats.org/officeDocument/2006/relationships/hyperlink" Target="https://diariodarepublica.pt/dr/detalhe/despacho/7650-2026-1133910824" TargetMode="External" /><ns0:Relationship Id="nativeLink264" Type="http://schemas.openxmlformats.org/officeDocument/2006/relationships/hyperlink" Target="https://diariodarepublica.pt/dr/detalhe/despacho/7727-2026-1134448974" TargetMode="External" /><ns0:Relationship Id="nativeLink265" Type="http://schemas.openxmlformats.org/officeDocument/2006/relationships/hyperlink" Target="https://diariodarepublica.pt/dr/detalhe/portaria/271-2026-1134835837" TargetMode="External" /><ns0:Relationship Id="nativeLink266" Type="http://schemas.openxmlformats.org/officeDocument/2006/relationships/hyperlink" Target="https://diariodarepublica.pt/dr/detalhe/resolucao-conselho-ministros/133-2026-1138160260" TargetMode="External" /><ns0:Relationship Id="nativeLink267" Type="http://schemas.openxmlformats.org/officeDocument/2006/relationships/hyperlink" Target="https://diariodarepublica.pt/dr/detalhe/despacho/7971-2026-1138363947" TargetMode="External" /><ns0:Relationship Id="nativeLink268" Type="http://schemas.openxmlformats.org/officeDocument/2006/relationships/hyperlink" Target="https://diariodarepublica.pt/dr/detalhe/resolucao-conselho-ministros/135-2026-1139191708" TargetMode="External" /><ns0:Relationship Id="nativeLink269" Type="http://schemas.openxmlformats.org/officeDocument/2006/relationships/hyperlink" Target="https://diariodarepublica.pt/dr/detalhe/portaria/278-2026-1139897692" TargetMode="External" /><ns0:Relationship Id="nativeLink270" Type="http://schemas.openxmlformats.org/officeDocument/2006/relationships/hyperlink" Target="https://diariodarepublica.pt/dr/detalhe/despacho/8867-2026-1147001192" TargetMode="External" /><ns0:Relationship Id="nativeLink271" Type="http://schemas.openxmlformats.org/officeDocument/2006/relationships/hyperlink" Target="https://diariodarepublica.pt/dr/detalhe/resolucao-conselho-ministros/144-2026-1147043702" TargetMode="External" /><ns0:Relationship Id="nativeLink272" Type="http://schemas.openxmlformats.org/officeDocument/2006/relationships/hyperlink" Target="https://diariodarepublica.pt/dr/detalhe/despacho/8971-2026-1148259710" TargetMode="External" /><ns0:Relationship Id="nativeLink273" Type="http://schemas.openxmlformats.org/officeDocument/2006/relationships/hyperlink" Target="https://diariodarepublica.pt/dr/detalhe/decreto-lei/152-2026-1153698586" TargetMode="External" /><ns0:Relationship Id="nativeLink274" Type="http://schemas.openxmlformats.org/officeDocument/2006/relationships/hyperlink" Target="https://diariodarepublica.pt/dr/detalhe/despacho/9696-2026-1153917404" TargetMode="External" /><ns0:Relationship Id="nativeLink275" Type="http://schemas.openxmlformats.org/officeDocument/2006/relationships/hyperlink" Target="https://diariodarepublica.pt/dr/detalhe/despacho/9701-2026-1153917423" TargetMode="External" /><ns0:Relationship Id="nativeLink276" Type="http://schemas.openxmlformats.org/officeDocument/2006/relationships/hyperlink" Target="https://diariodarepublica.pt/dr/detalhe/portaria/323-2026-1154275222" TargetMode="External" /><ns0:Relationship Id="nativeLink277" Type="http://schemas.openxmlformats.org/officeDocument/2006/relationships/hyperlink" Target="https://diariodarepublica.pt/dr/detalhe/despacho/9999-2026-1155101848" TargetMode="External" /><ns0:Relationship Id="nativeLink278" Type="http://schemas.openxmlformats.org/officeDocument/2006/relationships/hyperlink" Target="https://diariodarepublica.pt/dr/detalhe/despacho/10163-2026-1156689132" TargetMode="External" /><ns0:Relationship Id="nativeLink279" Type="http://schemas.openxmlformats.org/officeDocument/2006/relationships/hyperlink" Target="https://diariodarepublica.pt/dr/detalhe/despacho/10174-2026-1156689146" TargetMode="External" /><ns0:Relationship Id="nativeLink280" Type="http://schemas.openxmlformats.org/officeDocument/2006/relationships/hyperlink" Target="https://diariodarepublica.pt/dr/detalhe/portaria/350-a-2026-1160416973" TargetMode="External" /><ns0:Relationship Id="nativeLink281" Type="http://schemas.openxmlformats.org/officeDocument/2006/relationships/hyperlink" Target="https://diariodarepublica.pt/dr/detalhe/resolucao-conselho-ministros/172-a-2026-1162354869" TargetMode="External" /><ns0:Relationship Id="nativeLink282" Type="http://schemas.openxmlformats.org/officeDocument/2006/relationships/hyperlink" Target="https://diariodarepublica.pt/dr/detalhe/resolucao-conselho-ministros/175-2026-1163562936" TargetMode="External" /><ns0:Relationship Id="nativeLink283" Type="http://schemas.openxmlformats.org/officeDocument/2006/relationships/hyperlink" Target="https://diariodarepublica.pt/dr/detalhe/despacho/10813-2026-1164280374" TargetMode="External" /><ns0:Relationship Id="nativeLink284" Type="http://schemas.openxmlformats.org/officeDocument/2006/relationships/hyperlink" Target="https://diariodarepublica.pt/dr/detalhe/decreto-lei/179-2026-1167595460" TargetMode="External" /><ns0:Relationship Id="nativeLink285" Type="http://schemas.openxmlformats.org/officeDocument/2006/relationships/hyperlink" Target="https://diariodarepublica.pt/dr/detalhe/despacho/11130-2026-1168075404" TargetMode="External" /><ns0:Relationship Id="nativeLink286" Type="http://schemas.openxmlformats.org/officeDocument/2006/relationships/hyperlink" Target="https://diariodarepublica.pt/dr/detalhe/resolucao-conselho-ministros/181-2026-1171535220" TargetMode="External" /><ns0:Relationship Id="nativeLink287" Type="http://schemas.openxmlformats.org/officeDocument/2006/relationships/hyperlink" Target="https://diariodarepublica.pt/dr/detalhe/despacho/11488-2026-1171481959" TargetMode="External" /><ns0:Relationship Id="nativeLink288" Type="http://schemas.openxmlformats.org/officeDocument/2006/relationships/hyperlink" Target="https://diariodarepublica.pt/dr/detalhe/despacho/11559-2026-1172208522" TargetMode="External" /><ns0:Relationship Id="nativeLink289" Type="http://schemas.openxmlformats.org/officeDocument/2006/relationships/hyperlink" Target="https://diariodarepublica.pt/dr/detalhe/decreto-lei/193-2026-1172319753" TargetMode="External" /><ns0:Relationship Id="nativeLink290" Type="http://schemas.openxmlformats.org/officeDocument/2006/relationships/hyperlink" Target="https://diariodarepublica.pt/dr/detalhe/despacho/11629-2026-1172559760" TargetMode="External" /><ns0:Relationship Id="nativeLink291" Type="http://schemas.openxmlformats.org/officeDocument/2006/relationships/hyperlink" Target="https://diariodarepublica.pt/dr/detalhe/despacho/11672-2026-1172867984" TargetMode="External" /><ns0:Relationship Id="nativeLink292" Type="http://schemas.openxmlformats.org/officeDocument/2006/relationships/hyperlink" Target="https://diariodarepublica.pt/dr/detalhe/portaria/445-2026-1175177139" TargetMode="External" /></ns0:Relationships>
</file>

<file path=xl/worksheets/_rels/sheet9.xml.rels>&#65279;<?xml version="1.0" encoding="utf-8"?><Relationships xmlns="http://schemas.openxmlformats.org/package/2006/relationships"><Relationship Type="http://schemas.openxmlformats.org/officeDocument/2006/relationships/table" Target="/xl/tables/table8.xml" Id="Rc935c535a0664a76" /></Relationships>
</file>

<file path=xl/worksheets/_rels/sheet10.xml.rels>&#65279;<?xml version="1.0" encoding="utf-8"?><Relationships xmlns="http://schemas.openxmlformats.org/package/2006/relationships"><Relationship Type="http://schemas.openxmlformats.org/officeDocument/2006/relationships/table" Target="/xl/tables/table9.xml" Id="R51bcb9361d974f6c" /></Relationships>
</file>

<file path=xl/worksheets/sheet1.xml><?xml version="1.0" encoding="utf-8"?>
<x:worksheet xmlns:x="http://schemas.openxmlformats.org/spreadsheetml/2006/main">
  <x:sheetPr>
    <x:tabColor rgb="FF233B55"/>
  </x:sheetPr>
  <x:sheetViews>
    <x:sheetView showGridLines="0" workbookViewId="0"/>
  </x:sheetViews>
  <x:sheetFormatPr defaultRowHeight="15"/>
  <x:cols>
    <x:col min="1" max="1" width="3" hidden="0" customWidth="1"/>
    <x:col min="2" max="2" width="11"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 min="13" max="13" width="11" hidden="0" customWidth="1"/>
    <x:col min="14" max="14" width="11" hidden="0" customWidth="1"/>
  </x:cols>
  <x:sheetData>
    <x:row r="1" ht="25" customHeight="1">
      <x:c r="A1" s="3"/>
      <x:c r="B1" s="3"/>
      <x:c r="C1" s="3"/>
      <x:c r="D1" s="3"/>
      <x:c r="E1" s="3"/>
      <x:c r="F1" s="3"/>
      <x:c r="G1" s="3"/>
      <x:c r="H1" s="3"/>
      <x:c r="I1" s="3"/>
      <x:c r="J1" s="3"/>
      <x:c r="K1" s="3"/>
      <x:c r="L1" s="3"/>
      <x:c r="M1" s="3"/>
      <x:c r="N1" s="3"/>
    </x:row>
    <x:row r="2" ht="30" customHeight="1">
      <x:c r="A2" s="3"/>
      <x:c r="B2" s="25" t="str">
        <x:v>Portuguese government working groups</x:v>
      </x:c>
      <x:c r="C2" s="25" t="str">
        <x:v>Portuguese government working groups</x:v>
      </x:c>
      <x:c r="D2" s="25" t="str">
        <x:v>Portuguese government working groups</x:v>
      </x:c>
      <x:c r="E2" s="25" t="str">
        <x:v>Portuguese government working groups</x:v>
      </x:c>
      <x:c r="F2" s="25" t="str">
        <x:v>Portuguese government working groups</x:v>
      </x:c>
      <x:c r="G2" s="25" t="str">
        <x:v>Portuguese government working groups</x:v>
      </x:c>
      <x:c r="H2" s="25" t="str">
        <x:v>Portuguese government working groups</x:v>
      </x:c>
      <x:c r="I2" s="25" t="str">
        <x:v>Portuguese government working groups</x:v>
      </x:c>
      <x:c r="J2" s="25" t="str">
        <x:v>Portuguese government working groups</x:v>
      </x:c>
      <x:c r="K2" s="25" t="str">
        <x:v>Portuguese government working groups</x:v>
      </x:c>
      <x:c r="L2" s="25" t="str">
        <x:v>Portuguese government working groups</x:v>
      </x:c>
      <x:c r="M2" s="25" t="str">
        <x:v>Portuguese government working groups</x:v>
      </x:c>
      <x:c r="N2" s="25" t="str">
        <x:v>Portuguese government working groups</x:v>
      </x:c>
    </x:row>
    <x:row r="3" ht="25" customHeight="1">
      <x:c r="A3" s="3"/>
      <x:c r="B3" s="28" t="str">
        <x:v>Public-interest transparency tracker · 2 April 2024–10 October 2026</x:v>
      </x:c>
      <x:c r="C3" s="28" t="str">
        <x:v>Public-interest transparency tracker · 2 April 2024–10 October 2026</x:v>
      </x:c>
      <x:c r="D3" s="28" t="str">
        <x:v>Public-interest transparency tracker · 2 April 2024–10 October 2026</x:v>
      </x:c>
      <x:c r="E3" s="28" t="str">
        <x:v>Public-interest transparency tracker · 2 April 2024–10 October 2026</x:v>
      </x:c>
      <x:c r="F3" s="28" t="str">
        <x:v>Public-interest transparency tracker · 2 April 2024–10 October 2026</x:v>
      </x:c>
      <x:c r="G3" s="28" t="str">
        <x:v>Public-interest transparency tracker · 2 April 2024–10 October 2026</x:v>
      </x:c>
      <x:c r="H3" s="28" t="str">
        <x:v>Public-interest transparency tracker · 2 April 2024–10 October 2026</x:v>
      </x:c>
      <x:c r="I3" s="28" t="str">
        <x:v>Public-interest transparency tracker · 2 April 2024–10 October 2026</x:v>
      </x:c>
      <x:c r="J3" s="28" t="str">
        <x:v>Public-interest transparency tracker · 2 April 2024–10 October 2026</x:v>
      </x:c>
      <x:c r="K3" s="28" t="str">
        <x:v>Public-interest transparency tracker · 2 April 2024–10 October 2026</x:v>
      </x:c>
      <x:c r="L3" s="28" t="str">
        <x:v>Public-interest transparency tracker · 2 April 2024–10 October 2026</x:v>
      </x:c>
      <x:c r="M3" s="28" t="str">
        <x:v>Public-interest transparency tracker · 2 April 2024–10 October 2026</x:v>
      </x:c>
      <x:c r="N3" s="28" t="str">
        <x:v>Public-interest transparency tracker · 2 April 2024–10 October 2026</x:v>
      </x:c>
    </x:row>
    <x:row r="4" ht="25" customHeight="1">
      <x:c r="A4" s="3"/>
      <x:c r="B4" s="31" t="str">
        <x:v>Evidence / delay cutoff</x:v>
      </x:c>
      <x:c r="C4" s="31" t="str">
        <x:v>Evidence / delay cutoff</x:v>
      </x:c>
      <x:c r="D4" s="31" t="str">
        <x:v>Evidence / delay cutoff</x:v>
      </x:c>
      <x:c r="E4" s="34" t="d">
        <x:v>2026-10-10T00:00:00.000Z</x:v>
      </x:c>
      <x:c r="F4" s="3"/>
      <x:c r="G4" s="28" t="str">
        <x:v>Statuses require new research when the cutoff changes.</x:v>
      </x:c>
      <x:c r="H4" s="28" t="str">
        <x:v>Statuses require new research when the cutoff changes.</x:v>
      </x:c>
      <x:c r="I4" s="28" t="str">
        <x:v>Statuses require new research when the cutoff changes.</x:v>
      </x:c>
      <x:c r="J4" s="28" t="str">
        <x:v>Statuses require new research when the cutoff changes.</x:v>
      </x:c>
      <x:c r="K4" s="28" t="str">
        <x:v>Statuses require new research when the cutoff changes.</x:v>
      </x:c>
      <x:c r="L4" s="28" t="str">
        <x:v>Statuses require new research when the cutoff changes.</x:v>
      </x:c>
      <x:c r="M4" s="28" t="str">
        <x:v>Statuses require new research when the cutoff changes.</x:v>
      </x:c>
      <x:c r="N4" s="28" t="str">
        <x:v>Statuses require new research when the cutoff changes.</x:v>
      </x:c>
    </x:row>
    <x:row r="5" ht="25" customHeight="1">
      <x:c r="A5" s="3"/>
      <x:c r="B5" s="3"/>
      <x:c r="C5" s="3"/>
      <x:c r="D5" s="3"/>
      <x:c r="E5" s="3"/>
      <x:c r="F5" s="3"/>
      <x:c r="G5" s="3"/>
      <x:c r="H5" s="3"/>
      <x:c r="I5" s="3"/>
      <x:c r="J5" s="3"/>
      <x:c r="K5" s="3"/>
      <x:c r="L5" s="3"/>
      <x:c r="M5" s="3"/>
      <x:c r="N5" s="3"/>
    </x:row>
    <x:row r="6" ht="25" customHeight="1">
      <x:c r="A6" s="3"/>
      <x:c r="B6" s="31" t="str">
        <x:v>Groups in register</x:v>
      </x:c>
      <x:c r="C6" s="31" t="str">
        <x:v>Groups in register</x:v>
      </x:c>
      <x:c r="D6" s="31" t="str">
        <x:v>Groups in register</x:v>
      </x:c>
      <x:c r="E6" s="43" t="n">
        <x:f>COUNTA(Groups!$A$6:$A$127)</x:f>
        <x:v>122</x:v>
      </x:c>
      <x:c r="F6" s="3"/>
      <x:c r="G6" s="3"/>
      <x:c r="H6" s="3"/>
      <x:c r="I6" s="3"/>
      <x:c r="J6" s="3"/>
      <x:c r="K6" s="3"/>
      <x:c r="L6" s="3"/>
      <x:c r="M6" s="3"/>
      <x:c r="N6" s="3"/>
    </x:row>
    <x:row r="7" ht="25" customHeight="1">
      <x:c r="A7" s="3"/>
      <x:c r="B7" s="31" t="str">
        <x:v>Em atraso · rows</x:v>
      </x:c>
      <x:c r="C7" s="31" t="str">
        <x:v>Em atraso · rows</x:v>
      </x:c>
      <x:c r="D7" s="31" t="str">
        <x:v>Em atraso · rows</x:v>
      </x:c>
      <x:c r="E7" s="44" t="n">
        <x:f>COUNTIF(Groups!$C$6:$C$127,"Em atraso")</x:f>
        <x:v>60</x:v>
      </x:c>
      <x:c r="F7" s="3"/>
      <x:c r="G7" s="3"/>
      <x:c r="H7" s="3"/>
      <x:c r="I7" s="3"/>
      <x:c r="J7" s="3"/>
      <x:c r="K7" s="3"/>
      <x:c r="L7" s="3"/>
      <x:c r="M7" s="3"/>
      <x:c r="N7" s="3"/>
    </x:row>
    <x:row r="8" ht="25" customHeight="1">
      <x:c r="A8" s="3"/>
      <x:c r="B8" s="31" t="str">
        <x:v>Average current delay · days</x:v>
      </x:c>
      <x:c r="C8" s="31" t="str">
        <x:v>Average current delay · days</x:v>
      </x:c>
      <x:c r="D8" s="31" t="str">
        <x:v>Average current delay · days</x:v>
      </x:c>
      <x:c r="E8" s="45" t="n">
        <x:f>IFERROR(AVERAGEIF(Groups!$C$6:$C$127,"Em atraso",Groups!$D$6:$D$127),0)</x:f>
        <x:v>375.2</x:v>
      </x:c>
      <x:c r="F8" s="3"/>
      <x:c r="G8" s="3"/>
      <x:c r="H8" s="3"/>
      <x:c r="I8" s="3"/>
      <x:c r="J8" s="3"/>
      <x:c r="K8" s="3"/>
      <x:c r="L8" s="3"/>
      <x:c r="M8" s="3"/>
      <x:c r="N8" s="3"/>
    </x:row>
    <x:row r="9" ht="25" customHeight="1">
      <x:c r="A9" s="3"/>
      <x:c r="B9" s="31" t="str">
        <x:v>Longest recorded delay · days</x:v>
      </x:c>
      <x:c r="C9" s="31" t="str">
        <x:v>Longest recorded delay · days</x:v>
      </x:c>
      <x:c r="D9" s="31" t="str">
        <x:v>Longest recorded delay · days</x:v>
      </x:c>
      <x:c r="E9" s="43" t="n">
        <x:f>MAX(Groups!$D$6:$D$127)</x:f>
        <x:v>888</x:v>
      </x:c>
      <x:c r="F9" s="3"/>
      <x:c r="G9" s="3"/>
      <x:c r="H9" s="3"/>
      <x:c r="I9" s="3"/>
      <x:c r="J9" s="3"/>
      <x:c r="K9" s="3"/>
      <x:c r="L9" s="3"/>
      <x:c r="M9" s="3"/>
      <x:c r="N9" s="3"/>
    </x:row>
    <x:row r="10" ht="25" customHeight="1">
      <x:c r="A10" s="3"/>
      <x:c r="B10" s="31" t="str">
        <x:v>Sem informação pública · share</x:v>
      </x:c>
      <x:c r="C10" s="31" t="str">
        <x:v>Sem informação pública · share</x:v>
      </x:c>
      <x:c r="D10" s="31" t="str">
        <x:v>Sem informação pública · share</x:v>
      </x:c>
      <x:c r="E10" s="46" t="n">
        <x:f>COUNTIF(Groups!$C$6:$C$127,"Sem informação pública")/E6</x:f>
        <x:v>0.29508196721311475</x:v>
      </x:c>
      <x:c r="F10" s="3"/>
      <x:c r="G10" s="3"/>
      <x:c r="H10" s="3"/>
      <x:c r="I10" s="3"/>
      <x:c r="J10" s="3"/>
      <x:c r="K10" s="3"/>
      <x:c r="L10" s="3"/>
      <x:c r="M10" s="3"/>
      <x:c r="N10" s="3"/>
    </x:row>
    <x:row r="11" ht="25" customHeight="1">
      <x:c r="A11" s="3"/>
      <x:c r="B11" s="31" t="str">
        <x:v>Distinct creating acts</x:v>
      </x:c>
      <x:c r="C11" s="31" t="str">
        <x:v>Distinct creating acts</x:v>
      </x:c>
      <x:c r="D11" s="31" t="str">
        <x:v>Distinct creating acts</x:v>
      </x:c>
      <x:c r="E11" s="43" t="n">
        <x:f>SUM(Groups!$AR$6:$AR$127)</x:f>
        <x:v>116</x:v>
      </x:c>
      <x:c r="F11" s="3"/>
      <x:c r="G11" s="3"/>
      <x:c r="H11" s="3"/>
      <x:c r="I11" s="3"/>
      <x:c r="J11" s="3"/>
      <x:c r="K11" s="3"/>
      <x:c r="L11" s="3"/>
      <x:c r="M11" s="3"/>
      <x:c r="N11" s="3"/>
    </x:row>
    <x:row r="12" ht="25" customHeight="1">
      <x:c r="A12" s="3"/>
      <x:c r="B12" s="31" t="str">
        <x:v>Completed-late average · days</x:v>
      </x:c>
      <x:c r="C12" s="31" t="str">
        <x:v>Completed-late average · days</x:v>
      </x:c>
      <x:c r="D12" s="31" t="str">
        <x:v>Completed-late average · days</x:v>
      </x:c>
      <x:c r="E12" s="45" t="n">
        <x:f>IFERROR(AVERAGEIF(Groups!$C$6:$C$127,"Concluído com atraso",Groups!$D$6:$D$127),0)</x:f>
        <x:v>10</x:v>
      </x:c>
      <x:c r="F12" s="3"/>
      <x:c r="G12" s="3"/>
      <x:c r="H12" s="3"/>
      <x:c r="I12" s="3"/>
      <x:c r="J12" s="3"/>
      <x:c r="K12" s="3"/>
      <x:c r="L12" s="3"/>
      <x:c r="M12" s="3"/>
      <x:c r="N12" s="3"/>
    </x:row>
    <x:row r="13" ht="25" customHeight="1">
      <x:c r="A13" s="3"/>
      <x:c r="B13" s="3"/>
      <x:c r="C13" s="3"/>
      <x:c r="D13" s="3"/>
      <x:c r="E13" s="3"/>
      <x:c r="F13" s="3"/>
      <x:c r="G13" s="3"/>
      <x:c r="H13" s="3"/>
      <x:c r="I13" s="3"/>
      <x:c r="J13" s="3"/>
      <x:c r="K13" s="3"/>
      <x:c r="L13" s="3"/>
      <x:c r="M13" s="3"/>
      <x:c r="N13" s="3"/>
    </x:row>
    <x:row r="14" ht="25" customHeight="1">
      <x:c r="A14" s="3"/>
      <x:c r="B14" s="49" t="str">
        <x:v>Status distribution</x:v>
      </x:c>
      <x:c r="C14" s="49" t="str">
        <x:v>Status distribution</x:v>
      </x:c>
      <x:c r="D14" s="49" t="str">
        <x:v>Status distribution</x:v>
      </x:c>
      <x:c r="E14" s="49" t="str">
        <x:v>Status distribution</x:v>
      </x:c>
      <x:c r="F14" s="49" t="str">
        <x:v>Status distribution</x:v>
      </x:c>
      <x:c r="G14" s="3"/>
      <x:c r="H14" s="3"/>
      <x:c r="I14" s="3"/>
      <x:c r="J14" s="3"/>
      <x:c r="K14" s="3"/>
      <x:c r="L14" s="3"/>
      <x:c r="M14" s="3"/>
      <x:c r="N14" s="3"/>
    </x:row>
    <x:row r="15" ht="25" customHeight="1">
      <x:c r="A15" s="3"/>
      <x:c r="B15" s="51" t="str">
        <x:v>Status · Português</x:v>
      </x:c>
      <x:c r="C15" s="51" t="str">
        <x:v>Status · Português</x:v>
      </x:c>
      <x:c r="D15" s="51" t="str">
        <x:v>Status · Português</x:v>
      </x:c>
      <x:c r="E15" s="51" t="str">
        <x:v>Groups</x:v>
      </x:c>
      <x:c r="F15" s="51" t="str">
        <x:v>Share</x:v>
      </x:c>
      <x:c r="G15" s="3"/>
      <x:c r="H15" s="3"/>
      <x:c r="I15" s="3"/>
      <x:c r="J15" s="3"/>
      <x:c r="K15" s="3"/>
      <x:c r="L15" s="3"/>
      <x:c r="M15" s="3"/>
      <x:c r="N15" s="3"/>
    </x:row>
    <x:row r="16" ht="32" customHeight="1">
      <x:c r="A16" s="3"/>
      <x:c r="B16" s="55" t="str">
        <x:v>Concluído no prazo</x:v>
      </x:c>
      <x:c r="C16" s="55" t="str">
        <x:v>Concluído no prazo</x:v>
      </x:c>
      <x:c r="D16" s="55" t="str">
        <x:v>Concluído no prazo</x:v>
      </x:c>
      <x:c r="E16" s="21" t="n">
        <x:f>COUNTIF(Groups!$C$6:$C$127,B16)</x:f>
        <x:v>1</x:v>
      </x:c>
      <x:c r="F16" s="79" t="n">
        <x:f>E16/$E$6</x:f>
        <x:v>0.00819672131147541</x:v>
      </x:c>
      <x:c r="G16" s="3"/>
      <x:c r="H16" s="3"/>
      <x:c r="I16" s="3"/>
      <x:c r="J16" s="3"/>
      <x:c r="K16" s="3"/>
      <x:c r="L16" s="3"/>
      <x:c r="M16" s="3"/>
      <x:c r="N16" s="3"/>
    </x:row>
    <x:row r="17" ht="32" customHeight="1">
      <x:c r="A17" s="3"/>
      <x:c r="B17" s="59" t="str">
        <x:v>Concluído com atraso</x:v>
      </x:c>
      <x:c r="C17" s="59" t="str">
        <x:v>Concluído com atraso</x:v>
      </x:c>
      <x:c r="D17" s="59" t="str">
        <x:v>Concluído com atraso</x:v>
      </x:c>
      <x:c r="E17" s="21" t="n">
        <x:f>COUNTIF(Groups!$C$6:$C$127,B17)</x:f>
        <x:v>1</x:v>
      </x:c>
      <x:c r="F17" s="79" t="n">
        <x:f>E17/$E$6</x:f>
        <x:v>0.00819672131147541</x:v>
      </x:c>
      <x:c r="G17" s="3"/>
      <x:c r="H17" s="3"/>
      <x:c r="I17" s="3"/>
      <x:c r="J17" s="3"/>
      <x:c r="K17" s="3"/>
      <x:c r="L17" s="3"/>
      <x:c r="M17" s="3"/>
      <x:c r="N17" s="3"/>
    </x:row>
    <x:row r="18" ht="32" customHeight="1">
      <x:c r="A18" s="3"/>
      <x:c r="B18" s="63" t="str">
        <x:v>Em curso – dentro do prazo</x:v>
      </x:c>
      <x:c r="C18" s="63" t="str">
        <x:v>Em curso – dentro do prazo</x:v>
      </x:c>
      <x:c r="D18" s="63" t="str">
        <x:v>Em curso – dentro do prazo</x:v>
      </x:c>
      <x:c r="E18" s="21" t="n">
        <x:f>COUNTIF(Groups!$C$6:$C$127,B18)</x:f>
        <x:v>18</x:v>
      </x:c>
      <x:c r="F18" s="79" t="n">
        <x:f>E18/$E$6</x:f>
        <x:v>0.14754098360655737</x:v>
      </x:c>
      <x:c r="G18" s="3"/>
      <x:c r="H18" s="3"/>
      <x:c r="I18" s="3"/>
      <x:c r="J18" s="3"/>
      <x:c r="K18" s="3"/>
      <x:c r="L18" s="3"/>
      <x:c r="M18" s="3"/>
      <x:c r="N18" s="3"/>
    </x:row>
    <x:row r="19" ht="32" customHeight="1">
      <x:c r="A19" s="3"/>
      <x:c r="B19" s="66" t="str">
        <x:v>Em atraso</x:v>
      </x:c>
      <x:c r="C19" s="66" t="str">
        <x:v>Em atraso</x:v>
      </x:c>
      <x:c r="D19" s="66" t="str">
        <x:v>Em atraso</x:v>
      </x:c>
      <x:c r="E19" s="21" t="n">
        <x:f>COUNTIF(Groups!$C$6:$C$127,B19)</x:f>
        <x:v>60</x:v>
      </x:c>
      <x:c r="F19" s="79" t="n">
        <x:f>E19/$E$6</x:f>
        <x:v>0.4918032786885246</x:v>
      </x:c>
      <x:c r="G19" s="3"/>
      <x:c r="H19" s="3"/>
      <x:c r="I19" s="3"/>
      <x:c r="J19" s="3"/>
      <x:c r="K19" s="3"/>
      <x:c r="L19" s="3"/>
      <x:c r="M19" s="3"/>
      <x:c r="N19" s="3"/>
    </x:row>
    <x:row r="20" ht="32" customHeight="1">
      <x:c r="A20" s="3"/>
      <x:c r="B20" s="70" t="str">
        <x:v>Prorrogado</x:v>
      </x:c>
      <x:c r="C20" s="70" t="str">
        <x:v>Prorrogado</x:v>
      </x:c>
      <x:c r="D20" s="70" t="str">
        <x:v>Prorrogado</x:v>
      </x:c>
      <x:c r="E20" s="21" t="n">
        <x:f>COUNTIF(Groups!$C$6:$C$127,B20)</x:f>
        <x:v>4</x:v>
      </x:c>
      <x:c r="F20" s="79" t="n">
        <x:f>E20/$E$6</x:f>
        <x:v>0.03278688524590164</x:v>
      </x:c>
      <x:c r="G20" s="3"/>
      <x:c r="H20" s="3"/>
      <x:c r="I20" s="3"/>
      <x:c r="J20" s="3"/>
      <x:c r="K20" s="3"/>
      <x:c r="L20" s="3"/>
      <x:c r="M20" s="3"/>
      <x:c r="N20" s="3"/>
    </x:row>
    <x:row r="21" ht="32" customHeight="1">
      <x:c r="A21" s="3"/>
      <x:c r="B21" s="74" t="str">
        <x:v>Extinto / substituído</x:v>
      </x:c>
      <x:c r="C21" s="74" t="str">
        <x:v>Extinto / substituído</x:v>
      </x:c>
      <x:c r="D21" s="74" t="str">
        <x:v>Extinto / substituído</x:v>
      </x:c>
      <x:c r="E21" s="21" t="n">
        <x:f>COUNTIF(Groups!$C$6:$C$127,B21)</x:f>
        <x:v>2</x:v>
      </x:c>
      <x:c r="F21" s="79" t="n">
        <x:f>E21/$E$6</x:f>
        <x:v>0.01639344262295082</x:v>
      </x:c>
      <x:c r="G21" s="3"/>
      <x:c r="H21" s="3"/>
      <x:c r="I21" s="3"/>
      <x:c r="J21" s="3"/>
      <x:c r="K21" s="3"/>
      <x:c r="L21" s="3"/>
      <x:c r="M21" s="3"/>
      <x:c r="N21" s="3"/>
    </x:row>
    <x:row r="22" ht="32" customHeight="1">
      <x:c r="A22" s="3"/>
      <x:c r="B22" s="78" t="str">
        <x:v>Sem informação pública</x:v>
      </x:c>
      <x:c r="C22" s="78" t="str">
        <x:v>Sem informação pública</x:v>
      </x:c>
      <x:c r="D22" s="78" t="str">
        <x:v>Sem informação pública</x:v>
      </x:c>
      <x:c r="E22" s="21" t="n">
        <x:f>COUNTIF(Groups!$C$6:$C$127,B22)</x:f>
        <x:v>36</x:v>
      </x:c>
      <x:c r="F22" s="79" t="n">
        <x:f>E22/$E$6</x:f>
        <x:v>0.29508196721311475</x:v>
      </x:c>
      <x:c r="G22" s="3"/>
      <x:c r="H22" s="3"/>
      <x:c r="I22" s="3"/>
      <x:c r="J22" s="3"/>
      <x:c r="K22" s="3"/>
      <x:c r="L22" s="3"/>
      <x:c r="M22" s="3"/>
      <x:c r="N22" s="3"/>
    </x:row>
    <x:row r="23" ht="25" customHeight="1">
      <x:c r="A23" s="3"/>
      <x:c r="B23" s="3"/>
      <x:c r="C23" s="3"/>
      <x:c r="D23" s="3"/>
      <x:c r="E23" s="3"/>
      <x:c r="F23" s="3"/>
      <x:c r="G23" s="3"/>
      <x:c r="H23" s="3"/>
      <x:c r="I23" s="3"/>
      <x:c r="J23" s="3"/>
      <x:c r="K23" s="3"/>
      <x:c r="L23" s="3"/>
      <x:c r="M23" s="3"/>
      <x:c r="N23" s="3"/>
    </x:row>
    <x:row r="24" ht="25" customHeight="1">
      <x:c r="A24" s="3"/>
      <x:c r="B24" s="3"/>
      <x:c r="C24" s="3"/>
      <x:c r="D24" s="3"/>
      <x:c r="E24" s="3"/>
      <x:c r="F24" s="3"/>
      <x:c r="G24" s="3"/>
      <x:c r="H24" s="3"/>
      <x:c r="I24" s="3"/>
      <x:c r="J24" s="3"/>
      <x:c r="K24" s="3"/>
      <x:c r="L24" s="3"/>
      <x:c r="M24" s="3"/>
      <x:c r="N24" s="3"/>
    </x:row>
    <x:row r="25" ht="25" customHeight="1">
      <x:c r="A25" s="3"/>
      <x:c r="B25" s="49" t="str">
        <x:v>By creating government</x:v>
      </x:c>
      <x:c r="C25" s="49" t="str">
        <x:v>By creating government</x:v>
      </x:c>
      <x:c r="D25" s="49" t="str">
        <x:v>By creating government</x:v>
      </x:c>
      <x:c r="E25" s="49" t="str">
        <x:v>By creating government</x:v>
      </x:c>
      <x:c r="F25" s="3"/>
      <x:c r="G25" s="81" t="str">
        <x:v>Issuing portfolio · overlapping counts</x:v>
      </x:c>
      <x:c r="H25" s="81" t="str">
        <x:v>Issuing portfolio · overlapping counts</x:v>
      </x:c>
      <x:c r="I25" s="81" t="str">
        <x:v>Issuing portfolio · overlapping counts</x:v>
      </x:c>
      <x:c r="J25" s="81" t="str">
        <x:v>Issuing portfolio · overlapping counts</x:v>
      </x:c>
      <x:c r="K25" s="81" t="str">
        <x:v>Issuing portfolio · overlapping counts</x:v>
      </x:c>
      <x:c r="L25" s="51" t="str">
        <x:v>All</x:v>
      </x:c>
      <x:c r="M25" s="51" t="str">
        <x:v>XXIV</x:v>
      </x:c>
      <x:c r="N25" s="51" t="str">
        <x:v>XXV</x:v>
      </x:c>
    </x:row>
    <x:row r="26" ht="25" customHeight="1">
      <x:c r="A26" s="3"/>
      <x:c r="B26" s="31" t="str">
        <x:v>XXIV</x:v>
      </x:c>
      <x:c r="C26" s="31" t="str">
        <x:v>XXIV</x:v>
      </x:c>
      <x:c r="D26" s="31" t="str">
        <x:v>XXIV</x:v>
      </x:c>
      <x:c r="E26" s="3" t="n">
        <x:f>COUNTIF(Groups!$E$6:$E$127,B26)</x:f>
        <x:v>74</x:v>
      </x:c>
      <x:c r="F26" s="3"/>
      <x:c r="G26" s="31" t="str">
        <x:v>Health</x:v>
      </x:c>
      <x:c r="H26" s="31" t="str">
        <x:v>Health</x:v>
      </x:c>
      <x:c r="I26" s="31" t="str">
        <x:v>Health</x:v>
      </x:c>
      <x:c r="J26" s="31" t="str">
        <x:v>Health</x:v>
      </x:c>
      <x:c r="K26" s="31" t="str">
        <x:v>Health</x:v>
      </x:c>
      <x:c r="L26" s="3" t="n">
        <x:f>COUNTIF('Issuing portfolios'!$C$6:$C$239,G26)</x:f>
        <x:v>29</x:v>
      </x:c>
      <x:c r="M26" s="3" t="n">
        <x:f>COUNTIFS('Issuing portfolios'!$C$6:$C$239,G26,'Issuing portfolios'!$B$6:$B$239,"XXIV")</x:f>
        <x:v>16</x:v>
      </x:c>
      <x:c r="N26" s="3" t="n">
        <x:f>COUNTIFS('Issuing portfolios'!$C$6:$C$239,G26,'Issuing portfolios'!$B$6:$B$239,"XXV")</x:f>
        <x:v>13</x:v>
      </x:c>
    </x:row>
    <x:row r="27" ht="25" customHeight="1">
      <x:c r="A27" s="3"/>
      <x:c r="B27" s="31" t="str">
        <x:v>XXV</x:v>
      </x:c>
      <x:c r="C27" s="31" t="str">
        <x:v>XXV</x:v>
      </x:c>
      <x:c r="D27" s="31" t="str">
        <x:v>XXV</x:v>
      </x:c>
      <x:c r="E27" s="3" t="n">
        <x:f>COUNTIF(Groups!$E$6:$E$127,B27)</x:f>
        <x:v>48</x:v>
      </x:c>
      <x:c r="F27" s="3"/>
      <x:c r="G27" s="31" t="str">
        <x:v>Presidency / Council of Ministers</x:v>
      </x:c>
      <x:c r="H27" s="31" t="str">
        <x:v>Presidency / Council of Ministers</x:v>
      </x:c>
      <x:c r="I27" s="31" t="str">
        <x:v>Presidency / Council of Ministers</x:v>
      </x:c>
      <x:c r="J27" s="31" t="str">
        <x:v>Presidency / Council of Ministers</x:v>
      </x:c>
      <x:c r="K27" s="31" t="str">
        <x:v>Presidency / Council of Ministers</x:v>
      </x:c>
      <x:c r="L27" s="3" t="n">
        <x:f>COUNTIF('Issuing portfolios'!$C$6:$C$239,G27)</x:f>
        <x:v>24</x:v>
      </x:c>
      <x:c r="M27" s="3" t="n">
        <x:f>COUNTIFS('Issuing portfolios'!$C$6:$C$239,G27,'Issuing portfolios'!$B$6:$B$239,"XXIV")</x:f>
        <x:v>16</x:v>
      </x:c>
      <x:c r="N27" s="3" t="n">
        <x:f>COUNTIFS('Issuing portfolios'!$C$6:$C$239,G27,'Issuing portfolios'!$B$6:$B$239,"XXV")</x:f>
        <x:v>8</x:v>
      </x:c>
    </x:row>
    <x:row r="28" ht="25" customHeight="1">
      <x:c r="A28" s="3"/>
      <x:c r="B28" s="3"/>
      <x:c r="C28" s="3"/>
      <x:c r="D28" s="3"/>
      <x:c r="E28" s="3"/>
      <x:c r="F28" s="3"/>
      <x:c r="G28" s="31" t="str">
        <x:v>Justice</x:v>
      </x:c>
      <x:c r="H28" s="31" t="str">
        <x:v>Justice</x:v>
      </x:c>
      <x:c r="I28" s="31" t="str">
        <x:v>Justice</x:v>
      </x:c>
      <x:c r="J28" s="31" t="str">
        <x:v>Justice</x:v>
      </x:c>
      <x:c r="K28" s="31" t="str">
        <x:v>Justice</x:v>
      </x:c>
      <x:c r="L28" s="3" t="n">
        <x:f>COUNTIF('Issuing portfolios'!$C$6:$C$239,G28)</x:f>
        <x:v>22</x:v>
      </x:c>
      <x:c r="M28" s="3" t="n">
        <x:f>COUNTIFS('Issuing portfolios'!$C$6:$C$239,G28,'Issuing portfolios'!$B$6:$B$239,"XXIV")</x:f>
        <x:v>18</x:v>
      </x:c>
      <x:c r="N28" s="3" t="n">
        <x:f>COUNTIFS('Issuing portfolios'!$C$6:$C$239,G28,'Issuing portfolios'!$B$6:$B$239,"XXV")</x:f>
        <x:v>4</x:v>
      </x:c>
    </x:row>
    <x:row r="29" ht="25" customHeight="1">
      <x:c r="A29" s="3"/>
      <x:c r="B29" s="28" t="str">
        <x:v>Delay measures time past an unverified reporting or policy target. It does not prove non-delivery. Sem informação pública includes confirmed outputs with unresolved timing.</x:v>
      </x:c>
      <x:c r="C29" s="28" t="str">
        <x:v>Delay measures time past an unverified reporting or policy target. It does not prove non-delivery. Sem informação pública includes confirmed outputs with unresolved timing.</x:v>
      </x:c>
      <x:c r="D29" s="28" t="str">
        <x:v>Delay measures time past an unverified reporting or policy target. It does not prove non-delivery. Sem informação pública includes confirmed outputs with unresolved timing.</x:v>
      </x:c>
      <x:c r="E29" s="28" t="str">
        <x:v>Delay measures time past an unverified reporting or policy target. It does not prove non-delivery. Sem informação pública includes confirmed outputs with unresolved timing.</x:v>
      </x:c>
      <x:c r="F29" s="28" t="str">
        <x:v>Delay measures time past an unverified reporting or policy target. It does not prove non-delivery. Sem informação pública includes confirmed outputs with unresolved timing.</x:v>
      </x:c>
      <x:c r="G29" s="31" t="str">
        <x:v>Environment / Energy</x:v>
      </x:c>
      <x:c r="H29" s="31" t="str">
        <x:v>Environment / Energy</x:v>
      </x:c>
      <x:c r="I29" s="31" t="str">
        <x:v>Environment / Energy</x:v>
      </x:c>
      <x:c r="J29" s="31" t="str">
        <x:v>Environment / Energy</x:v>
      </x:c>
      <x:c r="K29" s="31" t="str">
        <x:v>Environment / Energy</x:v>
      </x:c>
      <x:c r="L29" s="3" t="n">
        <x:f>COUNTIF('Issuing portfolios'!$C$6:$C$239,G29)</x:f>
        <x:v>19</x:v>
      </x:c>
      <x:c r="M29" s="3" t="n">
        <x:f>COUNTIFS('Issuing portfolios'!$C$6:$C$239,G29,'Issuing portfolios'!$B$6:$B$239,"XXIV")</x:f>
        <x:v>13</x:v>
      </x:c>
      <x:c r="N29" s="3" t="n">
        <x:f>COUNTIFS('Issuing portfolios'!$C$6:$C$239,G29,'Issuing portfolios'!$B$6:$B$239,"XXV")</x:f>
        <x:v>6</x:v>
      </x:c>
    </x:row>
    <x:row r="30" ht="25" customHeight="1">
      <x:c r="A30" s="3"/>
      <x:c r="B30" s="28" t="str">
        <x:v>Delay measures time past an unverified reporting or policy target. It does not prove non-delivery. Sem informação pública includes confirmed outputs with unresolved timing.</x:v>
      </x:c>
      <x:c r="C30" s="28" t="str">
        <x:v>Delay measures time past an unverified reporting or policy target. It does not prove non-delivery. Sem informação pública includes confirmed outputs with unresolved timing.</x:v>
      </x:c>
      <x:c r="D30" s="28" t="str">
        <x:v>Delay measures time past an unverified reporting or policy target. It does not prove non-delivery. Sem informação pública includes confirmed outputs with unresolved timing.</x:v>
      </x:c>
      <x:c r="E30" s="28" t="str">
        <x:v>Delay measures time past an unverified reporting or policy target. It does not prove non-delivery. Sem informação pública includes confirmed outputs with unresolved timing.</x:v>
      </x:c>
      <x:c r="F30" s="28" t="str">
        <x:v>Delay measures time past an unverified reporting or policy target. It does not prove non-delivery. Sem informação pública includes confirmed outputs with unresolved timing.</x:v>
      </x:c>
      <x:c r="G30" s="31" t="str">
        <x:v>Economy</x:v>
      </x:c>
      <x:c r="H30" s="31" t="str">
        <x:v>Economy</x:v>
      </x:c>
      <x:c r="I30" s="31" t="str">
        <x:v>Economy</x:v>
      </x:c>
      <x:c r="J30" s="31" t="str">
        <x:v>Economy</x:v>
      </x:c>
      <x:c r="K30" s="31" t="str">
        <x:v>Economy</x:v>
      </x:c>
      <x:c r="L30" s="3" t="n">
        <x:f>COUNTIF('Issuing portfolios'!$C$6:$C$239,G30)</x:f>
        <x:v>17</x:v>
      </x:c>
      <x:c r="M30" s="3" t="n">
        <x:f>COUNTIFS('Issuing portfolios'!$C$6:$C$239,G30,'Issuing portfolios'!$B$6:$B$239,"XXIV")</x:f>
        <x:v>6</x:v>
      </x:c>
      <x:c r="N30" s="3" t="n">
        <x:f>COUNTIFS('Issuing portfolios'!$C$6:$C$239,G30,'Issuing portfolios'!$B$6:$B$239,"XXV")</x:f>
        <x:v>11</x:v>
      </x:c>
    </x:row>
    <x:row r="31" ht="25" customHeight="1">
      <x:c r="A31" s="3"/>
      <x:c r="B31" s="28" t="str">
        <x:v>Delay measures time past an unverified reporting or policy target. It does not prove non-delivery. Sem informação pública includes confirmed outputs with unresolved timing.</x:v>
      </x:c>
      <x:c r="C31" s="28" t="str">
        <x:v>Delay measures time past an unverified reporting or policy target. It does not prove non-delivery. Sem informação pública includes confirmed outputs with unresolved timing.</x:v>
      </x:c>
      <x:c r="D31" s="28" t="str">
        <x:v>Delay measures time past an unverified reporting or policy target. It does not prove non-delivery. Sem informação pública includes confirmed outputs with unresolved timing.</x:v>
      </x:c>
      <x:c r="E31" s="28" t="str">
        <x:v>Delay measures time past an unverified reporting or policy target. It does not prove non-delivery. Sem informação pública includes confirmed outputs with unresolved timing.</x:v>
      </x:c>
      <x:c r="F31" s="28" t="str">
        <x:v>Delay measures time past an unverified reporting or policy target. It does not prove non-delivery. Sem informação pública includes confirmed outputs with unresolved timing.</x:v>
      </x:c>
      <x:c r="G31" s="31" t="str">
        <x:v>Labour / Social security</x:v>
      </x:c>
      <x:c r="H31" s="31" t="str">
        <x:v>Labour / Social security</x:v>
      </x:c>
      <x:c r="I31" s="31" t="str">
        <x:v>Labour / Social security</x:v>
      </x:c>
      <x:c r="J31" s="31" t="str">
        <x:v>Labour / Social security</x:v>
      </x:c>
      <x:c r="K31" s="31" t="str">
        <x:v>Labour / Social security</x:v>
      </x:c>
      <x:c r="L31" s="3" t="n">
        <x:f>COUNTIF('Issuing portfolios'!$C$6:$C$239,G31)</x:f>
        <x:v>17</x:v>
      </x:c>
      <x:c r="M31" s="3" t="n">
        <x:f>COUNTIFS('Issuing portfolios'!$C$6:$C$239,G31,'Issuing portfolios'!$B$6:$B$239,"XXIV")</x:f>
        <x:v>13</x:v>
      </x:c>
      <x:c r="N31" s="3" t="n">
        <x:f>COUNTIFS('Issuing portfolios'!$C$6:$C$239,G31,'Issuing portfolios'!$B$6:$B$239,"XXV")</x:f>
        <x:v>4</x:v>
      </x:c>
    </x:row>
    <x:row r="32" ht="25" customHeight="1">
      <x:c r="A32" s="3"/>
      <x:c r="B32" s="28" t="str">
        <x:v>Delay measures time past an unverified reporting or policy target. It does not prove non-delivery. Sem informação pública includes confirmed outputs with unresolved timing.</x:v>
      </x:c>
      <x:c r="C32" s="28" t="str">
        <x:v>Delay measures time past an unverified reporting or policy target. It does not prove non-delivery. Sem informação pública includes confirmed outputs with unresolved timing.</x:v>
      </x:c>
      <x:c r="D32" s="28" t="str">
        <x:v>Delay measures time past an unverified reporting or policy target. It does not prove non-delivery. Sem informação pública includes confirmed outputs with unresolved timing.</x:v>
      </x:c>
      <x:c r="E32" s="28" t="str">
        <x:v>Delay measures time past an unverified reporting or policy target. It does not prove non-delivery. Sem informação pública includes confirmed outputs with unresolved timing.</x:v>
      </x:c>
      <x:c r="F32" s="28" t="str">
        <x:v>Delay measures time past an unverified reporting or policy target. It does not prove non-delivery. Sem informação pública includes confirmed outputs with unresolved timing.</x:v>
      </x:c>
      <x:c r="G32" s="31" t="str">
        <x:v>Territorial cohesion</x:v>
      </x:c>
      <x:c r="H32" s="31" t="str">
        <x:v>Territorial cohesion</x:v>
      </x:c>
      <x:c r="I32" s="31" t="str">
        <x:v>Territorial cohesion</x:v>
      </x:c>
      <x:c r="J32" s="31" t="str">
        <x:v>Territorial cohesion</x:v>
      </x:c>
      <x:c r="K32" s="31" t="str">
        <x:v>Territorial cohesion</x:v>
      </x:c>
      <x:c r="L32" s="3" t="n">
        <x:f>COUNTIF('Issuing portfolios'!$C$6:$C$239,G32)</x:f>
        <x:v>17</x:v>
      </x:c>
      <x:c r="M32" s="3" t="n">
        <x:f>COUNTIFS('Issuing portfolios'!$C$6:$C$239,G32,'Issuing portfolios'!$B$6:$B$239,"XXIV")</x:f>
        <x:v>6</x:v>
      </x:c>
      <x:c r="N32" s="3" t="n">
        <x:f>COUNTIFS('Issuing portfolios'!$C$6:$C$239,G32,'Issuing portfolios'!$B$6:$B$239,"XXV")</x:f>
        <x:v>11</x:v>
      </x:c>
    </x:row>
    <x:row r="33" ht="25" customHeight="1">
      <x:c r="A33" s="3"/>
      <x:c r="B33" s="28" t="str">
        <x:v>Delay measures time past an unverified reporting or policy target. It does not prove non-delivery. Sem informação pública includes confirmed outputs with unresolved timing.</x:v>
      </x:c>
      <x:c r="C33" s="28" t="str">
        <x:v>Delay measures time past an unverified reporting or policy target. It does not prove non-delivery. Sem informação pública includes confirmed outputs with unresolved timing.</x:v>
      </x:c>
      <x:c r="D33" s="28" t="str">
        <x:v>Delay measures time past an unverified reporting or policy target. It does not prove non-delivery. Sem informação pública includes confirmed outputs with unresolved timing.</x:v>
      </x:c>
      <x:c r="E33" s="28" t="str">
        <x:v>Delay measures time past an unverified reporting or policy target. It does not prove non-delivery. Sem informação pública includes confirmed outputs with unresolved timing.</x:v>
      </x:c>
      <x:c r="F33" s="28" t="str">
        <x:v>Delay measures time past an unverified reporting or policy target. It does not prove non-delivery. Sem informação pública includes confirmed outputs with unresolved timing.</x:v>
      </x:c>
      <x:c r="G33" s="31" t="str">
        <x:v>Internal affairs</x:v>
      </x:c>
      <x:c r="H33" s="31" t="str">
        <x:v>Internal affairs</x:v>
      </x:c>
      <x:c r="I33" s="31" t="str">
        <x:v>Internal affairs</x:v>
      </x:c>
      <x:c r="J33" s="31" t="str">
        <x:v>Internal affairs</x:v>
      </x:c>
      <x:c r="K33" s="31" t="str">
        <x:v>Internal affairs</x:v>
      </x:c>
      <x:c r="L33" s="3" t="n">
        <x:f>COUNTIF('Issuing portfolios'!$C$6:$C$239,G33)</x:f>
        <x:v>15</x:v>
      </x:c>
      <x:c r="M33" s="3" t="n">
        <x:f>COUNTIFS('Issuing portfolios'!$C$6:$C$239,G33,'Issuing portfolios'!$B$6:$B$239,"XXIV")</x:f>
        <x:v>13</x:v>
      </x:c>
      <x:c r="N33" s="3" t="n">
        <x:f>COUNTIFS('Issuing portfolios'!$C$6:$C$239,G33,'Issuing portfolios'!$B$6:$B$239,"XXV")</x:f>
        <x:v>2</x:v>
      </x:c>
    </x:row>
    <x:row r="34" ht="25" customHeight="1">
      <x:c r="A34" s="3"/>
      <x:c r="B34" s="3"/>
      <x:c r="C34" s="3"/>
      <x:c r="D34" s="3"/>
      <x:c r="E34" s="3"/>
      <x:c r="F34" s="3"/>
      <x:c r="G34" s="31" t="str">
        <x:v>Finance</x:v>
      </x:c>
      <x:c r="H34" s="31" t="str">
        <x:v>Finance</x:v>
      </x:c>
      <x:c r="I34" s="31" t="str">
        <x:v>Finance</x:v>
      </x:c>
      <x:c r="J34" s="31" t="str">
        <x:v>Finance</x:v>
      </x:c>
      <x:c r="K34" s="31" t="str">
        <x:v>Finance</x:v>
      </x:c>
      <x:c r="L34" s="3" t="n">
        <x:f>COUNTIF('Issuing portfolios'!$C$6:$C$239,G34)</x:f>
        <x:v>14</x:v>
      </x:c>
      <x:c r="M34" s="3" t="n">
        <x:f>COUNTIFS('Issuing portfolios'!$C$6:$C$239,G34,'Issuing portfolios'!$B$6:$B$239,"XXIV")</x:f>
        <x:v>9</x:v>
      </x:c>
      <x:c r="N34" s="3" t="n">
        <x:f>COUNTIFS('Issuing portfolios'!$C$6:$C$239,G34,'Issuing portfolios'!$B$6:$B$239,"XXV")</x:f>
        <x:v>5</x:v>
      </x:c>
    </x:row>
    <x:row r="35" ht="25" customHeight="1">
      <x:c r="A35" s="3"/>
      <x:c r="B35" s="28" t="str">
        <x:v>292 full acts reviewed; 3251 distinct DR search-result URLs screened. 9 discovery/scope records are excluded from confirmed totals. See Methodology and Discovery gaps.</x:v>
      </x:c>
      <x:c r="C35" s="28" t="str">
        <x:v>292 full acts reviewed; 3251 distinct DR search-result URLs screened. 9 discovery/scope records are excluded from confirmed totals. See Methodology and Discovery gaps.</x:v>
      </x:c>
      <x:c r="D35" s="28" t="str">
        <x:v>292 full acts reviewed; 3251 distinct DR search-result URLs screened. 9 discovery/scope records are excluded from confirmed totals. See Methodology and Discovery gaps.</x:v>
      </x:c>
      <x:c r="E35" s="28" t="str">
        <x:v>292 full acts reviewed; 3251 distinct DR search-result URLs screened. 9 discovery/scope records are excluded from confirmed totals. See Methodology and Discovery gaps.</x:v>
      </x:c>
      <x:c r="F35" s="28" t="str">
        <x:v>292 full acts reviewed; 3251 distinct DR search-result URLs screened. 9 discovery/scope records are excluded from confirmed totals. See Methodology and Discovery gaps.</x:v>
      </x:c>
      <x:c r="G35" s="31" t="str">
        <x:v>Education / Science</x:v>
      </x:c>
      <x:c r="H35" s="31" t="str">
        <x:v>Education / Science</x:v>
      </x:c>
      <x:c r="I35" s="31" t="str">
        <x:v>Education / Science</x:v>
      </x:c>
      <x:c r="J35" s="31" t="str">
        <x:v>Education / Science</x:v>
      </x:c>
      <x:c r="K35" s="31" t="str">
        <x:v>Education / Science</x:v>
      </x:c>
      <x:c r="L35" s="3" t="n">
        <x:f>COUNTIF('Issuing portfolios'!$C$6:$C$239,G35)</x:f>
        <x:v>12</x:v>
      </x:c>
      <x:c r="M35" s="3" t="n">
        <x:f>COUNTIFS('Issuing portfolios'!$C$6:$C$239,G35,'Issuing portfolios'!$B$6:$B$239,"XXIV")</x:f>
        <x:v>4</x:v>
      </x:c>
      <x:c r="N35" s="3" t="n">
        <x:f>COUNTIFS('Issuing portfolios'!$C$6:$C$239,G35,'Issuing portfolios'!$B$6:$B$239,"XXV")</x:f>
        <x:v>8</x:v>
      </x:c>
    </x:row>
    <x:row r="36" ht="25" customHeight="1">
      <x:c r="A36" s="3"/>
      <x:c r="B36" s="28" t="str">
        <x:v>292 full acts reviewed; 3251 distinct DR search-result URLs screened. 9 discovery/scope records are excluded from confirmed totals. See Methodology and Discovery gaps.</x:v>
      </x:c>
      <x:c r="C36" s="28" t="str">
        <x:v>292 full acts reviewed; 3251 distinct DR search-result URLs screened. 9 discovery/scope records are excluded from confirmed totals. See Methodology and Discovery gaps.</x:v>
      </x:c>
      <x:c r="D36" s="28" t="str">
        <x:v>292 full acts reviewed; 3251 distinct DR search-result URLs screened. 9 discovery/scope records are excluded from confirmed totals. See Methodology and Discovery gaps.</x:v>
      </x:c>
      <x:c r="E36" s="28" t="str">
        <x:v>292 full acts reviewed; 3251 distinct DR search-result URLs screened. 9 discovery/scope records are excluded from confirmed totals. See Methodology and Discovery gaps.</x:v>
      </x:c>
      <x:c r="F36" s="28" t="str">
        <x:v>292 full acts reviewed; 3251 distinct DR search-result URLs screened. 9 discovery/scope records are excluded from confirmed totals. See Methodology and Discovery gaps.</x:v>
      </x:c>
      <x:c r="G36" s="31" t="str">
        <x:v>Infrastructure / Housing</x:v>
      </x:c>
      <x:c r="H36" s="31" t="str">
        <x:v>Infrastructure / Housing</x:v>
      </x:c>
      <x:c r="I36" s="31" t="str">
        <x:v>Infrastructure / Housing</x:v>
      </x:c>
      <x:c r="J36" s="31" t="str">
        <x:v>Infrastructure / Housing</x:v>
      </x:c>
      <x:c r="K36" s="31" t="str">
        <x:v>Infrastructure / Housing</x:v>
      </x:c>
      <x:c r="L36" s="3" t="n">
        <x:f>COUNTIF('Issuing portfolios'!$C$6:$C$239,G36)</x:f>
        <x:v>12</x:v>
      </x:c>
      <x:c r="M36" s="3" t="n">
        <x:f>COUNTIFS('Issuing portfolios'!$C$6:$C$239,G36,'Issuing portfolios'!$B$6:$B$239,"XXIV")</x:f>
        <x:v>8</x:v>
      </x:c>
      <x:c r="N36" s="3" t="n">
        <x:f>COUNTIFS('Issuing portfolios'!$C$6:$C$239,G36,'Issuing portfolios'!$B$6:$B$239,"XXV")</x:f>
        <x:v>4</x:v>
      </x:c>
    </x:row>
    <x:row r="37" ht="25" customHeight="1">
      <x:c r="A37" s="3"/>
      <x:c r="B37" s="28" t="str">
        <x:v>292 full acts reviewed; 3251 distinct DR search-result URLs screened. 9 discovery/scope records are excluded from confirmed totals. See Methodology and Discovery gaps.</x:v>
      </x:c>
      <x:c r="C37" s="28" t="str">
        <x:v>292 full acts reviewed; 3251 distinct DR search-result URLs screened. 9 discovery/scope records are excluded from confirmed totals. See Methodology and Discovery gaps.</x:v>
      </x:c>
      <x:c r="D37" s="28" t="str">
        <x:v>292 full acts reviewed; 3251 distinct DR search-result URLs screened. 9 discovery/scope records are excluded from confirmed totals. See Methodology and Discovery gaps.</x:v>
      </x:c>
      <x:c r="E37" s="28" t="str">
        <x:v>292 full acts reviewed; 3251 distinct DR search-result URLs screened. 9 discovery/scope records are excluded from confirmed totals. See Methodology and Discovery gaps.</x:v>
      </x:c>
      <x:c r="F37" s="28" t="str">
        <x:v>292 full acts reviewed; 3251 distinct DR search-result URLs screened. 9 discovery/scope records are excluded from confirmed totals. See Methodology and Discovery gaps.</x:v>
      </x:c>
      <x:c r="G37" s="31" t="str">
        <x:v>Agriculture / Fisheries / Sea</x:v>
      </x:c>
      <x:c r="H37" s="31" t="str">
        <x:v>Agriculture / Fisheries / Sea</x:v>
      </x:c>
      <x:c r="I37" s="31" t="str">
        <x:v>Agriculture / Fisheries / Sea</x:v>
      </x:c>
      <x:c r="J37" s="31" t="str">
        <x:v>Agriculture / Fisheries / Sea</x:v>
      </x:c>
      <x:c r="K37" s="31" t="str">
        <x:v>Agriculture / Fisheries / Sea</x:v>
      </x:c>
      <x:c r="L37" s="3" t="n">
        <x:f>COUNTIF('Issuing portfolios'!$C$6:$C$239,G37)</x:f>
        <x:v>9</x:v>
      </x:c>
      <x:c r="M37" s="3" t="n">
        <x:f>COUNTIFS('Issuing portfolios'!$C$6:$C$239,G37,'Issuing portfolios'!$B$6:$B$239,"XXIV")</x:f>
        <x:v>8</x:v>
      </x:c>
      <x:c r="N37" s="3" t="n">
        <x:f>COUNTIFS('Issuing portfolios'!$C$6:$C$239,G37,'Issuing portfolios'!$B$6:$B$239,"XXV")</x:f>
        <x:v>1</x:v>
      </x:c>
    </x:row>
    <x:row r="38" ht="25" customHeight="1">
      <x:c r="A38" s="3"/>
      <x:c r="B38" s="28" t="str">
        <x:v>292 full acts reviewed; 3251 distinct DR search-result URLs screened. 9 discovery/scope records are excluded from confirmed totals. See Methodology and Discovery gaps.</x:v>
      </x:c>
      <x:c r="C38" s="28" t="str">
        <x:v>292 full acts reviewed; 3251 distinct DR search-result URLs screened. 9 discovery/scope records are excluded from confirmed totals. See Methodology and Discovery gaps.</x:v>
      </x:c>
      <x:c r="D38" s="28" t="str">
        <x:v>292 full acts reviewed; 3251 distinct DR search-result URLs screened. 9 discovery/scope records are excluded from confirmed totals. See Methodology and Discovery gaps.</x:v>
      </x:c>
      <x:c r="E38" s="28" t="str">
        <x:v>292 full acts reviewed; 3251 distinct DR search-result URLs screened. 9 discovery/scope records are excluded from confirmed totals. See Methodology and Discovery gaps.</x:v>
      </x:c>
      <x:c r="F38" s="28" t="str">
        <x:v>292 full acts reviewed; 3251 distinct DR search-result URLs screened. 9 discovery/scope records are excluded from confirmed totals. See Methodology and Discovery gaps.</x:v>
      </x:c>
      <x:c r="G38" s="31" t="str">
        <x:v>Culture</x:v>
      </x:c>
      <x:c r="H38" s="31" t="str">
        <x:v>Culture</x:v>
      </x:c>
      <x:c r="I38" s="31" t="str">
        <x:v>Culture</x:v>
      </x:c>
      <x:c r="J38" s="31" t="str">
        <x:v>Culture</x:v>
      </x:c>
      <x:c r="K38" s="31" t="str">
        <x:v>Culture</x:v>
      </x:c>
      <x:c r="L38" s="3" t="n">
        <x:f>COUNTIF('Issuing portfolios'!$C$6:$C$239,G38)</x:f>
        <x:v>9</x:v>
      </x:c>
      <x:c r="M38" s="3" t="n">
        <x:f>COUNTIFS('Issuing portfolios'!$C$6:$C$239,G38,'Issuing portfolios'!$B$6:$B$239,"XXIV")</x:f>
        <x:v>5</x:v>
      </x:c>
      <x:c r="N38" s="3" t="n">
        <x:f>COUNTIFS('Issuing portfolios'!$C$6:$C$239,G38,'Issuing portfolios'!$B$6:$B$239,"XXV")</x:f>
        <x:v>4</x:v>
      </x:c>
    </x:row>
    <x:row r="39" ht="25" customHeight="1">
      <x:c r="A39" s="3"/>
      <x:c r="B39" s="28" t="str">
        <x:v>292 full acts reviewed; 3251 distinct DR search-result URLs screened. 9 discovery/scope records are excluded from confirmed totals. See Methodology and Discovery gaps.</x:v>
      </x:c>
      <x:c r="C39" s="28" t="str">
        <x:v>292 full acts reviewed; 3251 distinct DR search-result URLs screened. 9 discovery/scope records are excluded from confirmed totals. See Methodology and Discovery gaps.</x:v>
      </x:c>
      <x:c r="D39" s="28" t="str">
        <x:v>292 full acts reviewed; 3251 distinct DR search-result URLs screened. 9 discovery/scope records are excluded from confirmed totals. See Methodology and Discovery gaps.</x:v>
      </x:c>
      <x:c r="E39" s="28" t="str">
        <x:v>292 full acts reviewed; 3251 distinct DR search-result URLs screened. 9 discovery/scope records are excluded from confirmed totals. See Methodology and Discovery gaps.</x:v>
      </x:c>
      <x:c r="F39" s="28" t="str">
        <x:v>292 full acts reviewed; 3251 distinct DR search-result URLs screened. 9 discovery/scope records are excluded from confirmed totals. See Methodology and Discovery gaps.</x:v>
      </x:c>
      <x:c r="G39" s="31" t="str">
        <x:v>Defence</x:v>
      </x:c>
      <x:c r="H39" s="31" t="str">
        <x:v>Defence</x:v>
      </x:c>
      <x:c r="I39" s="31" t="str">
        <x:v>Defence</x:v>
      </x:c>
      <x:c r="J39" s="31" t="str">
        <x:v>Defence</x:v>
      </x:c>
      <x:c r="K39" s="31" t="str">
        <x:v>Defence</x:v>
      </x:c>
      <x:c r="L39" s="3" t="n">
        <x:f>COUNTIF('Issuing portfolios'!$C$6:$C$239,G39)</x:f>
        <x:v>7</x:v>
      </x:c>
      <x:c r="M39" s="3" t="n">
        <x:f>COUNTIFS('Issuing portfolios'!$C$6:$C$239,G39,'Issuing portfolios'!$B$6:$B$239,"XXIV")</x:f>
        <x:v>2</x:v>
      </x:c>
      <x:c r="N39" s="3" t="n">
        <x:f>COUNTIFS('Issuing portfolios'!$C$6:$C$239,G39,'Issuing portfolios'!$B$6:$B$239,"XXV")</x:f>
        <x:v>5</x:v>
      </x:c>
    </x:row>
    <x:row r="40" ht="25" customHeight="1">
      <x:c r="A40" s="3"/>
      <x:c r="B40" s="28" t="str">
        <x:v>292 full acts reviewed; 3251 distinct DR search-result URLs screened. 9 discovery/scope records are excluded from confirmed totals. See Methodology and Discovery gaps.</x:v>
      </x:c>
      <x:c r="C40" s="28" t="str">
        <x:v>292 full acts reviewed; 3251 distinct DR search-result URLs screened. 9 discovery/scope records are excluded from confirmed totals. See Methodology and Discovery gaps.</x:v>
      </x:c>
      <x:c r="D40" s="28" t="str">
        <x:v>292 full acts reviewed; 3251 distinct DR search-result URLs screened. 9 discovery/scope records are excluded from confirmed totals. See Methodology and Discovery gaps.</x:v>
      </x:c>
      <x:c r="E40" s="28" t="str">
        <x:v>292 full acts reviewed; 3251 distinct DR search-result URLs screened. 9 discovery/scope records are excluded from confirmed totals. See Methodology and Discovery gaps.</x:v>
      </x:c>
      <x:c r="F40" s="28" t="str">
        <x:v>292 full acts reviewed; 3251 distinct DR search-result URLs screened. 9 discovery/scope records are excluded from confirmed totals. See Methodology and Discovery gaps.</x:v>
      </x:c>
      <x:c r="G40" s="31" t="str">
        <x:v>Foreign affairs</x:v>
      </x:c>
      <x:c r="H40" s="31" t="str">
        <x:v>Foreign affairs</x:v>
      </x:c>
      <x:c r="I40" s="31" t="str">
        <x:v>Foreign affairs</x:v>
      </x:c>
      <x:c r="J40" s="31" t="str">
        <x:v>Foreign affairs</x:v>
      </x:c>
      <x:c r="K40" s="31" t="str">
        <x:v>Foreign affairs</x:v>
      </x:c>
      <x:c r="L40" s="3" t="n">
        <x:f>COUNTIF('Issuing portfolios'!$C$6:$C$239,G40)</x:f>
        <x:v>4</x:v>
      </x:c>
      <x:c r="M40" s="3" t="n">
        <x:f>COUNTIFS('Issuing portfolios'!$C$6:$C$239,G40,'Issuing portfolios'!$B$6:$B$239,"XXIV")</x:f>
        <x:v>2</x:v>
      </x:c>
      <x:c r="N40" s="3" t="n">
        <x:f>COUNTIFS('Issuing portfolios'!$C$6:$C$239,G40,'Issuing portfolios'!$B$6:$B$239,"XXV")</x:f>
        <x:v>2</x:v>
      </x:c>
    </x:row>
    <x:row r="41" ht="25" customHeight="1">
      <x:c r="A41" s="3"/>
      <x:c r="B41" s="3"/>
      <x:c r="C41" s="3"/>
      <x:c r="D41" s="3"/>
      <x:c r="E41" s="3"/>
      <x:c r="F41" s="3"/>
      <x:c r="G41" s="31" t="str">
        <x:v>Youth / Sport</x:v>
      </x:c>
      <x:c r="H41" s="31" t="str">
        <x:v>Youth / Sport</x:v>
      </x:c>
      <x:c r="I41" s="31" t="str">
        <x:v>Youth / Sport</x:v>
      </x:c>
      <x:c r="J41" s="31" t="str">
        <x:v>Youth / Sport</x:v>
      </x:c>
      <x:c r="K41" s="31" t="str">
        <x:v>Youth / Sport</x:v>
      </x:c>
      <x:c r="L41" s="3" t="n">
        <x:f>COUNTIF('Issuing portfolios'!$C$6:$C$239,G41)</x:f>
        <x:v>4</x:v>
      </x:c>
      <x:c r="M41" s="3" t="n">
        <x:f>COUNTIFS('Issuing portfolios'!$C$6:$C$239,G41,'Issuing portfolios'!$B$6:$B$239,"XXIV")</x:f>
        <x:v>0</x:v>
      </x:c>
      <x:c r="N41" s="3" t="n">
        <x:f>COUNTIFS('Issuing portfolios'!$C$6:$C$239,G41,'Issuing portfolios'!$B$6:$B$239,"XXV")</x:f>
        <x:v>4</x:v>
      </x:c>
    </x:row>
    <x:row r="42" ht="25" customHeight="1">
      <x:c r="A42" s="3"/>
      <x:c r="B42" s="3"/>
      <x:c r="C42" s="3"/>
      <x:c r="D42" s="3"/>
      <x:c r="E42" s="3"/>
      <x:c r="F42" s="3"/>
      <x:c r="G42" s="31" t="str">
        <x:v>Youth / Modernisation</x:v>
      </x:c>
      <x:c r="H42" s="31" t="str">
        <x:v>Youth / Modernisation</x:v>
      </x:c>
      <x:c r="I42" s="31" t="str">
        <x:v>Youth / Modernisation</x:v>
      </x:c>
      <x:c r="J42" s="31" t="str">
        <x:v>Youth / Modernisation</x:v>
      </x:c>
      <x:c r="K42" s="31" t="str">
        <x:v>Youth / Modernisation</x:v>
      </x:c>
      <x:c r="L42" s="3" t="n">
        <x:f>COUNTIF('Issuing portfolios'!$C$6:$C$239,G42)</x:f>
        <x:v>3</x:v>
      </x:c>
      <x:c r="M42" s="3" t="n">
        <x:f>COUNTIFS('Issuing portfolios'!$C$6:$C$239,G42,'Issuing portfolios'!$B$6:$B$239,"XXIV")</x:f>
        <x:v>3</x:v>
      </x:c>
      <x:c r="N42" s="3" t="n">
        <x:f>COUNTIFS('Issuing portfolios'!$C$6:$C$239,G42,'Issuing portfolios'!$B$6:$B$239,"XXV")</x:f>
        <x:v>0</x:v>
      </x:c>
    </x:row>
    <x:row r="43" ht="25" customHeight="1">
      <x:c r="A43" s="3"/>
      <x:c r="B43" s="3"/>
      <x:c r="C43" s="3"/>
      <x:c r="D43" s="3"/>
      <x:c r="E43" s="3"/>
      <x:c r="F43" s="3"/>
      <x:c r="G43" s="3"/>
      <x:c r="H43" s="3"/>
      <x:c r="I43" s="3"/>
      <x:c r="J43" s="3"/>
      <x:c r="K43" s="3"/>
      <x:c r="L43" s="3"/>
      <x:c r="M43" s="3"/>
      <x:c r="N43" s="3"/>
    </x:row>
    <x:row r="44" ht="25" customHeight="1">
      <x:c r="A44" s="3"/>
      <x:c r="B44" s="3"/>
      <x:c r="C44" s="3"/>
      <x:c r="D44" s="3"/>
      <x:c r="E44" s="3"/>
      <x:c r="F44" s="3"/>
      <x:c r="G44" s="28" t="str">
        <x:v>Joint acts count once under each issuing portfolio; ministry totals overlap.</x:v>
      </x:c>
      <x:c r="H44" s="28" t="str">
        <x:v>Joint acts count once under each issuing portfolio; ministry totals overlap.</x:v>
      </x:c>
      <x:c r="I44" s="28" t="str">
        <x:v>Joint acts count once under each issuing portfolio; ministry totals overlap.</x:v>
      </x:c>
      <x:c r="J44" s="28" t="str">
        <x:v>Joint acts count once under each issuing portfolio; ministry totals overlap.</x:v>
      </x:c>
      <x:c r="K44" s="28" t="str">
        <x:v>Joint acts count once under each issuing portfolio; ministry totals overlap.</x:v>
      </x:c>
      <x:c r="L44" s="28" t="str">
        <x:v>Joint acts count once under each issuing portfolio; ministry totals overlap.</x:v>
      </x:c>
      <x:c r="M44" s="28" t="str">
        <x:v>Joint acts count once under each issuing portfolio; ministry totals overlap.</x:v>
      </x:c>
      <x:c r="N44" s="28" t="str">
        <x:v>Joint acts count once under each issuing portfolio; ministry totals overlap.</x:v>
      </x:c>
    </x:row>
    <x:row r="45" ht="25" customHeight="1">
      <x:c r="A45" s="3"/>
      <x:c r="B45" s="3"/>
      <x:c r="C45" s="3"/>
      <x:c r="D45" s="3"/>
      <x:c r="E45" s="3"/>
      <x:c r="F45" s="3"/>
      <x:c r="G45" s="3"/>
      <x:c r="H45" s="3"/>
      <x:c r="I45" s="3"/>
      <x:c r="J45" s="3"/>
      <x:c r="K45" s="3"/>
      <x:c r="L45" s="3"/>
      <x:c r="M45" s="3"/>
      <x:c r="N45" s="3"/>
    </x:row>
    <x:row r="46" ht="25" customHeight="1">
      <x:c r="A46" s="3"/>
      <x:c r="B46" s="84" t="str">
        <x:v>10 most delayed groups · public delivery not verified</x:v>
      </x:c>
      <x:c r="C46" s="84" t="str">
        <x:v>10 most delayed groups · public delivery not verified</x:v>
      </x:c>
      <x:c r="D46" s="84" t="str">
        <x:v>10 most delayed groups · public delivery not verified</x:v>
      </x:c>
      <x:c r="E46" s="84" t="str">
        <x:v>10 most delayed groups · public delivery not verified</x:v>
      </x:c>
      <x:c r="F46" s="84" t="str">
        <x:v>10 most delayed groups · public delivery not verified</x:v>
      </x:c>
      <x:c r="G46" s="84" t="str">
        <x:v>10 most delayed groups · public delivery not verified</x:v>
      </x:c>
      <x:c r="H46" s="84" t="str">
        <x:v>10 most delayed groups · public delivery not verified</x:v>
      </x:c>
      <x:c r="I46" s="84" t="str">
        <x:v>10 most delayed groups · public delivery not verified</x:v>
      </x:c>
      <x:c r="J46" s="84" t="str">
        <x:v>10 most delayed groups · public delivery not verified</x:v>
      </x:c>
      <x:c r="K46" s="84" t="str">
        <x:v>10 most delayed groups · public delivery not verified</x:v>
      </x:c>
      <x:c r="L46" s="84" t="str">
        <x:v>10 most delayed groups · public delivery not verified</x:v>
      </x:c>
      <x:c r="M46" s="84" t="str">
        <x:v>10 most delayed groups · public delivery not verified</x:v>
      </x:c>
      <x:c r="N46" s="84" t="str">
        <x:v>10 most delayed groups · public delivery not verified</x:v>
      </x:c>
    </x:row>
    <x:row r="47" ht="25" customHeight="1">
      <x:c r="A47" s="3"/>
      <x:c r="B47" s="28" t="str">
        <x:v>Ordered by current overdue days. Complete output and policy evidence remain separate in Groups.</x:v>
      </x:c>
      <x:c r="C47" s="28" t="str">
        <x:v>Ordered by current overdue days. Complete output and policy evidence remain separate in Groups.</x:v>
      </x:c>
      <x:c r="D47" s="28" t="str">
        <x:v>Ordered by current overdue days. Complete output and policy evidence remain separate in Groups.</x:v>
      </x:c>
      <x:c r="E47" s="28" t="str">
        <x:v>Ordered by current overdue days. Complete output and policy evidence remain separate in Groups.</x:v>
      </x:c>
      <x:c r="F47" s="28" t="str">
        <x:v>Ordered by current overdue days. Complete output and policy evidence remain separate in Groups.</x:v>
      </x:c>
      <x:c r="G47" s="28" t="str">
        <x:v>Ordered by current overdue days. Complete output and policy evidence remain separate in Groups.</x:v>
      </x:c>
      <x:c r="H47" s="28" t="str">
        <x:v>Ordered by current overdue days. Complete output and policy evidence remain separate in Groups.</x:v>
      </x:c>
      <x:c r="I47" s="28" t="str">
        <x:v>Ordered by current overdue days. Complete output and policy evidence remain separate in Groups.</x:v>
      </x:c>
      <x:c r="J47" s="28" t="str">
        <x:v>Ordered by current overdue days. Complete output and policy evidence remain separate in Groups.</x:v>
      </x:c>
      <x:c r="K47" s="28" t="str">
        <x:v>Ordered by current overdue days. Complete output and policy evidence remain separate in Groups.</x:v>
      </x:c>
      <x:c r="L47" s="28" t="str">
        <x:v>Ordered by current overdue days. Complete output and policy evidence remain separate in Groups.</x:v>
      </x:c>
      <x:c r="M47" s="28" t="str">
        <x:v>Ordered by current overdue days. Complete output and policy evidence remain separate in Groups.</x:v>
      </x:c>
      <x:c r="N47" s="28" t="str">
        <x:v>Ordered by current overdue days. Complete output and policy evidence remain separate in Groups.</x:v>
      </x:c>
    </x:row>
    <x:row r="48" ht="25" customHeight="1">
      <x:c r="A48" s="3"/>
      <x:c r="B48" s="3"/>
      <x:c r="C48" s="3"/>
      <x:c r="D48" s="3"/>
      <x:c r="E48" s="3"/>
      <x:c r="F48" s="3"/>
      <x:c r="G48" s="3"/>
      <x:c r="H48" s="3"/>
      <x:c r="I48" s="3"/>
      <x:c r="J48" s="3"/>
      <x:c r="K48" s="3"/>
      <x:c r="L48" s="3"/>
      <x:c r="M48" s="3"/>
      <x:c r="N48" s="3"/>
    </x:row>
    <x:row r="49" ht="25" customHeight="1">
      <x:c r="A49" s="3"/>
      <x:c r="B49" s="51" t="str">
        <x:v>Group ID</x:v>
      </x:c>
      <x:c r="C49" s="51" t="str">
        <x:v>Group ID</x:v>
      </x:c>
      <x:c r="D49" s="51" t="str">
        <x:v>Group name · Português</x:v>
      </x:c>
      <x:c r="E49" s="51" t="str">
        <x:v>Group name · Português</x:v>
      </x:c>
      <x:c r="F49" s="51" t="str">
        <x:v>Group name · Português</x:v>
      </x:c>
      <x:c r="G49" s="51" t="str">
        <x:v>Group name · Português</x:v>
      </x:c>
      <x:c r="H49" s="51" t="str">
        <x:v>Group name · Português</x:v>
      </x:c>
      <x:c r="I49" s="51" t="str">
        <x:v>Current target</x:v>
      </x:c>
      <x:c r="J49" s="51" t="str">
        <x:v>Current target</x:v>
      </x:c>
      <x:c r="K49" s="51" t="str">
        <x:v>Days</x:v>
      </x:c>
      <x:c r="L49" s="51" t="str">
        <x:v>Creating act</x:v>
      </x:c>
      <x:c r="M49" s="51" t="str">
        <x:v>Creating act</x:v>
      </x:c>
      <x:c r="N49" s="51" t="str">
        <x:v>Gov.</x:v>
      </x:c>
    </x:row>
    <x:row r="50" ht="78" customHeight="1">
      <x:c r="A50" s="3"/>
      <x:c r="B50" s="87" t="str">
        <x:f>IFERROR(INDEX(Groups!$A$6:$A$127,MATCH(1,Groups!$AQ$6:$AQ$127,0)),"")</x:f>
        <x:v>GT-2024-003</x:v>
      </x:c>
      <x:c r="C50" s="87"/>
      <x:c r="D50" s="87" t="str">
        <x:f>IFERROR(INDEX(Groups!$B$6:$B$127,MATCH(1,Groups!$AQ$6:$AQ$127,0)),"")</x:f>
        <x:v>grupo de trabalho com vista à definição de orientações que permitam melhorar o acesso</x:v>
      </x:c>
      <x:c r="E50" s="87"/>
      <x:c r="F50" s="87"/>
      <x:c r="G50" s="87"/>
      <x:c r="H50" s="87"/>
      <x:c r="I50" s="90" t="n">
        <x:f>IFERROR(INDEX(Groups!$T$6:$T$127,MATCH(1,Groups!$AQ$6:$AQ$127,0)),"")</x:f>
        <x:v>45417</x:v>
      </x:c>
      <x:c r="J50" s="90"/>
      <x:c r="K50" s="91" t="n">
        <x:f>IFERROR(INDEX(Groups!$D$6:$D$127,MATCH(1,Groups!$AQ$6:$AQ$127,0)),"")</x:f>
        <x:v>888</x:v>
      </x:c>
      <x:c r="L50" s="87" t="str">
        <x:f>IFERROR(INDEX(Groups!$F$6:$F$127,MATCH(1,Groups!$AQ$6:$AQ$127,0)),"")</x:f>
        <x:v>Despacho n.º 6563/2024</x:v>
      </x:c>
      <x:c r="M50" s="87"/>
      <x:c r="N50" s="87" t="str">
        <x:f>IFERROR(INDEX(Groups!$E$6:$E$127,MATCH(1,Groups!$AQ$6:$AQ$127,0)),"")</x:f>
        <x:v>XXIV</x:v>
      </x:c>
    </x:row>
    <x:row r="51" ht="78" customHeight="1">
      <x:c r="A51" s="3"/>
      <x:c r="B51" s="95" t="str">
        <x:f>IFERROR(INDEX(Groups!$A$6:$A$127,MATCH(2,Groups!$AQ$6:$AQ$127,0)),"")</x:f>
        <x:v>GT-2024-015</x:v>
      </x:c>
      <x:c r="C51" s="95"/>
      <x:c r="D51" s="95" t="str">
        <x:f>IFERROR(INDEX(Groups!$B$6:$B$127,MATCH(2,Groups!$AQ$6:$AQ$127,0)),"")</x:f>
        <x:v>Grupo de trabalho — transposição da Diretiva (UE) 2022/2555 (NIS2) e execução do Regulamento (UE) 2019/881</x:v>
      </x:c>
      <x:c r="E51" s="95"/>
      <x:c r="F51" s="95"/>
      <x:c r="G51" s="95"/>
      <x:c r="H51" s="95"/>
      <x:c r="I51" s="98" t="n">
        <x:f>IFERROR(INDEX(Groups!$T$6:$T$127,MATCH(2,Groups!$AQ$6:$AQ$127,0)),"")</x:f>
        <x:v>45565</x:v>
      </x:c>
      <x:c r="J51" s="98"/>
      <x:c r="K51" s="99" t="n">
        <x:f>IFERROR(INDEX(Groups!$D$6:$D$127,MATCH(2,Groups!$AQ$6:$AQ$127,0)),"")</x:f>
        <x:v>740</x:v>
      </x:c>
      <x:c r="L51" s="95" t="str">
        <x:f>IFERROR(INDEX(Groups!$F$6:$F$127,MATCH(2,Groups!$AQ$6:$AQ$127,0)),"")</x:f>
        <x:v>Despacho n.º 8914-A/2024</x:v>
      </x:c>
      <x:c r="M51" s="95"/>
      <x:c r="N51" s="95" t="str">
        <x:f>IFERROR(INDEX(Groups!$E$6:$E$127,MATCH(2,Groups!$AQ$6:$AQ$127,0)),"")</x:f>
        <x:v>XXIV</x:v>
      </x:c>
    </x:row>
    <x:row r="52" ht="78" customHeight="1">
      <x:c r="A52" s="3"/>
      <x:c r="B52" s="87" t="str">
        <x:f>IFERROR(INDEX(Groups!$A$6:$A$127,MATCH(3,Groups!$AQ$6:$AQ$127,0)),"")</x:f>
        <x:v>GT-2024-011</x:v>
      </x:c>
      <x:c r="C52" s="87"/>
      <x:c r="D52" s="87" t="str">
        <x:f>IFERROR(INDEX(Groups!$B$6:$B$127,MATCH(3,Groups!$AQ$6:$AQ$127,0)),"")</x:f>
        <x:v>grupo de trabalho para o estudo e a apresentação de propostas com vista à generalização do acesso à educação na infância</x:v>
      </x:c>
      <x:c r="E52" s="87"/>
      <x:c r="F52" s="87"/>
      <x:c r="G52" s="87"/>
      <x:c r="H52" s="87"/>
      <x:c r="I52" s="90" t="n">
        <x:f>IFERROR(INDEX(Groups!$T$6:$T$127,MATCH(3,Groups!$AQ$6:$AQ$127,0)),"")</x:f>
        <x:v>45626</x:v>
      </x:c>
      <x:c r="J52" s="90"/>
      <x:c r="K52" s="91" t="n">
        <x:f>IFERROR(INDEX(Groups!$D$6:$D$127,MATCH(3,Groups!$AQ$6:$AQ$127,0)),"")</x:f>
        <x:v>679</x:v>
      </x:c>
      <x:c r="L52" s="87" t="str">
        <x:f>IFERROR(INDEX(Groups!$F$6:$F$127,MATCH(3,Groups!$AQ$6:$AQ$127,0)),"")</x:f>
        <x:v>Despacho n.º 8251/2024</x:v>
      </x:c>
      <x:c r="M52" s="87"/>
      <x:c r="N52" s="87" t="str">
        <x:f>IFERROR(INDEX(Groups!$E$6:$E$127,MATCH(3,Groups!$AQ$6:$AQ$127,0)),"")</x:f>
        <x:v>XXIV</x:v>
      </x:c>
    </x:row>
    <x:row r="53" ht="78" customHeight="1">
      <x:c r="A53" s="3"/>
      <x:c r="B53" s="95" t="str">
        <x:f>IFERROR(INDEX(Groups!$A$6:$A$127,MATCH(4,Groups!$AQ$6:$AQ$127,0)),"")</x:f>
        <x:v>GT-2024-033</x:v>
      </x:c>
      <x:c r="C53" s="95"/>
      <x:c r="D53" s="95" t="str">
        <x:f>IFERROR(INDEX(Groups!$B$6:$B$127,MATCH(4,Groups!$AQ$6:$AQ$127,0)),"")</x:f>
        <x:v>Grupo de trabalho técnico — reprocessamento de dispositivos médicos</x:v>
      </x:c>
      <x:c r="E53" s="95"/>
      <x:c r="F53" s="95"/>
      <x:c r="G53" s="95"/>
      <x:c r="H53" s="95"/>
      <x:c r="I53" s="98" t="n">
        <x:f>IFERROR(INDEX(Groups!$T$6:$T$127,MATCH(4,Groups!$AQ$6:$AQ$127,0)),"")</x:f>
        <x:v>45640</x:v>
      </x:c>
      <x:c r="J53" s="98"/>
      <x:c r="K53" s="99" t="n">
        <x:f>IFERROR(INDEX(Groups!$D$6:$D$127,MATCH(4,Groups!$AQ$6:$AQ$127,0)),"")</x:f>
        <x:v>665</x:v>
      </x:c>
      <x:c r="L53" s="95" t="str">
        <x:f>IFERROR(INDEX(Groups!$F$6:$F$127,MATCH(4,Groups!$AQ$6:$AQ$127,0)),"")</x:f>
        <x:v>Despacho n.º 12071/2024</x:v>
      </x:c>
      <x:c r="M53" s="95"/>
      <x:c r="N53" s="95" t="str">
        <x:f>IFERROR(INDEX(Groups!$E$6:$E$127,MATCH(4,Groups!$AQ$6:$AQ$127,0)),"")</x:f>
        <x:v>XXIV</x:v>
      </x:c>
    </x:row>
    <x:row r="54" ht="78" customHeight="1">
      <x:c r="A54" s="3"/>
      <x:c r="B54" s="87" t="str">
        <x:f>IFERROR(INDEX(Groups!$A$6:$A$127,MATCH(5,Groups!$AQ$6:$AQ$127,0)),"")</x:f>
        <x:v>GT-2024-035</x:v>
      </x:c>
      <x:c r="C54" s="87"/>
      <x:c r="D54" s="87" t="str">
        <x:f>IFERROR(INDEX(Groups!$B$6:$B$127,MATCH(5,Groups!$AQ$6:$AQ$127,0)),"")</x:f>
        <x:v>grupo de trabalho para o estudo e a apresentação de proposta de plano relativo ao acesso à profissionalização em serviço por parte dos docentes sem habilitação profissional para a docência</x:v>
      </x:c>
      <x:c r="E54" s="87"/>
      <x:c r="F54" s="87"/>
      <x:c r="G54" s="87"/>
      <x:c r="H54" s="87"/>
      <x:c r="I54" s="90" t="n">
        <x:f>IFERROR(INDEX(Groups!$T$6:$T$127,MATCH(5,Groups!$AQ$6:$AQ$127,0)),"")</x:f>
        <x:v>45665</x:v>
      </x:c>
      <x:c r="J54" s="90"/>
      <x:c r="K54" s="91" t="n">
        <x:f>IFERROR(INDEX(Groups!$D$6:$D$127,MATCH(5,Groups!$AQ$6:$AQ$127,0)),"")</x:f>
        <x:v>640</x:v>
      </x:c>
      <x:c r="L54" s="87" t="str">
        <x:f>IFERROR(INDEX(Groups!$F$6:$F$127,MATCH(5,Groups!$AQ$6:$AQ$127,0)),"")</x:f>
        <x:v>Despacho n.º 12293/2024</x:v>
      </x:c>
      <x:c r="M54" s="87"/>
      <x:c r="N54" s="87" t="str">
        <x:f>IFERROR(INDEX(Groups!$E$6:$E$127,MATCH(5,Groups!$AQ$6:$AQ$127,0)),"")</x:f>
        <x:v>XXIV</x:v>
      </x:c>
    </x:row>
    <x:row r="55" ht="78" customHeight="1">
      <x:c r="A55" s="3"/>
      <x:c r="B55" s="95" t="str">
        <x:f>IFERROR(INDEX(Groups!$A$6:$A$127,MATCH(6,Groups!$AQ$6:$AQ$127,0)),"")</x:f>
        <x:v>GT-2024-040</x:v>
      </x:c>
      <x:c r="C55" s="95"/>
      <x:c r="D55" s="95" t="str">
        <x:f>IFERROR(INDEX(Groups!$B$6:$B$127,MATCH(6,Groups!$AQ$6:$AQ$127,0)),"")</x:f>
        <x:v>grupo de trabalho destinado à análise e revisão dos índices e indicadores de desempenho das unidades de cuidados de saúde primários</x:v>
      </x:c>
      <x:c r="E55" s="95"/>
      <x:c r="F55" s="95"/>
      <x:c r="G55" s="95"/>
      <x:c r="H55" s="95"/>
      <x:c r="I55" s="98" t="n">
        <x:f>IFERROR(INDEX(Groups!$T$6:$T$127,MATCH(6,Groups!$AQ$6:$AQ$127,0)),"")</x:f>
        <x:v>45667</x:v>
      </x:c>
      <x:c r="J55" s="98"/>
      <x:c r="K55" s="99" t="n">
        <x:f>IFERROR(INDEX(Groups!$D$6:$D$127,MATCH(6,Groups!$AQ$6:$AQ$127,0)),"")</x:f>
        <x:v>638</x:v>
      </x:c>
      <x:c r="L55" s="95" t="str">
        <x:f>IFERROR(INDEX(Groups!$F$6:$F$127,MATCH(6,Groups!$AQ$6:$AQ$127,0)),"")</x:f>
        <x:v>Despacho n.º 13355/2024</x:v>
      </x:c>
      <x:c r="M55" s="95"/>
      <x:c r="N55" s="95" t="str">
        <x:f>IFERROR(INDEX(Groups!$E$6:$E$127,MATCH(6,Groups!$AQ$6:$AQ$127,0)),"")</x:f>
        <x:v>XXIV</x:v>
      </x:c>
    </x:row>
    <x:row r="56" ht="78" customHeight="1">
      <x:c r="A56" s="3"/>
      <x:c r="B56" s="87" t="str">
        <x:f>IFERROR(INDEX(Groups!$A$6:$A$127,MATCH(7,Groups!$AQ$6:$AQ$127,0)),"")</x:f>
        <x:v>GT-2024-034</x:v>
      </x:c>
      <x:c r="C56" s="87"/>
      <x:c r="D56" s="87" t="str">
        <x:f>IFERROR(INDEX(Groups!$B$6:$B$127,MATCH(7,Groups!$AQ$6:$AQ$127,0)),"")</x:f>
        <x:v>Grupo de trabalho técnico — funcionamento e acesso aos serviços de urgência</x:v>
      </x:c>
      <x:c r="E56" s="87"/>
      <x:c r="F56" s="87"/>
      <x:c r="G56" s="87"/>
      <x:c r="H56" s="87"/>
      <x:c r="I56" s="90" t="n">
        <x:f>IFERROR(INDEX(Groups!$T$6:$T$127,MATCH(7,Groups!$AQ$6:$AQ$127,0)),"")</x:f>
        <x:v>45670</x:v>
      </x:c>
      <x:c r="J56" s="90"/>
      <x:c r="K56" s="91" t="n">
        <x:f>IFERROR(INDEX(Groups!$D$6:$D$127,MATCH(7,Groups!$AQ$6:$AQ$127,0)),"")</x:f>
        <x:v>635</x:v>
      </x:c>
      <x:c r="L56" s="87" t="str">
        <x:f>IFERROR(INDEX(Groups!$F$6:$F$127,MATCH(7,Groups!$AQ$6:$AQ$127,0)),"")</x:f>
        <x:v>Despacho n.º 12072/2024</x:v>
      </x:c>
      <x:c r="M56" s="87"/>
      <x:c r="N56" s="87" t="str">
        <x:f>IFERROR(INDEX(Groups!$E$6:$E$127,MATCH(7,Groups!$AQ$6:$AQ$127,0)),"")</x:f>
        <x:v>XXIV</x:v>
      </x:c>
    </x:row>
    <x:row r="57" ht="78" customHeight="1">
      <x:c r="A57" s="3"/>
      <x:c r="B57" s="95" t="str">
        <x:f>IFERROR(INDEX(Groups!$A$6:$A$127,MATCH(8,Groups!$AQ$6:$AQ$127,0)),"")</x:f>
        <x:v>GT-2024-036</x:v>
      </x:c>
      <x:c r="C57" s="95"/>
      <x:c r="D57" s="95" t="str">
        <x:f>IFERROR(INDEX(Groups!$B$6:$B$127,MATCH(8,Groups!$AQ$6:$AQ$127,0)),"")</x:f>
        <x:v>Grupo de trabalho — revisão do regime do subsídio de educação especial</x:v>
      </x:c>
      <x:c r="E57" s="95"/>
      <x:c r="F57" s="95"/>
      <x:c r="G57" s="95"/>
      <x:c r="H57" s="95"/>
      <x:c r="I57" s="98" t="n">
        <x:f>IFERROR(INDEX(Groups!$T$6:$T$127,MATCH(8,Groups!$AQ$6:$AQ$127,0)),"")</x:f>
        <x:v>45688</x:v>
      </x:c>
      <x:c r="J57" s="98"/>
      <x:c r="K57" s="99" t="n">
        <x:f>IFERROR(INDEX(Groups!$D$6:$D$127,MATCH(8,Groups!$AQ$6:$AQ$127,0)),"")</x:f>
        <x:v>617</x:v>
      </x:c>
      <x:c r="L57" s="95" t="str">
        <x:f>IFERROR(INDEX(Groups!$F$6:$F$127,MATCH(8,Groups!$AQ$6:$AQ$127,0)),"")</x:f>
        <x:v>Despacho n.º 12645/2024</x:v>
      </x:c>
      <x:c r="M57" s="95"/>
      <x:c r="N57" s="95" t="str">
        <x:f>IFERROR(INDEX(Groups!$E$6:$E$127,MATCH(8,Groups!$AQ$6:$AQ$127,0)),"")</x:f>
        <x:v>XXIV</x:v>
      </x:c>
    </x:row>
    <x:row r="58" ht="78" customHeight="1">
      <x:c r="A58" s="3"/>
      <x:c r="B58" s="87" t="str">
        <x:f>IFERROR(INDEX(Groups!$A$6:$A$127,MATCH(9,Groups!$AQ$6:$AQ$127,0)),"")</x:f>
        <x:v>GT-2024-048</x:v>
      </x:c>
      <x:c r="C58" s="87"/>
      <x:c r="D58" s="87" t="str">
        <x:f>IFERROR(INDEX(Groups!$B$6:$B$127,MATCH(9,Groups!$AQ$6:$AQ$127,0)),"")</x:f>
        <x:v>grupo de trabalho com a missão de elaborar uma proposta relativamente às seguintes matérias:</x:v>
      </x:c>
      <x:c r="E58" s="87"/>
      <x:c r="F58" s="87"/>
      <x:c r="G58" s="87"/>
      <x:c r="H58" s="87"/>
      <x:c r="I58" s="90" t="n">
        <x:f>IFERROR(INDEX(Groups!$T$6:$T$127,MATCH(9,Groups!$AQ$6:$AQ$127,0)),"")</x:f>
        <x:v>45700</x:v>
      </x:c>
      <x:c r="J58" s="90"/>
      <x:c r="K58" s="91" t="n">
        <x:f>IFERROR(INDEX(Groups!$D$6:$D$127,MATCH(9,Groups!$AQ$6:$AQ$127,0)),"")</x:f>
        <x:v>605</x:v>
      </x:c>
      <x:c r="L58" s="87" t="str">
        <x:f>IFERROR(INDEX(Groups!$F$6:$F$127,MATCH(9,Groups!$AQ$6:$AQ$127,0)),"")</x:f>
        <x:v>Despacho n.º 14758/2024</x:v>
      </x:c>
      <x:c r="M58" s="87"/>
      <x:c r="N58" s="87" t="str">
        <x:f>IFERROR(INDEX(Groups!$E$6:$E$127,MATCH(9,Groups!$AQ$6:$AQ$127,0)),"")</x:f>
        <x:v>XXIV</x:v>
      </x:c>
    </x:row>
    <x:row r="59" ht="78" customHeight="1">
      <x:c r="A59" s="3"/>
      <x:c r="B59" s="95" t="str">
        <x:f>IFERROR(INDEX(Groups!$A$6:$A$127,MATCH(10,Groups!$AQ$6:$AQ$127,0)),"")</x:f>
        <x:v>GT-2024-044</x:v>
      </x:c>
      <x:c r="C59" s="95"/>
      <x:c r="D59" s="95" t="str">
        <x:f>IFERROR(INDEX(Groups!$B$6:$B$127,MATCH(10,Groups!$AQ$6:$AQ$127,0)),"")</x:f>
        <x:v>grupo de trabalho com o objetivo de relançar a discussão sobre os ­desafios e oportunidades dos meios de resolução alternativa de litígios (RAL)</x:v>
      </x:c>
      <x:c r="E59" s="95"/>
      <x:c r="F59" s="95"/>
      <x:c r="G59" s="95"/>
      <x:c r="H59" s="95"/>
      <x:c r="I59" s="98" t="n">
        <x:f>IFERROR(INDEX(Groups!$T$6:$T$127,MATCH(10,Groups!$AQ$6:$AQ$127,0)),"")</x:f>
        <x:v>45734</x:v>
      </x:c>
      <x:c r="J59" s="98"/>
      <x:c r="K59" s="99" t="n">
        <x:f>IFERROR(INDEX(Groups!$D$6:$D$127,MATCH(10,Groups!$AQ$6:$AQ$127,0)),"")</x:f>
        <x:v>571</x:v>
      </x:c>
      <x:c r="L59" s="95" t="str">
        <x:f>IFERROR(INDEX(Groups!$F$6:$F$127,MATCH(10,Groups!$AQ$6:$AQ$127,0)),"")</x:f>
        <x:v>Despacho n.º 13946/2024</x:v>
      </x:c>
      <x:c r="M59" s="95"/>
      <x:c r="N59" s="95" t="str">
        <x:f>IFERROR(INDEX(Groups!$E$6:$E$127,MATCH(10,Groups!$AQ$6:$AQ$127,0)),"")</x:f>
        <x:v>XXIV</x:v>
      </x:c>
    </x:row>
    <x:row r="60" ht="25" customHeight="1">
      <x:c r="A60" s="3"/>
      <x:c r="B60" s="3"/>
      <x:c r="C60" s="3"/>
      <x:c r="D60" s="3"/>
      <x:c r="E60" s="3"/>
      <x:c r="F60" s="3"/>
      <x:c r="G60" s="3"/>
      <x:c r="H60" s="3"/>
      <x:c r="I60" s="3"/>
      <x:c r="J60" s="3"/>
      <x:c r="K60" s="3"/>
      <x:c r="L60" s="3"/>
      <x:c r="M60" s="3"/>
      <x:c r="N60" s="3"/>
    </x:row>
    <x:row r="61" ht="25" customHeight="1">
      <x:c r="A61" s="3"/>
      <x:c r="B61" s="28" t="str">
        <x:v>Inventory is based on published, discoverable primary records; unresolved constitutions are not silently counted.</x:v>
      </x:c>
      <x:c r="C61" s="28" t="str">
        <x:v>Inventory is based on published, discoverable primary records; unresolved constitutions are not silently counted.</x:v>
      </x:c>
      <x:c r="D61" s="28" t="str">
        <x:v>Inventory is based on published, discoverable primary records; unresolved constitutions are not silently counted.</x:v>
      </x:c>
      <x:c r="E61" s="28" t="str">
        <x:v>Inventory is based on published, discoverable primary records; unresolved constitutions are not silently counted.</x:v>
      </x:c>
      <x:c r="F61" s="28" t="str">
        <x:v>Inventory is based on published, discoverable primary records; unresolved constitutions are not silently counted.</x:v>
      </x:c>
      <x:c r="G61" s="28" t="str">
        <x:v>Inventory is based on published, discoverable primary records; unresolved constitutions are not silently counted.</x:v>
      </x:c>
      <x:c r="H61" s="28" t="str">
        <x:v>Inventory is based on published, discoverable primary records; unresolved constitutions are not silently counted.</x:v>
      </x:c>
      <x:c r="I61" s="28" t="str">
        <x:v>Inventory is based on published, discoverable primary records; unresolved constitutions are not silently counted.</x:v>
      </x:c>
      <x:c r="J61" s="28" t="str">
        <x:v>Inventory is based on published, discoverable primary records; unresolved constitutions are not silently counted.</x:v>
      </x:c>
      <x:c r="K61" s="28" t="str">
        <x:v>Inventory is based on published, discoverable primary records; unresolved constitutions are not silently counted.</x:v>
      </x:c>
      <x:c r="L61" s="28" t="str">
        <x:v>Inventory is based on published, discoverable primary records; unresolved constitutions are not silently counted.</x:v>
      </x:c>
      <x:c r="M61" s="28" t="str">
        <x:v>Inventory is based on published, discoverable primary records; unresolved constitutions are not silently counted.</x:v>
      </x:c>
      <x:c r="N61" s="28" t="str">
        <x:v>Inventory is based on published, discoverable primary records; unresolved constitutions are not silently counted.</x:v>
      </x:c>
    </x:row>
  </x:sheetData>
  <x:mergeCells>
    <x:mergeCell ref="B2:N2"/>
    <x:mergeCell ref="B3:N3"/>
    <x:mergeCell ref="B4:D4"/>
    <x:mergeCell ref="G4:N4"/>
    <x:mergeCell ref="B6:D6"/>
    <x:mergeCell ref="B7:D7"/>
    <x:mergeCell ref="B8:D8"/>
    <x:mergeCell ref="B9:D9"/>
    <x:mergeCell ref="B10:D10"/>
    <x:mergeCell ref="B11:D11"/>
    <x:mergeCell ref="B12:D12"/>
    <x:mergeCell ref="B14:F14"/>
    <x:mergeCell ref="B15:D15"/>
    <x:mergeCell ref="B16:D16"/>
    <x:mergeCell ref="B17:D17"/>
    <x:mergeCell ref="B18:D18"/>
    <x:mergeCell ref="B19:D19"/>
    <x:mergeCell ref="B20:D20"/>
    <x:mergeCell ref="B21:D21"/>
    <x:mergeCell ref="B22:D22"/>
    <x:mergeCell ref="B25:E25"/>
    <x:mergeCell ref="B26:D26"/>
    <x:mergeCell ref="B27:D27"/>
    <x:mergeCell ref="B29:F33"/>
    <x:mergeCell ref="B35:F40"/>
    <x:mergeCell ref="G25:K25"/>
    <x:mergeCell ref="G26:K26"/>
    <x:mergeCell ref="G27:K27"/>
    <x:mergeCell ref="G28:K28"/>
    <x:mergeCell ref="G29:K29"/>
    <x:mergeCell ref="G30:K30"/>
    <x:mergeCell ref="G31:K31"/>
    <x:mergeCell ref="G32:K32"/>
    <x:mergeCell ref="G33:K33"/>
    <x:mergeCell ref="G34:K34"/>
    <x:mergeCell ref="G35:K35"/>
    <x:mergeCell ref="G36:K36"/>
    <x:mergeCell ref="G37:K37"/>
    <x:mergeCell ref="G38:K38"/>
    <x:mergeCell ref="G39:K39"/>
    <x:mergeCell ref="G40:K40"/>
    <x:mergeCell ref="G41:K41"/>
    <x:mergeCell ref="G42:K42"/>
    <x:mergeCell ref="G44:N44"/>
    <x:mergeCell ref="B46:N46"/>
    <x:mergeCell ref="B47:N47"/>
    <x:mergeCell ref="B49:C49"/>
    <x:mergeCell ref="D49:H49"/>
    <x:mergeCell ref="I49:J49"/>
    <x:mergeCell ref="L49:M49"/>
    <x:mergeCell ref="B50:C50"/>
    <x:mergeCell ref="D50:H50"/>
    <x:mergeCell ref="I50:J50"/>
    <x:mergeCell ref="L50:M50"/>
    <x:mergeCell ref="B51:C51"/>
    <x:mergeCell ref="D51:H51"/>
    <x:mergeCell ref="I51:J51"/>
    <x:mergeCell ref="L51:M51"/>
    <x:mergeCell ref="B52:C52"/>
    <x:mergeCell ref="D52:H52"/>
    <x:mergeCell ref="I52:J52"/>
    <x:mergeCell ref="L52:M52"/>
    <x:mergeCell ref="B53:C53"/>
    <x:mergeCell ref="D53:H53"/>
    <x:mergeCell ref="I53:J53"/>
    <x:mergeCell ref="L53:M53"/>
    <x:mergeCell ref="B54:C54"/>
    <x:mergeCell ref="D54:H54"/>
    <x:mergeCell ref="I54:J54"/>
    <x:mergeCell ref="L54:M54"/>
    <x:mergeCell ref="B55:C55"/>
    <x:mergeCell ref="D55:H55"/>
    <x:mergeCell ref="I55:J55"/>
    <x:mergeCell ref="L55:M55"/>
    <x:mergeCell ref="B56:C56"/>
    <x:mergeCell ref="D56:H56"/>
    <x:mergeCell ref="I56:J56"/>
    <x:mergeCell ref="L56:M56"/>
    <x:mergeCell ref="B57:C57"/>
    <x:mergeCell ref="D57:H57"/>
    <x:mergeCell ref="I57:J57"/>
    <x:mergeCell ref="L57:M57"/>
    <x:mergeCell ref="B58:C58"/>
    <x:mergeCell ref="D58:H58"/>
    <x:mergeCell ref="I58:J58"/>
    <x:mergeCell ref="L58:M58"/>
    <x:mergeCell ref="B59:C59"/>
    <x:mergeCell ref="D59:H59"/>
    <x:mergeCell ref="I59:J59"/>
    <x:mergeCell ref="L59:M59"/>
    <x:mergeCell ref="B61:N61"/>
  </x:mergeCells>
  <x:pageMargins left="0.7" right="0.7" top="0.75" bottom="0.75" header="0.3" footer="0.3"/>
  <x:drawing xmlns:r="http://schemas.openxmlformats.org/officeDocument/2006/relationships" r:id="Rb4578acd16904c89"/>
</x:worksheet>
</file>

<file path=xl/worksheets/sheet2.xml><?xml version="1.0" encoding="utf-8"?>
<worksheet xmlns="http://schemas.openxmlformats.org/spreadsheetml/2006/main" xmlns:r="http://schemas.openxmlformats.org/officeDocument/2006/relationships">
  <sheetPr>
    <tabColor rgb="FF365F86"/>
  </sheetPr>
  <sheetViews>
    <sheetView showGridLines="0" workbookViewId="0">
      <pane xSplit="2" ySplit="5" topLeftCell="C6" activePane="bottomRight" state="frozen"/>
    </sheetView>
  </sheetViews>
  <sheetFormatPr defaultRowHeight="15"/>
  <cols>
    <col min="1" max="1" width="19" hidden="0" customWidth="1"/>
    <col min="2" max="2" width="65" hidden="0" customWidth="1"/>
    <col min="3" max="3" width="31" hidden="0" customWidth="1"/>
    <col min="4" max="4" width="14" hidden="0" customWidth="1"/>
    <col min="5" max="5" width="13" hidden="0" customWidth="1"/>
    <col min="6" max="6" width="30" hidden="0" customWidth="1"/>
    <col min="7" max="7" width="23" hidden="0" customWidth="1"/>
    <col min="8" max="8" width="15" hidden="0" customWidth="1"/>
    <col min="9" max="9" width="16" hidden="0" customWidth="1"/>
    <col min="10" max="10" width="16" hidden="0" customWidth="1"/>
    <col min="11" max="11" width="68" hidden="0" customWidth="1"/>
    <col min="12" max="12" width="58" hidden="0" customWidth="1"/>
    <col min="13" max="13" width="85" hidden="0" customWidth="1"/>
    <col min="14" max="14" width="26" hidden="0" customWidth="1"/>
    <col min="15" max="15" width="75" hidden="0" customWidth="1"/>
    <col min="16" max="16" width="95" hidden="0" customWidth="1"/>
    <col min="17" max="17" width="100" hidden="0" customWidth="1"/>
    <col min="18" max="18" width="90" hidden="0" customWidth="1"/>
    <col min="19" max="19" width="16" hidden="0" customWidth="1"/>
    <col min="20" max="20" width="16" hidden="0" customWidth="1"/>
    <col min="21" max="21" width="75" hidden="0" customWidth="1"/>
    <col min="22" max="22" width="16" hidden="0" customWidth="1"/>
    <col min="23" max="23" width="17" hidden="0" customWidth="1"/>
    <col min="24" max="24" width="40" hidden="0" customWidth="1"/>
    <col min="25" max="25" width="85" hidden="0" customWidth="1"/>
    <col min="26" max="26" width="85" hidden="0" customWidth="1"/>
    <col min="27" max="27" width="90" hidden="0" customWidth="1"/>
    <col min="28" max="28" width="25" hidden="0" customWidth="1"/>
    <col min="29" max="29" width="16" hidden="0" customWidth="1"/>
    <col min="30" max="30" width="90" hidden="0" customWidth="1"/>
    <col min="31" max="31" width="90" hidden="0" customWidth="1"/>
    <col min="32" max="32" width="90" hidden="0" customWidth="1"/>
    <col min="33" max="33" width="90" hidden="0" customWidth="1"/>
    <col min="34" max="34" width="100" hidden="0" customWidth="1"/>
    <col min="35" max="35" width="100" hidden="0" customWidth="1"/>
    <col min="36" max="36" width="15" hidden="0" customWidth="1"/>
    <col min="37" max="37" width="35" hidden="0" customWidth="1"/>
    <col min="38" max="38" width="70" hidden="0" customWidth="1"/>
    <col min="39" max="39" width="65" hidden="0" customWidth="1"/>
    <col min="40" max="40" width="65" hidden="0" customWidth="1"/>
    <col min="41" max="41" width="65" hidden="0" customWidth="1"/>
    <col min="42" max="42" width="80" hidden="0" customWidth="1"/>
    <col min="43" max="43" width="18" hidden="0" customWidth="1"/>
    <col min="44" max="44" width="19" hidden="0" customWidth="1"/>
  </cols>
  <sheetData>
    <row r="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row>
    <row r="2" ht="28" customHeight="1">
      <c r="A2" s="5" t="str">
        <v>Groups</v>
      </c>
      <c r="B2" s="5"/>
      <c r="C2" s="5"/>
      <c r="D2" s="5"/>
      <c r="E2" s="5"/>
      <c r="F2" s="5"/>
      <c r="G2" s="5"/>
      <c r="H2" s="5"/>
      <c r="I2" s="5"/>
      <c r="J2" s="5"/>
      <c r="K2" s="5"/>
      <c r="L2" s="5"/>
      <c r="M2" s="5"/>
      <c r="N2" s="5"/>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row>
    <row r="3" ht="23" customHeight="1">
      <c r="A3" s="7" t="str">
        <v>Evidence checked 10 October 2026 · Full text retained in cells; use filters and expand rows for long provisions.</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row>
    <row r="4">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row>
    <row r="5" ht="52" customHeight="1">
      <c r="A5" s="17" t="str">
        <v>ID</v>
      </c>
      <c r="B5" s="18" t="str">
        <v>Group name · Português</v>
      </c>
      <c r="C5" s="18" t="str">
        <v>Status · Português</v>
      </c>
      <c r="D5" s="18" t="str">
        <v>Delay · days</v>
      </c>
      <c r="E5" s="18" t="str">
        <v>Government</v>
      </c>
      <c r="F5" s="18" t="str">
        <v>Creating act</v>
      </c>
      <c r="G5" s="18" t="str">
        <v>Creating act · click</v>
      </c>
      <c r="H5" s="18" t="str">
        <v>DR publication date</v>
      </c>
      <c r="I5" s="18" t="str">
        <v>Latest signature / adoption</v>
      </c>
      <c r="J5" s="18" t="str">
        <v>In force / effective</v>
      </c>
      <c r="K5" s="18" t="str">
        <v>Issuing ministries / Secretarias de Estado · original</v>
      </c>
      <c r="L5" s="18" t="str">
        <v>Coordinator</v>
      </c>
      <c r="M5" s="18" t="str">
        <v>Members · original Portuguese provisions</v>
      </c>
      <c r="N5" s="18" t="str">
        <v>Policy area</v>
      </c>
      <c r="O5" s="18" t="str">
        <v>Mission · English</v>
      </c>
      <c r="P5" s="18" t="str">
        <v>Objective · original Português</v>
      </c>
      <c r="Q5" s="18" t="str">
        <v>Numbered objectives · original Português</v>
      </c>
      <c r="R5" s="18" t="str">
        <v>Deadlines · summary and calculations</v>
      </c>
      <c r="S5" s="18" t="str">
        <v>Original controlling date</v>
      </c>
      <c r="T5" s="18" t="str">
        <v>Current controlling date</v>
      </c>
      <c r="U5" s="18" t="str">
        <v>Controlling deadline · basis</v>
      </c>
      <c r="V5" s="18" t="str">
        <v>Alternative counting date</v>
      </c>
      <c r="W5" s="18" t="str">
        <v>Alternative delay · days</v>
      </c>
      <c r="X5" s="18" t="str">
        <v>Participation · English</v>
      </c>
      <c r="Y5" s="18" t="str">
        <v>Participation · original clause</v>
      </c>
      <c r="Z5" s="18" t="str">
        <v>Status evidence · explanation</v>
      </c>
      <c r="AA5" s="18" t="str">
        <v>Evidence URLs · includes DR</v>
      </c>
      <c r="AB5" s="18" t="str">
        <v>Status source · click</v>
      </c>
      <c r="AC5" s="18" t="str">
        <v>Verified delivery date</v>
      </c>
      <c r="AD5" s="18" t="str">
        <v>Report / output evidence</v>
      </c>
      <c r="AE5" s="18" t="str">
        <v>Policy implementation · separate assessment</v>
      </c>
      <c r="AF5" s="18" t="str">
        <v>Policy evidence URLs</v>
      </c>
      <c r="AG5" s="18" t="str">
        <v>Extensions / amendments / replacements</v>
      </c>
      <c r="AH5" s="18" t="str">
        <v>Notes and limitations</v>
      </c>
      <c r="AI5" s="18" t="str">
        <v>What was searched</v>
      </c>
      <c r="AJ5" s="18" t="str">
        <v>Last checked</v>
      </c>
      <c r="AK5" s="18" t="str">
        <v>All signature dates</v>
      </c>
      <c r="AL5" s="18" t="str">
        <v>Effective-date basis</v>
      </c>
      <c r="AM5" s="18" t="str">
        <v>Name / label basis</v>
      </c>
      <c r="AN5" s="18" t="str">
        <v>Normalised issuing portfolios · overlapping</v>
      </c>
      <c r="AO5" s="18" t="str">
        <v>Status benchmark</v>
      </c>
      <c r="AP5" s="18" t="str">
        <v>Delay qualification</v>
      </c>
      <c r="AQ5" s="18" t="str">
        <v>Current-overdue rank · calculation</v>
      </c>
      <c r="AR5" s="19" t="str">
        <v>First occurrence of creating act · calculation</v>
      </c>
    </row>
    <row r="6" ht="96" customHeight="1">
      <c r="A6" s="3" t="str">
        <v>GT-2024-001</v>
      </c>
      <c r="B6" s="3" t="str">
        <v>grupo de trabalho conjunto com a Infraestruturas de Portugal</v>
      </c>
      <c r="C6" s="3" t="str">
        <v>Sem informação pública</v>
      </c>
      <c r="D6" s="21" t="str">
        <f>IF(C6="Em atraso",IF(ISNUMBER(T6),MAX(0,Dashboard!$E$4-T6),""),IF(C6="Concluído com atraso",IF(AND(ISNUMBER(T6),ISNUMBER(AC6)),MAX(0,AC6-T6),""),IF(C6="Concluído no prazo",0,"")))</f>
      </c>
      <c r="E6" s="3" t="str">
        <v>XXIV</v>
      </c>
      <c r="F6" s="3" t="str">
        <v>Resolução do Conselho de Ministros n.º 68/2024</v>
      </c>
      <c r="G6" s="22" t="str">
        <v>Open DR act</v>
      </c>
      <c r="H6" s="20" t="d">
        <v>2024-05-27T00:00:00.000Z</v>
      </c>
      <c r="I6" s="20" t="d">
        <v>2024-05-14T00:00:00.000Z</v>
      </c>
      <c r="J6" s="20" t="d">
        <v>2024-05-28T00:00:00.000Z</v>
      </c>
      <c r="K6" s="3" t="str">
        <v>Presidência do Conselho de Ministros</v>
      </c>
      <c r="L6" s="3" t="str">
        <v>Not specified in the creating provision.</v>
      </c>
      <c r="M6" s="3" t="str">
        <v>5 - Determinar a constituição de um grupo de trabalho conjunto com a Infraestruturas de Portugal, S. A., o Instituto da Mobilidade e dos Transportes, I. P., e a ANA - Aeroportos de Portugal, S. A., para a análise das acessibilidades rodoviárias e ferroviárias ao novo aeroporto de Lisboa, envolvendo os municípios abrangidos no troço Lisboa-Poceirão-Évora.</v>
      </c>
      <c r="N6" s="3" t="str">
        <v>Transport</v>
      </c>
      <c r="O6" s="3" t="str">
        <v>Analyse road and railway access to the new Lisbon airport with infrastructure bodies and affected municipalities.</v>
      </c>
      <c r="P6" s="3" t="str">
        <v>5 - Determinar a constituição de um grupo de trabalho conjunto com a Infraestruturas de Portugal, S. A., o Instituto da Mobilidade e dos Transportes, I. P., e a ANA - Aeroportos de Portugal, S. A., para a análise das acessibilidades rodoviárias e ferroviárias ao novo aeroporto de Lisboa, envolvendo os municípios abrangidos no troço Lisboa-Poceirão-Évora.</v>
      </c>
      <c r="Q6" s="3" t="str">
        <v>5 - Determinar a constituição de um grupo de trabalho conjunto com a Infraestruturas de Portugal, S. A., o Instituto da Mobilidade e dos Transportes, I. P., e a ANA - Aeroportos de Portugal, S. A., para a análise das acessibilidades rodoviárias e ferroviárias ao novo aeroporto de Lisboa, envolvendo os municípios abrangidos no troço Lisboa-Poceirão-Évora.</v>
      </c>
      <c r="R6" s="3" t="str">
        <v>1 - Determinar que a Infraestruturas de Portugal, S. A., antecipe a conclusão dos estudos necessário: 2024-12-31 — Explicit year-end: 31 December 2024.
2 - Determinar que a Infraestruturas de Portugal, S. A., promova, até ao final do primeiro trimestre: 2026-03-31 — End-of-quarter monitoring benchmark: 2026-03-31; the act specifies a window rather than an exact day.
2 - Determinar que a Infraestruturas de Portugal, S. A., promova, até ao final d — additional dated phase: 2026-06-30 — Quarter boundary: segundo trimestre de 2026; last day of the stated window.
3 - Determinar que a Infraestruturas de Portugal, S. A., e o Instituto da Mobilidade e dos Transport: 2026-12-31 — Explicit year-end: 31 December 2026.
4 - Determinar que a Infraestruturas de Portugal, S. A., apresente ao Governo, até final do segundo : 2026-06-30 — End-of-quarter monitoring benchmark: 2026-06-30; the act specifies a window rather than an exact day.
6 - Autorizar a realização da despesa necessária à execução dos estudos, para o triénio 2025-2028, a: date not derivable — No uniquely dated deadline derivable from this clause; cadence or trigger is preserved.
9 - Determinar que os encargos emergentes da presente resolução devem merecer financiamento europeu,: date not derivable — No uniquely dated deadline derivable from this clause; cadence or trigger is preserved.</v>
      </c>
      <c r="S6" s="20"/>
      <c r="T6" s="20"/>
      <c r="U6" s="3" t="str"/>
      <c r="V6" s="20"/>
      <c r="W6" s="21" t="str">
        <f>IF(AND(C6="Em atraso",ISNUMBER(V6)),MAX(0,Dashboard!$E$4-V6),"")</f>
      </c>
      <c r="X6" s="3" t="str">
        <v>Not specified in the creating act.</v>
      </c>
      <c r="Y6" s="3" t="str">
        <v>Not specified in act.</v>
      </c>
      <c r="Z6" s="3" t="str">
        <v>No dated final-output deadline / public trigger date, and delivery cannot be verified.</v>
      </c>
      <c r="AA6" s="3" t="str">
        <v>https://diariodarepublica.pt/dr/detalhe/resolucao-conselho-ministros/68-2024-867194464</v>
      </c>
      <c r="AB6" s="22" t="str">
        <v>Open evidence</v>
      </c>
      <c r="AC6" s="20"/>
      <c r="AD6" s="3" t="str">
        <v>No delivery evidence identified.</v>
      </c>
      <c r="AE6" s="3" t="str">
        <v>Not independently verified.</v>
      </c>
      <c r="AF6" s="3" t="str"/>
      <c r="AG6" s="3" t="str"/>
      <c r="AH6" s="3" t="str">
        <v> Other dates in this resolution concern IP’s studies and infrastructure procurement, not a dated output duty of this specific working group. They are preserved in Deadlines as broader act context.</v>
      </c>
      <c r="AI6" s="3" t="str">
        <v>DR full-period singular/plural/technical phrase inventories; later acts reviewed. Outcome search: "grupo de trabalho" acessibilidades novo aeroporto Lisboa relatório conclusões after:2024-04-01 before:2026-10-11. Domains: portugal.gov.pt, gov.pt, parlamento.pt, diariodarepublica.pt, justica.gov.pt, dgav.pt, icnf.pt, anac.pt, dgeg.gov.pt. Official evidence/limitations recorded in this row.</v>
      </c>
      <c r="AJ6" s="20" t="d">
        <v>2026-10-10T00:00:00.000Z</v>
      </c>
      <c r="AK6" s="3" t="str">
        <v>2024-05-14</v>
      </c>
      <c r="AL6" s="3" t="str">
        <v>Day after publication.</v>
      </c>
      <c r="AM6" s="3" t="str">
        <v>Express name / creating-act summary; descriptive source label where no formal name is assigned.</v>
      </c>
      <c r="AN6" s="3" t="str">
        <v>Presidency / Council of Ministers</v>
      </c>
      <c r="AO6" s="3" t="str">
        <v>No dated final output / unknown trigger</v>
      </c>
      <c r="AP6" s="3" t="str"/>
      <c r="AQ6" s="21" t="str">
        <f>IF(AND(C6="Em atraso",ISNUMBER(D6)),COUNTIFS(Groups!$C$6:$C$127,"Em atraso",Groups!$D$6:$D$127,"&gt;"&amp;D6)+COUNTIFS($C$6:C6,"Em atraso",$D$6:D6,D6),"")</f>
      </c>
      <c r="AR6" s="21" t="n">
        <f>IF(COUNTIF($F$6:F6,F6)=1,1,0)</f>
        <v>1</v>
      </c>
    </row>
    <row r="7" ht="96" customHeight="1">
      <c r="A7" s="3" t="str">
        <v>GT-2024-002</v>
      </c>
      <c r="B7" s="3" t="str">
        <v>grupo de trabalho designado "Grupo Interministerial para a implementação do Regulamento que cria a Plataforma de Tecnologias Estratégicas para a Europa (STEP)"</v>
      </c>
      <c r="C7" s="3" t="str">
        <v>Em curso – dentro do prazo</v>
      </c>
      <c r="D7" s="21" t="str">
        <f>IF(C7="Em atraso",IF(ISNUMBER(T7),MAX(0,Dashboard!$E$4-T7),""),IF(C7="Concluído com atraso",IF(AND(ISNUMBER(T7),ISNUMBER(AC7)),MAX(0,AC7-T7),""),IF(C7="Concluído no prazo",0,"")))</f>
      </c>
      <c r="E7" s="3" t="str">
        <v>XXIV</v>
      </c>
      <c r="F7" s="3" t="str">
        <v>Despacho n.º 6475/2024</v>
      </c>
      <c r="G7" s="22" t="str">
        <v>Open DR act</v>
      </c>
      <c r="H7" s="20" t="d">
        <v>2024-06-11T00:00:00.000Z</v>
      </c>
      <c r="I7" s="20" t="d">
        <v>2024-05-27T00:00:00.000Z</v>
      </c>
      <c r="J7" s="20" t="d">
        <v>2024-05-28T00:00:00.000Z</v>
      </c>
      <c r="K7" s="3" t="str">
        <v>Presidência do Conselho de Ministros, Economia e Ambiente e Energia - Gabinete do Ministro Adjunto e da Coesão Territorial, Gabinete do Ministro da Economia e Gabinete da Ministra do Ambiente e Energia</v>
      </c>
      <c r="L7" s="3" t="str">
        <v>b) Um elemento da Agência para o Desenvolvimento e Coesão, I. P. (Agência, I. P.), que, enquanto ponto focal nacional para a STEP, coordena;</v>
      </c>
      <c r="M7" s="3" t="str">
        <v>3 - O Grupo de Trabalho tem a seguinte composição:
a) Um membro do Gabinete do Ministro Adjunto e da Coesão Territorial;
b) Um elemento da Agência para o Desenvolvimento e Coesão, I. P. (Agência, I. P.), que, enquanto ponto focal nacional para a STEP, coordena;
c) Os seguintes elementos do Ministério da Economia:
i) Um representante da Agência para o Investimento e Comércio Externo de Portugal, E. P. E. (AICEP);
ii) Um representante da Agência para a Competitividade e Inovação, I. P. (IAPMEI);
iii) Um representante da Agência Nacional de Inovação, S. A. (ANI);
iv) Um representante do Gabinete de Estratégia e Estudos (GEE);
v) Um representante da autoridade de gestão do Programa Temático Inovação e Transição Digital (COMPETE 2030);
d) Os seguintes elementos do Ministério do Ambiente e Ação Climática:
i) Um representante da Direção-Geral de Energia e Geologia (DGEG);
ii) Um representante da Agência Portuguesa do Ambiente, I. P., (APA);
e) Um representante da Estrutura de Missão Recuperar Portugal (EMRP).
6 - A constituição e o funcionamento do Grupo de Trabalho não conferem aos elementos que o integram, ou que com ele colaboram, o direito ao pagamento de qualquer remuneração ou abono nem implica a assunção de qualquer encargo adicional.</v>
      </c>
      <c r="N7" s="3" t="str">
        <v>Economy / EU funds</v>
      </c>
      <c r="O7" s="3" t="str">
        <v>Implement the EU Strategic Technologies for Europe Platform in Portugal and coordinate funding instruments and reporting.</v>
      </c>
      <c r="P7" s="3" t="str">
        <v>1 - A constituição de um grupo de trabalho designado "Grupo Interministerial para a implementação do Regulamento que cria a Plataforma de Tecnologias Estratégicas para a Europa (STEP)", doravante "Grupo de Trabalho", com a missão de implementar em Portugal o Regulamento (UE) 2024/795 do Parlamento Europeu e do Conselho, de 29 de fevereiro de 2024 (Regulamento STEP).</v>
      </c>
      <c r="Q7" s="3" t="str">
        <v>1 - A constituição de um grupo de trabalho designado "Grupo Interministerial para a implementação do Regulamento que cria a Plataforma de Tecnologias Estratégicas para a Europa (STEP)", doravante "Grupo de Trabalho", com a missão de implementar em Portugal o Regulamento (UE) 2024/795 do Parlamento Europeu e do Conselho, de 29 de fevereiro de 2024 (Regulamento STEP).
2 - O Grupo de Trabalho prossegue os seguintes objetivos:
a) Apoiar a participação portuguesa em reuniões realizadas no âmbito da respetiva missão, designadamente no âmbito da União Europeia;
b) Mapear os instrumentos de política pública em curso em Portugal e respetivas fontes de financiamento que relevem para a promoção de projetos nos setores STEP em Portugal;
c) Avaliar a necessidade e oportunidade de reprogramação dos fundos do Mecanismo de Recuperação e Resiliência (MRR) e dos fundos da política de coesão para a STEP, conforme previsto no Regulamento STEP, incluindo a definição das respetivas linhas orientadoras;
d) Apoiar as entidades responsáveis na elaboração de concursos futuros relacionados com os objetivos da STEP e implementados no âmbito dos fundos da política de coesão e do MRR;
e) Partilhar informações sobre os progressos, os estrangulamentos e as melhores práticas na aplicação do Regulamento STEP;
f) Promover a divulgação do programa STEP junto das entidades públicas;
g) Contribuir para a apresentação de informações adequadas à Comissão Europeia sobre a execução das prioridades do programa STEP, tal como previsto no Regulamento STEP.
4 - Sem prejuízo do disposto no número anterior, o Grupo de Trabalho pode convidar representantes de outros serviços ou entidades cujo contributo seja considerado relevante para a prossecução da respetiva missão, nomeadamente das Regiões Autónomas e das Comissões de Coordenação e Desenvolvimento Regional, enquanto entidades responsáveis pela implementação das Estratégias Regionais de Especialização Inteligente, ou das entidades que acompanham os fundos e os programas que constituem a base de implementação da STEP.
8 - O Grupo de Trabalho extingue-se em 2029, salvo despacho que determine o prolongamento da sua missão.</v>
      </c>
      <c r="R7" s="3" t="str">
        <v>7 - As entidades referidas no n.º 3 devem indicar à Agência, I. P., até 10 dias após a publicação do: 2024-06-21 — 2024-06-11 + 10 calendar days (monitoring convention). If CPA procedural counting applies: 2024-06-25.
Mandate end: 2029-12-31 — Fixed date / explicit year-end in creating act.</v>
      </c>
      <c r="S7" s="20" t="d">
        <v>2029-12-31T00:00:00.000Z</v>
      </c>
      <c r="T7" s="20" t="d">
        <v>2029-12-31T00:00:00.000Z</v>
      </c>
      <c r="U7" s="3" t="str">
        <v>Fixed date / explicit year-end in creating act.</v>
      </c>
      <c r="V7" s="20"/>
      <c r="W7" s="21" t="str">
        <f>IF(AND(C7="Em atraso",ISNUMBER(V7)),MAX(0,Dashboard!$E$4-V7),"")</f>
      </c>
      <c r="X7" s="3" t="str">
        <v>Unpaid; see the original clause for the scope of the exclusion.</v>
      </c>
      <c r="Y7" s="3" t="str">
        <v>6 - A constituição e o funcionamento do Grupo de Trabalho não conferem aos elementos que o integram, ou que com ele colaboram, o direito ao pagamento de qualquer remuneração ou abono nem implica a assunção de qualquer encargo adicional.</v>
      </c>
      <c r="Z7" s="3" t="str">
        <v>Current controlling deadline has not passed; delivery not independently verified.</v>
      </c>
      <c r="AA7" s="3" t="str">
        <v>https://diariodarepublica.pt/dr/detalhe/despacho/6475-2024-868409451</v>
      </c>
      <c r="AB7" s="22" t="str">
        <v>Open evidence</v>
      </c>
      <c r="AC7" s="20"/>
      <c r="AD7" s="3" t="str">
        <v>No delivery evidence identified.</v>
      </c>
      <c r="AE7" s="3" t="str">
        <v>Not independently verified.</v>
      </c>
      <c r="AF7" s="3" t="str"/>
      <c r="AG7" s="3" t="str"/>
      <c r="AH7" s="3" t="str">
        <v> Group lasts until 31 December 2029; reporting follows STEP regulation and is not fully dated in this act.</v>
      </c>
      <c r="AI7" s="3" t="str">
        <v>DR full-period singular/plural/technical phrase inventories; later acts reviewed. Outcome search: "grupo de trabalho" STEP plataforma tecnologias estratégicas Europa relatório conclusões after:2024-04-01 before:2026-10-11. Domains: portugal.gov.pt, gov.pt, parlamento.pt, diariodarepublica.pt, justica.gov.pt, dgav.pt, icnf.pt, anac.pt, dgeg.gov.pt. Official evidence/limitations recorded in this row.</v>
      </c>
      <c r="AJ7" s="20" t="d">
        <v>2026-10-10T00:00:00.000Z</v>
      </c>
      <c r="AK7" s="3" t="str">
        <v>2024-05-23; 2024-05-24; 2024-05-27</v>
      </c>
      <c r="AL7" s="3" t="str">
        <v>Day after latest signature.</v>
      </c>
      <c r="AM7" s="3" t="str">
        <v>Express name / creating-act summary; descriptive source label where no formal name is assigned.</v>
      </c>
      <c r="AN7" s="3" t="str">
        <v>Presidency / Council of Ministers; Economy; Environment / Energy; Territorial cohesion</v>
      </c>
      <c r="AO7" s="3" t="str">
        <v>Mandate end</v>
      </c>
      <c r="AP7" s="3" t="str"/>
      <c r="AQ7" s="21" t="str">
        <f>IF(AND(C7="Em atraso",ISNUMBER(D7)),COUNTIFS(Groups!$C$6:$C$127,"Em atraso",Groups!$D$6:$D$127,"&gt;"&amp;D7)+COUNTIFS($C$6:C7,"Em atraso",$D$6:D7,D7),"")</f>
      </c>
      <c r="AR7" s="21" t="n">
        <f>IF(COUNTIF($F$6:F7,F7)=1,1,0)</f>
        <v>1</v>
      </c>
    </row>
    <row r="8" ht="96" customHeight="1">
      <c r="A8" s="3" t="str">
        <v>GT-2024-003</v>
      </c>
      <c r="B8" s="3" t="str">
        <v>grupo de trabalho com vista à definição de orientações que permitam melhorar o acesso</v>
      </c>
      <c r="C8" s="3" t="str">
        <v>Em atraso</v>
      </c>
      <c r="D8" s="21" t="n">
        <f>IF(C8="Em atraso",IF(ISNUMBER(T8),MAX(0,Dashboard!$E$4-T8),""),IF(C8="Concluído com atraso",IF(AND(ISNUMBER(T8),ISNUMBER(AC8)),MAX(0,AC8-T8),""),IF(C8="Concluído no prazo",0,"")))</f>
        <v>888</v>
      </c>
      <c r="E8" s="3" t="str">
        <v>XXIV</v>
      </c>
      <c r="F8" s="3" t="str">
        <v>Despacho n.º 6563/2024</v>
      </c>
      <c r="G8" s="22" t="str">
        <v>Open DR act</v>
      </c>
      <c r="H8" s="20" t="d">
        <v>2024-06-12T00:00:00.000Z</v>
      </c>
      <c r="I8" s="20" t="d">
        <v>2024-05-24T00:00:00.000Z</v>
      </c>
      <c r="J8" s="20" t="d">
        <v>2024-04-05T00:00:00.000Z</v>
      </c>
      <c r="K8" s="3" t="str">
        <v>Saúde - Gabinete da Ministra da Saúde</v>
      </c>
      <c r="L8" s="3" t="str">
        <v>a) Eurico Castro Alves, licenciado em Medicina pela Faculdade de Medicina da Universidade do Porto, doutorado em Medicina pelo ICBAS - Instituto de Ciências Biomédicas Abel Salazar, médico especialista em cirurgia geral, assistente graduado sénior do quadro da Unidade Local de Saúde de Santo António, E. P. E., professor catedrático da cadeira de Cirurgia do Mestrado Integrado de Medicina do ICBAS, diretor da Clínica de Cirurgia da área de Clínica Assistencial da Unidade Local de Saúde de Santo António, E. P. E., que coordena;</v>
      </c>
      <c r="M8" s="3" t="str">
        <v>2 - O grupo de trabalho funciona na dependência da Ministra da Saúde, sendo constituído pelos seguintes elementos:
a) Eurico Castro Alves, licenciado em Medicina pela Faculdade de Medicina da Universidade do Porto, doutorado em Medicina pelo ICBAS - Instituto de Ciências Biomédicas Abel Salazar, médico especialista em cirurgia geral, assistente graduado sénior do quadro da Unidade Local de Saúde de Santo António, E. P. E., professor catedrático da cadeira de Cirurgia do Mestrado Integrado de Medicina do ICBAS, diretor da Clínica de Cirurgia da área de Clínica Assistencial da Unidade Local de Saúde de Santo António, E. P. E., que coordena;
b) Alberto Caldas Afonso, licenciado em Medicina, professor catedrático de Pediatria, diretor do Centro Materno-Infantil do Norte Albino Aroso, diretor do Mestrado Integrado em Medicina (MIM) do Instituto de Ciências Biomédicas Abel Salazar (ICBAS);
c) André Cunha Santos, licenciado em Medicina pela Faculdade de Medicina de Santiago de Compostela, pós-graduado em Medicina Desportiva, assistente de medicina geral e familiar, presidente do Conselho Clínico do ACES Loures - Odivelas;
d) António João Sant’Anna Gandra Leite d’Almeida, licenciado em Medicina pela Faculdade de Ciências Médicas da Universidade NOVA de Lisboa, pós-graduado em Saúde Militar, European Masterin Disaster Medicine, especialista em cirurgia geral, com a competência em Gestão de Serviços de Saúde, Emergência e Medicina Militar pela Ordem dos Médicos, Tenente-Coronel dos quadros permanentes do Exército Português, comandante do Agrupamento Sanitário;
e) António Marques, licenciado em Medicina, Instituto de Ciências Biomédicas Abel Salazar, professor catedrático, assistente graduado sénior, com especialidade em Anestesiologia;
f) Catarina Baptista, administradora hospitalar, doutorada em Biologia Molecular pela Faculdade de Ciências da Universidade de Lisboa, pós-graduada em Monitorização de Ensaios Clínicos e em Digital Health, com especialização em Strategic Leadership on Innovation;
g) Cláudia Belo Ferreira, licenciada em Contabilidade e Gestão Financeira, Programa de Formação em Gestão Pública, Curso de Alta Direção em Gestão de Unidades de Saúde para Gestores;
h) Fernando Severino, licenciado em Medicina, assistente na área de medicina geral e familiar, em Viseu, até 30 de novembro de 2023;
i) Humberto Alexandre Marçal Tomás Martins, licenciado em Ciências Farmacêuticas da Universidade de Coimbra, Master Business Administration pela AESE/IESE, pós-graduações em Gestão Farmacêutica, Administração Hospitalar e Alta Direção em Saúde;
j) Joana Mourão, licenciada em Medicina, Faculdade de Medicina da Universidade do Porto, mestre em Anestesiologia e Terapêutica da Dor, Faculdade de Medicina da Universidade de Coimbra, doutorada em Medicina na Faculdade de Medicina da Universidade do Porto, curso de mestrado em Estudos em Gestão e Economia de Serviços de Saúde pela Faculdade de Economia da Universidade do Porto, membro do Comité Científico da European Society of Anaesthesiology and Intensive Care;
k) João Gouveia, licenciado em Medicina, assistente graduado, medicina intensiva, diretor do serviço de Urgência Central da Unidade Local de Saúde de Santa Maria, E. P. E.;
l) Lucindo do Couto Ormonde, licenciado em Medicina, assistente graduado sénior, diretor do Serviço de Anestesiologia e do Bloco Operatório da Unidade Local de Saúde de Santa Maria, E. P. E., e regente da Clínica Universitária de Anestesiologia da Faculdade de Medicina da Universidade de Lisboa;
m) Luís Campos Pinheiro, licenciado em Medicina, professor auxiliar convidado da Nova Medical School, assistente graduado sénior de urologia, diretor do Centro de Responsabilidade Integrado de Urologia e responsável da área de cirurgia da Unidade Local de Saúde de São José;
n) Maria do Rosário dos Reis Vieira Rodrigues de Barros, enfermeira especialista em enfermagem comunitária, especialista em epidemiologia e pós-graduada em Gestão e Administração da Saúde, assessora da diretora do Serviço de Gestão de Recursos Humanos da Unidade Local de Saúde do Alto Minho, E. P. E., e presidente do Conselho Geral do Instituto Politécnico de Viana do Castelo;
o) Nuno Miguel Marta de Oliveira da Silva Freitas, licenciado em Medicina pela Faculdade de Medicina da Universidade de Coimbra, pós-graduado em Direito da Medicina pela Faculdade de Direito da Universidade de Coimbra, pós-graduado em Anestesiologia pela Faculdade de Medicina da Universidade do Porto e instrutor avançado de Simulação Médica pela Harvard Medical School;
p) Paulo Jorge Barbosa Carvalho, licenciado em Medicina pela Faculdade de Medicina da Universidade do Porto, assistente graduado sénior de medicina interna e professor associado convidado de Medicina do Instituto de Ciências Biomédicas Abel Salazar da Universidade do Porto;
q) Ricardo Mexia, licenciado em Medicina pela Faculdade de Ciências Médicas da Universidade Nova de Lisboa, mestre em Saúde Pública na Escola Nacional de Saúde Pública e graduado do EPIET - European Program for Intreventios Epidemiology Training do ECDC, pós-graduado em Gestão de Unidades de Saúde, na Faculdade de Ciências Económicas e Empresariais, Universidade Católica Portuguesa, médico assistente graduado no Departamento de Epidemiologia do Instituto Nacional de Saúde Doutor Ricardo Jorge;
r) Ricardo Correia de Matos, enfermeiro especialista em enfermagem de saúde mental e psiquiátrica, doutorando em Políticas Públicas pelo ISCTE-IUL, professor convidado na Escola Superior de Saúde Norte da Cruz Vermelha Portuguesa, tesoureiro nacional da Ordem dos Enfermeiros;
s) Rosa Valente de Matos Zorrinho, administradora hospitalar, licenciada em Sociologia, Programa de Alta Direção de Instituições de Saúde, Curso de Gestão Civil de Crises e Curso de Auditores de Defesa Nacional.</v>
      </c>
      <c r="N8" s="3" t="str">
        <v>Health</v>
      </c>
      <c r="O8" s="3" t="str">
        <v>Recommend urgent measures to improve timely access to healthcare and coordinate their implementation.</v>
      </c>
      <c r="P8" s="3" t="str">
        <v>1 - A constituição de um grupo de trabalho com vista à definição de orientações que permitam melhorar o acesso, em tempo útil, aos cuidados de saúde, promovendo a devida articulação com as várias instituições do Ministério da Saúde a respetiva implementação.</v>
      </c>
      <c r="Q8" s="3" t="str">
        <v>4 - Sempre que se mostre conveniente, o coordenador do grupo pode solicitar a colaboração de peritos ou de outras individualidades que contribuam para a prossecução da sua missão, incluindo representantes da Direção Executiva do SNS, I. P., da ACSS, I. P., e das administrações regionais de saúde.
6 - O grupo de trabalho deverá apresentar um relatório final que cumpra os objetivos mencionados no n.º 1, no prazo de 30 dias após a entrada em vigor do presente despacho.</v>
      </c>
      <c r="R8" s="3" t="str">
        <v>h) Fernando Severino, licenciado em Medicina, assistente na área de medicina geral e familiar, em Vi: 2023-11-30 — Explicit calendar date in the act.
6 - O grupo de trabalho deverá apresentar um relatório final que cumpra os objetivos mencionados no : 2024-05-05 — 2024-04-05 + 30 calendar days (monitoring convention). If CPA procedural counting applies: 2024-05-21.
Final report / last specified substantive output: 2024-05-05 — effective 2024-04-05 + 30 calendar days; plain “dias” benchmark. Alternative working-day date: 2024-05-21.</v>
      </c>
      <c r="S8" s="20" t="d">
        <v>2024-05-05T00:00:00.000Z</v>
      </c>
      <c r="T8" s="20" t="d">
        <v>2024-05-05T00:00:00.000Z</v>
      </c>
      <c r="U8" s="3" t="str">
        <v>effective 2024-04-05 + 30 calendar days; plain “dias” benchmark. Alternative working-day date: 2024-05-21.</v>
      </c>
      <c r="V8" s="20" t="d">
        <v>2024-05-21T00:00:00.000Z</v>
      </c>
      <c r="W8" s="21" t="n">
        <f>IF(AND(C8="Em atraso",ISNUMBER(V8)),MAX(0,Dashboard!$E$4-V8),"")</f>
        <v>872</v>
      </c>
      <c r="X8" s="3" t="str">
        <v>Unpaid; see the original clause for the scope of the exclusion.</v>
      </c>
      <c r="Y8" s="3" t="str">
        <v>5 - A participação e coordenação do grupo de trabalho não confere direito a qualquer remuneração adicional.</v>
      </c>
      <c r="Z8" s="3" t="str">
        <v>Controlling benchmark has passed; no evidence of this output’s delivery identified in the reviewed acts and focused official-source outcome search.</v>
      </c>
      <c r="AA8" s="3" t="str">
        <v>https://diariodarepublica.pt/dr/detalhe/despacho/6563-2024-868447723</v>
      </c>
      <c r="AB8" s="22" t="str">
        <v>Open evidence</v>
      </c>
      <c r="AC8" s="20"/>
      <c r="AD8" s="3" t="str">
        <v>No delivery evidence identified.</v>
      </c>
      <c r="AE8" s="3" t="str">
        <v>Plano de Emergência e Transformação na Saúde approved on 29 May 2024, as acknowledged in Despacho 10208-A/2024; actual delivery date of this group’s 30-day report not established.</v>
      </c>
      <c r="AF8" s="3" t="str">
        <v>https://diariodarepublica.pt/dr/detalhe/despacho/10208-a-2024-886333775</v>
      </c>
      <c r="AG8" s="3" t="str"/>
      <c r="AH8" s="3" t="str">
        <v> Retrospective effective date precedes publication by more than two months; report deadline derived from that date is already past at publication. Policy-plan approval is public. This row’s overdue benchmark concerns the original 30-day reporting obligation, whose delivery date is not identified; it does not mean the health plan never happened.</v>
      </c>
      <c r="AI8" s="3" t="str">
        <v>DR full-period singular/plural/technical phrase inventories; later acts reviewed. Outcome search: "grupo de trabalho" plano emergência transformação saúde relatório conclusões after:2024-04-01 before:2026-10-11. Domains: portugal.gov.pt, gov.pt, parlamento.pt, diariodarepublica.pt, justica.gov.pt, dgav.pt, icnf.pt, anac.pt, dgeg.gov.pt. Official evidence/limitations recorded in this row.</v>
      </c>
      <c r="AJ8" s="20" t="d">
        <v>2026-10-10T00:00:00.000Z</v>
      </c>
      <c r="AK8" s="3" t="str">
        <v>2024-05-24</v>
      </c>
      <c r="AL8" s="3" t="str">
        <v>Explicit retrospective or future date.</v>
      </c>
      <c r="AM8" s="3" t="str">
        <v>Express name / creating-act summary; descriptive source label where no formal name is assigned.</v>
      </c>
      <c r="AN8" s="3" t="str">
        <v>Health</v>
      </c>
      <c r="AO8" s="3" t="str">
        <v>Final report / last specified substantive output</v>
      </c>
      <c r="AP8" s="3" t="str">
        <v>Calendar monitoring benchmark; absence of public evidence is not proof of non-delivery.</v>
      </c>
      <c r="AQ8" s="21" t="n">
        <f>IF(AND(C8="Em atraso",ISNUMBER(D8)),COUNTIFS(Groups!$C$6:$C$127,"Em atraso",Groups!$D$6:$D$127,"&gt;"&amp;D8)+COUNTIFS($C$6:C8,"Em atraso",$D$6:D8,D8),"")</f>
        <v>1</v>
      </c>
      <c r="AR8" s="21" t="n">
        <f>IF(COUNTIF($F$6:F8,F8)=1,1,0)</f>
        <v>1</v>
      </c>
    </row>
    <row r="9" ht="96" customHeight="1">
      <c r="A9" s="3" t="str">
        <v>GT-2024-004</v>
      </c>
      <c r="B9" s="3" t="str">
        <v>grupo de trabalho com vista à atualização e validação dos algoritmos utilizado na Linha SNS 24</v>
      </c>
      <c r="C9" s="3" t="str">
        <v>Sem informação pública</v>
      </c>
      <c r="D9" s="21" t="str">
        <f>IF(C9="Em atraso",IF(ISNUMBER(T9),MAX(0,Dashboard!$E$4-T9),""),IF(C9="Concluído com atraso",IF(AND(ISNUMBER(T9),ISNUMBER(AC9)),MAX(0,AC9-T9),""),IF(C9="Concluído no prazo",0,"")))</f>
      </c>
      <c r="E9" s="3" t="str">
        <v>XXIV</v>
      </c>
      <c r="F9" s="3" t="str">
        <v>Despacho n.º 6564/2024</v>
      </c>
      <c r="G9" s="22" t="str">
        <v>Open DR act</v>
      </c>
      <c r="H9" s="20" t="d">
        <v>2024-06-12T00:00:00.000Z</v>
      </c>
      <c r="I9" s="20" t="d">
        <v>2024-06-04T00:00:00.000Z</v>
      </c>
      <c r="J9" s="20" t="d">
        <v>2024-05-29T00:00:00.000Z</v>
      </c>
      <c r="K9" s="3" t="str">
        <v>Saúde - Gabinete da Ministra da Saúde</v>
      </c>
      <c r="L9" s="3" t="str">
        <v>Not specified / selected at first meeting; see act.</v>
      </c>
      <c r="M9" s="3" t="str">
        <v>1 - A criação de um grupo de trabalho com vista à atualização e validação dos algoritmos utilizado na Linha SNS 24, constituído por profissionais de saúde com reputada experiência na especialidade de obstetrícia.
2 - Para a integração do referido grupo de trabalho, designo os seguintes profissionais:
a) Carlos Manuel Alves Mendonça Veríssimo Baptista;
b) Ana Maria dos Santos Soares Fatela;
c) Helena Terezinha Fernandes Simões;
d) Bruno Manuel Pereira Rito;
e) Graça de Fátima Gonçalves do Nascimento.
3 - O grupo de trabalho assegura a realização das seguintes funções:
a) Revisão e validação clínica do algoritmo - problemas de gravidez;
b) Identificação das orientações de encaminhamento que são clinicamente adequadas;
c) Disponibilização para formação de triagem na área de especialidade de obstetrícia aos coordenadores dos Centros de Contacto do SNS 24.
4 - O grupo de trabalho deverá implementar as alterações consideradas adequadas aos conteúdos clínicos e científicos dos algoritmos em vigor, à medida que forem sendo consensualizadas.
O presente despacho produz efeitos a partir de 29 de maio de 2024.</v>
      </c>
      <c r="N9" s="3" t="str">
        <v>Health</v>
      </c>
      <c r="O9" s="3" t="str">
        <v>Review and clinically validate the obstetric triage algorithms used by SNS 24 and train contact-centre staff.</v>
      </c>
      <c r="P9" s="3" t="str">
        <v>1 - A criação de um grupo de trabalho com vista à atualização e validação dos algoritmos utilizado na Linha SNS 24, constituído por profissionais de saúde com reputada experiência na especialidade de obstetrícia.</v>
      </c>
      <c r="Q9" s="3" t="str">
        <v>3 - O grupo de trabalho assegura a realização das seguintes funções:
a) Revisão e validação clínica do algoritmo - problemas de gravidez;
b) Identificação das orientações de encaminhamento que são clinicamente adequadas;
c) Disponibilização para formação de triagem na área de especialidade de obstetrícia aos coordenadores dos Centros de Contacto do SNS 24.</v>
      </c>
      <c r="R9" s="3" t="str"/>
      <c r="S9" s="20"/>
      <c r="T9" s="20"/>
      <c r="U9" s="3" t="str"/>
      <c r="V9" s="20"/>
      <c r="W9" s="21" t="str">
        <f>IF(AND(C9="Em atraso",ISNUMBER(V9)),MAX(0,Dashboard!$E$4-V9),"")</f>
      </c>
      <c r="X9" s="3" t="str">
        <v>Not specified in the creating act.</v>
      </c>
      <c r="Y9" s="3" t="str">
        <v>Not specified in act.</v>
      </c>
      <c r="Z9" s="3" t="str">
        <v>No dated final-output deadline / public trigger date, and delivery cannot be verified.</v>
      </c>
      <c r="AA9" s="3" t="str">
        <v>https://diariodarepublica.pt/dr/detalhe/despacho/6564-2024-868447724
https://diariodarepublica.pt/dr/detalhe/despacho/8252-2024-873180042</v>
      </c>
      <c r="AB9" s="22" t="str">
        <v>Open evidence</v>
      </c>
      <c r="AC9" s="20"/>
      <c r="AD9" s="3" t="str">
        <v>No delivery evidence identified.</v>
      </c>
      <c r="AE9" s="3" t="str">
        <v>Not independently verified.</v>
      </c>
      <c r="AF9" s="3" t="str"/>
      <c r="AG9" s="3" t="str"/>
      <c r="AH9" s="3" t="str">
        <v> Despacho 8252/2024 reconstitutes the same SNS24 algorithm group with expanded membership and the same retrospective start (29 May 2024); counted once. Later act: https://diariodarepublica.pt/dr/detalhe/despacho/8252-2024-873180042</v>
      </c>
      <c r="AI9" s="3" t="str">
        <v>DR full-period singular/plural/technical phrase inventories; later acts reviewed. Outcome search: "grupo de trabalho" algoritmos triagem obstétrica SNS24 relatório conclusões after:2024-04-01 before:2026-10-11. Domains: portugal.gov.pt, gov.pt, parlamento.pt, diariodarepublica.pt, justica.gov.pt, dgav.pt, icnf.pt, anac.pt, dgeg.gov.pt. Official evidence/limitations recorded in this row.</v>
      </c>
      <c r="AJ9" s="20" t="d">
        <v>2026-10-10T00:00:00.000Z</v>
      </c>
      <c r="AK9" s="3" t="str">
        <v>2024-06-04</v>
      </c>
      <c r="AL9" s="3" t="str">
        <v>Explicit retrospective or future date.</v>
      </c>
      <c r="AM9" s="3" t="str">
        <v>Express name / creating-act summary; descriptive source label where no formal name is assigned.</v>
      </c>
      <c r="AN9" s="3" t="str">
        <v>Health</v>
      </c>
      <c r="AO9" s="3" t="str">
        <v>No dated final output / unknown trigger</v>
      </c>
      <c r="AP9" s="3" t="str"/>
      <c r="AQ9" s="21" t="str">
        <f>IF(AND(C9="Em atraso",ISNUMBER(D9)),COUNTIFS(Groups!$C$6:$C$127,"Em atraso",Groups!$D$6:$D$127,"&gt;"&amp;D9)+COUNTIFS($C$6:C9,"Em atraso",$D$6:D9,D9),"")</f>
      </c>
      <c r="AR9" s="21" t="n">
        <f>IF(COUNTIF($F$6:F9,F9)=1,1,0)</f>
        <v>1</v>
      </c>
    </row>
    <row r="10" ht="96" customHeight="1">
      <c r="A10" s="3" t="str">
        <v>GT-2024-005</v>
      </c>
      <c r="B10" s="3" t="str">
        <v>Grupo de Trabalho para a transposição para o ordenamento jurídico português da Diretiva (UE) 2023/2413, do Parlamento Europeu e do Conselho, de 18 de outubro de 2023 (doravante GT-RED III e Diretiva RED III, respetivamente)</v>
      </c>
      <c r="C10" s="3" t="str">
        <v>Em atraso</v>
      </c>
      <c r="D10" s="21" t="n">
        <f>IF(C10="Em atraso",IF(ISNUMBER(T10),MAX(0,Dashboard!$E$4-T10),""),IF(C10="Concluído com atraso",IF(AND(ISNUMBER(T10),ISNUMBER(AC10)),MAX(0,AC10-T10),""),IF(C10="Concluído no prazo",0,"")))</f>
        <v>507</v>
      </c>
      <c r="E10" s="3" t="str">
        <v>XXIV</v>
      </c>
      <c r="F10" s="3" t="str">
        <v>Despacho n.º 6757-A/2024</v>
      </c>
      <c r="G10" s="22" t="str">
        <v>Open DR act</v>
      </c>
      <c r="H10" s="20" t="d">
        <v>2024-06-17T00:00:00.000Z</v>
      </c>
      <c r="I10" s="20" t="d">
        <v>2024-06-17T00:00:00.000Z</v>
      </c>
      <c r="J10" s="20" t="d">
        <v>2024-06-07T00:00:00.000Z</v>
      </c>
      <c r="K10"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L10" s="3" t="str">
        <v>One of the two DGEG representatives; the phase-1 representatives continue in phase 2 (clause 4).</v>
      </c>
      <c r="M10" s="3" t="str">
        <v>4 - O GT-RED III é composto por:
a) Na fase 1:
i) Dois representantes da DGEG - Direção-Geral de Energia e Geologia, um dos quais coordena;
ii) Um representante do Gabinete da Secretária de Estado da Energia;
iii) Dois representantes da APA - Agência Portuguesa do Ambiente, I. P.; e
iv) Dois representantes do LNEG - Laboratório Nacional de Energia e Geologia, I. P.;
b) Na fase 2:
i) Os representantes das entidades mencionadas na alínea anterior;
ii) Um representante da DGAL - Direção-Geral das Autarquias Locais;
iii) Um representante da DGAE - Direção-Geral das Atividades Económicas;
iv) Um representante de cada comissão de coordenação e desenvolvimento regional;
v) Um representante do IMT - Instituto da Mobilidade e dos Transportes, I. P.;
vi) Um representante do ICNF - Instituto da Conservação da Natureza e das Florestas, I. P.;
vii) Um representante da ENSE - Entidade Nacional para o Setor Energético, E. P. E.;
viii) Um representante da ADENE - Agência para a Energia; e
ix) Um representante da EMER 2030 - Estrutura de Missão para o Licenciamento de Projetos de Energias Renováveis 2030.</v>
      </c>
      <c r="N10" s="3" t="str">
        <v>Energy</v>
      </c>
      <c r="O10" s="3" t="str">
        <v>Prepare the technical and legislative proposals needed to transpose the revised EU Renewable Energy Directive.</v>
      </c>
      <c r="P10" s="3" t="str">
        <v>1 - É criado o Grupo de Trabalho para a transposição para o ordenamento jurídico português da Diretiva (UE) 2023/2413, do Parlamento Europeu e do Conselho, de 18 de outubro de 2023 (doravante GT-RED III e Diretiva RED III, respetivamente).</v>
      </c>
      <c r="Q10" s="3" t="str">
        <v>2 - O GT-RED III tem os seguintes objetivos:
a) Preparar e apresentar propostas técnicas para a transposição da Diretiva RED III, em articulação com as entidades públicas e privadas com atribuições ou atividade nas matérias envolvidas;
b) Identificar as áreas temáticas bem como os diplomas legais e regulamentares necessários para acomodar a transposição da Diretiva RED III, e apresentar as correspondentes propostas normativas tendo por base as propostas referidas na alínea anterior;
c) Apoiar o procedimento de consulta pública das propostas referidas na alínea anterior, designadamente através da análise das pronúncias submetidas e elaboração do respetivo relatório de consulta pública, se aplicável;
d) Atualizar as propostas previstas nas alíneas a) e b) do presente número, em conformidade com os resultados da consulta pública;
e) Promover a participação eficiente e eficaz, a comunicação aberta e a cooperação entre as diferentes entidades envolvidas, promovendo reuniões regulares.
11 - O GT-RED III tem natureza temporária, e cessa as suas funções com a conclusão do processo de transposição da Diretiva RED III para o ordenamento jurídico português.</v>
      </c>
      <c r="R10" s="3" t="str">
        <v>a) A Fase 1, que consiste nos trabalhos preparatórios da transposição do artigo 1.º da Diretiva RED : 2024-07-01 — Explicit calendar date in the act.
b) A Fase 2, que consiste nos trabalhos preparatórios da transposição das restantes disposições da D: 2025-05-21 — Explicit calendar date in the act.
a) Propostas relativas aos atos legislativos a adotar para transposição da Diretiva RED III, respeit: date not derivable — No uniquely dated deadline derivable from this clause; cadence or trigger is preserved.
i) Fase 1 - até 19 de junho de 2024, sem prejuízo do disposto na alínea d) do n.º 2;: 2024-06-19 — Explicit calendar date in the act.
ii) Fase 2 - até 24 de janeiro de 2025;: 2025-01-24 — Explicit calendar date in the act.
7 - As entidades referidas no n.º 4 indicam à DGEG - Direção-Geral de Energia e Geologia os seus rep: date not derivable — No uniquely dated deadline derivable from this clause; cadence or trigger is preserved.
a) Até ao final do dia seguinte ao da assinatura do presente despacho as entidades referidas na alín: 2024-06-18 — Day after latest signature 2024-06-17; calendar day specified.
b) Até 5 dias úteis após o da assinatura do presente despacho as entidades referidas na alínea b) do: 2024-06-24 — 2024-06-17 + 5 working days; anchor excluded, weekends and national statutory holidays excluded.
Final report / last specified substantive output: 2025-05-21 — Fixed date / explicit year-end in creating act.</v>
      </c>
      <c r="S10" s="20" t="d">
        <v>2025-05-21T00:00:00.000Z</v>
      </c>
      <c r="T10" s="20" t="d">
        <v>2025-05-21T00:00:00.000Z</v>
      </c>
      <c r="U10" s="3" t="str">
        <v>Fixed date / explicit year-end in creating act.</v>
      </c>
      <c r="V10" s="20"/>
      <c r="W10" s="21" t="str">
        <f>IF(AND(C10="Em atraso",ISNUMBER(V10)),MAX(0,Dashboard!$E$4-V10),"")</f>
      </c>
      <c r="X10" s="3" t="str">
        <v>Unpaid; see the original clause for the scope of the exclusion.</v>
      </c>
      <c r="Y10" s="3" t="str">
        <v>10 - Aos membros do GT-RED III e às pessoas que com ele colaboram não é devido o pagamento de qualquer remuneração ou abono pelo trabalho desenvolvido.</v>
      </c>
      <c r="Z10" s="3" t="str">
        <v>Controlling benchmark has passed; no evidence of this output’s delivery identified in the reviewed acts and focused official-source outcome search.</v>
      </c>
      <c r="AA10" s="3" t="str">
        <v>https://diariodarepublica.pt/dr/detalhe/despacho/6757-a-2024-868812119</v>
      </c>
      <c r="AB10" s="22" t="str">
        <v>Open evidence</v>
      </c>
      <c r="AC10" s="20"/>
      <c r="AD10" s="3" t="str">
        <v>No delivery evidence identified.</v>
      </c>
      <c r="AE10" s="3" t="str">
        <v>Not independently verified.</v>
      </c>
      <c r="AF10" s="3" t="str"/>
      <c r="AG10" s="3" t="str"/>
      <c r="AH10" s="3" t="str"/>
      <c r="AI10" s="3" t="str">
        <v>DR full-period singular/plural/technical phrase inventories; later acts reviewed. Outcome search: "grupo de trabalho" RED III energias renováveis relatório conclusões after:2024-04-01 before:2026-10-11. Domains: portugal.gov.pt, gov.pt, parlamento.pt, diariodarepublica.pt, justica.gov.pt, dgav.pt, icnf.pt, anac.pt, dgeg.gov.pt. Official evidence/limitations recorded in this row.</v>
      </c>
      <c r="AJ10" s="20" t="d">
        <v>2026-10-10T00:00:00.000Z</v>
      </c>
      <c r="AK10" s="3" t="str">
        <v>2024-06-17</v>
      </c>
      <c r="AL10" s="3" t="str">
        <v>Explicit retrospective or future date.</v>
      </c>
      <c r="AM10" s="3" t="str">
        <v>Express name / creating-act summary; descriptive source label where no formal name is assigned.</v>
      </c>
      <c r="AN10" s="3" t="str">
        <v>Presidency / Council of Ministers; Infrastructure / Housing; Economy; Environment / Energy; Territorial cohesion</v>
      </c>
      <c r="AO10" s="3" t="str">
        <v>Final report / last specified substantive output</v>
      </c>
      <c r="AP10" s="3" t="str">
        <v>Calendar monitoring benchmark; absence of public evidence is not proof of non-delivery.</v>
      </c>
      <c r="AQ10" s="21" t="n">
        <f>IF(AND(C10="Em atraso",ISNUMBER(D10)),COUNTIFS(Groups!$C$6:$C$127,"Em atraso",Groups!$D$6:$D$127,"&gt;"&amp;D10)+COUNTIFS($C$6:C10,"Em atraso",$D$6:D10,D10),"")</f>
        <v>16</v>
      </c>
      <c r="AR10" s="21" t="n">
        <f>IF(COUNTIF($F$6:F10,F10)=1,1,0)</f>
        <v>1</v>
      </c>
    </row>
    <row r="11" ht="96" customHeight="1">
      <c r="A11" s="3" t="str">
        <v>GT-2024-006</v>
      </c>
      <c r="B11" s="3" t="str">
        <v>grupo de trabalho para a definição de uma fórmula de financiamento para cada resposta social</v>
      </c>
      <c r="C11" s="3" t="str">
        <v>Sem informação pública</v>
      </c>
      <c r="D11" s="21" t="str">
        <f>IF(C11="Em atraso",IF(ISNUMBER(T11),MAX(0,Dashboard!$E$4-T11),""),IF(C11="Concluído com atraso",IF(AND(ISNUMBER(T11),ISNUMBER(AC11)),MAX(0,AC11-T11),""),IF(C11="Concluído no prazo",0,"")))</f>
      </c>
      <c r="E11" s="3" t="str">
        <v>XXIV</v>
      </c>
      <c r="F11" s="3" t="str">
        <v>Despacho n.º 7321/2024</v>
      </c>
      <c r="G11" s="22" t="str">
        <v>Open DR act</v>
      </c>
      <c r="H11" s="20" t="d">
        <v>2024-07-05T00:00:00.000Z</v>
      </c>
      <c r="I11" s="20" t="d">
        <v>2024-06-07T00:00:00.000Z</v>
      </c>
      <c r="J11" s="20" t="d">
        <v>2024-07-05T00:00:00.000Z</v>
      </c>
      <c r="K11" s="3" t="str">
        <v>Trabalho, Solidariedade e Segurança Social - Gabinete da Secretária de Estado da Ação Social e da Inclusão</v>
      </c>
      <c r="L11" s="3" t="str">
        <v>4 - Os representantes designados no número anterior escolherão na primeira reunião, entre si, o coordenador, bem como o relator das conclusões que venham a sair do estudo a elaborar.</v>
      </c>
      <c r="M11" s="3" t="str">
        <v>3 - O grupo de trabalho é constituído por:
a) Um representante da Secretaria de Estado da Ação Social e da Inclusão;
b) Um representante da União das Misericórdias Portuguesas;
c) Um representante da Confederação Nacional das Instituições de Solidariedade;
d) Um representante da União das Mutualidades Portuguesas;
e) Um representante da Confederação Cooperativa Portuguesa, C. C. R. L. (CONFECOOP).</v>
      </c>
      <c r="N11" s="3" t="str">
        <v>Social protection</v>
      </c>
      <c r="O11" s="3" t="str">
        <v>Design a funding formula for social-care services that reflects costs, family contributions and annual changes.</v>
      </c>
      <c r="P11" s="3" t="str">
        <v>1 - É criado um grupo de trabalho com o objetivo de definir a fórmula de financiamento para cada resposta social, que traduza, em função da respetiva estrutura de custos e da evolução das contribuições familiares, os critérios de apuramento dos montantes a transferir anualmente pelo Estado considerando fatores de atualização para financiamento dos seguintes encargos:
i) Despesas com pessoal, levando em consideração o impacto da evolução do salário mínimo nessa componente;
ii) Restante despesa corrente primária.</v>
      </c>
      <c r="Q11" s="3" t="str">
        <v>1 - É criado um grupo de trabalho com o objetivo de definir a fórmula de financiamento para cada resposta social, que traduza, em função da respetiva estrutura de custos e da evolução das contribuições familiares, os critérios de apuramento dos montantes a transferir anualmente pelo Estado considerando fatores de atualização para financiamento dos seguintes encargos:
i) Despesas com pessoal, levando em consideração o impacto da evolução do salário mínimo nessa componente;
ii) Restante despesa corrente primária.</v>
      </c>
      <c r="R11" s="3" t="str">
        <v>1 - É criado um grupo de trabalho com o objetivo de definir a fórmula de financiamento para cada res: date not derivable — No uniquely dated deadline derivable from this clause; cadence or trigger is preserved.
2 - O grupo de trabalho deve apresentar o previsto no número anterior até ao final do mês de julho d: 2024-07-31 — Explicit month-end: 2024-07-31.
4 - Os representantes designados no número anterior escolherão na primeira reunião, entre si, o coor: date not derivable — No uniquely dated deadline derivable from this clause; cadence or trigger is preserved.
8 - Os representantes das entidades referidas no n.º 2 são designados, no prazo máximo de 10 dias, a: 2024-07-15 — 2024-07-05 + 10 calendar days (monitoring convention). If CPA procedural counting applies: 2024-07-19.</v>
      </c>
      <c r="S11" s="20"/>
      <c r="T11" s="20"/>
      <c r="U11" s="3" t="str"/>
      <c r="V11" s="20"/>
      <c r="W11" s="21" t="str">
        <f>IF(AND(C11="Em atraso",ISNUMBER(V11)),MAX(0,Dashboard!$E$4-V11),"")</f>
      </c>
      <c r="X11" s="3" t="str">
        <v>Unpaid; see the original clause for the scope of the exclusion.</v>
      </c>
      <c r="Y11" s="3" t="str">
        <v>7 - A atividade dos representantes que integram o grupo de trabalho, bem como das entidades convidadas a participar, nos termos do n.º 3, não confere àqueles o direito ao pagamento de qualquer remuneração ou abono, nem à assunção de qualquer encargo adicional.</v>
      </c>
      <c r="Z11" s="3" t="str">
        <v>Delivery is officially confirmed, but the handover date is not public; timeliness cannot be classified.</v>
      </c>
      <c r="AA11" s="3" t="str">
        <v>https://diariodarepublica.pt/dr/detalhe/despacho/7321-2024-871047338
https://portugal.gov.pt/api/media/edge/Project/Portal-do-Governo/Portal-do-Governo/gc21/Files/Documentos/adenda-para-o-compromisso-2025-2026/adenda-ao-compromisso-de-cooperacao-para-2025-2026.pdf</v>
      </c>
      <c r="AB11" s="22" t="str">
        <v>Open evidence</v>
      </c>
      <c r="AC11" s="20"/>
      <c r="AD11" s="3" t="str">
        <v>Official cooperation addendum attributes the revised funding model to the group’s work; no report handover date or fixed final-report deadline identified.</v>
      </c>
      <c r="AE11" s="3" t="str">
        <v>Revised social-care funding model provided for 2026 in the cooperation addendum.</v>
      </c>
      <c r="AF11" s="3" t="str">
        <v>https://portugal.gov.pt/api/media/edge/Project/Portal-do-Governo/Portal-do-Governo/gc21/Files/Documentos/adenda-para-o-compromisso-2025-2026/adenda-ao-compromisso-de-cooperacao-para-2025-2026.pdf</v>
      </c>
      <c r="AG11" s="3" t="str"/>
      <c r="AH11" s="3" t="str"/>
      <c r="AI11" s="3" t="str">
        <v>DR full-period singular/plural/technical phrase inventories; later acts reviewed. Outcome search: "grupo de trabalho" fórmula financiamento respostas sociais relatório conclusões after:2024-04-01 before:2026-10-11. Domains: portugal.gov.pt, gov.pt, parlamento.pt, diariodarepublica.pt, justica.gov.pt, dgav.pt, icnf.pt, anac.pt, dgeg.gov.pt. Official evidence/limitations recorded in this row.</v>
      </c>
      <c r="AJ11" s="20" t="d">
        <v>2026-10-10T00:00:00.000Z</v>
      </c>
      <c r="AK11" s="3" t="str">
        <v>2024-06-07</v>
      </c>
      <c r="AL11" s="3" t="str">
        <v>Publication date.</v>
      </c>
      <c r="AM11" s="3" t="str">
        <v>Express name / creating-act summary; descriptive source label where no formal name is assigned.</v>
      </c>
      <c r="AN11" s="3" t="str">
        <v>Labour / Social security</v>
      </c>
      <c r="AO11" s="3" t="str">
        <v>No dated final output / unknown trigger</v>
      </c>
      <c r="AP11" s="3" t="str"/>
      <c r="AQ11" s="21" t="str">
        <f>IF(AND(C11="Em atraso",ISNUMBER(D11)),COUNTIFS(Groups!$C$6:$C$127,"Em atraso",Groups!$D$6:$D$127,"&gt;"&amp;D11)+COUNTIFS($C$6:C11,"Em atraso",$D$6:D11,D11),"")</f>
      </c>
      <c r="AR11" s="21" t="n">
        <f>IF(COUNTIF($F$6:F11,F11)=1,1,0)</f>
        <v>1</v>
      </c>
    </row>
    <row r="12" ht="96" customHeight="1">
      <c r="A12" s="3" t="str">
        <v>GT-2024-007</v>
      </c>
      <c r="B12" s="3" t="str">
        <v>grupo de trabalho que visa o estudo, a análise e a revisão do modelo do subsídio social de mobilidade</v>
      </c>
      <c r="C12" s="3" t="str">
        <v>Sem informação pública</v>
      </c>
      <c r="D12" s="21" t="str">
        <f>IF(C12="Em atraso",IF(ISNUMBER(T12),MAX(0,Dashboard!$E$4-T12),""),IF(C12="Concluído com atraso",IF(AND(ISNUMBER(T12),ISNUMBER(AC12)),MAX(0,AC12-T12),""),IF(C12="Concluído no prazo",0,"")))</f>
      </c>
      <c r="E12" s="3" t="str">
        <v>XXIV</v>
      </c>
      <c r="F12" s="3" t="str">
        <v>Despacho n.º 7613/2024</v>
      </c>
      <c r="G12" s="22" t="str">
        <v>Open DR act</v>
      </c>
      <c r="H12" s="20" t="d">
        <v>2024-07-12T00:00:00.000Z</v>
      </c>
      <c r="I12" s="20" t="d">
        <v>2024-06-05T00:00:00.000Z</v>
      </c>
      <c r="J12" s="20"/>
      <c r="K12" s="3" t="str">
        <v>Finanças e Infraestruturas e Habitação - Gabinete do Ministro de Estado e das Finanças e Gabinete do Ministro das Infraestruturas e Habitação</v>
      </c>
      <c r="L12" s="3" t="str">
        <v>3 - O grupo de trabalho é presidido por um representante da Autoridade Nacional de Aviação Civil (ANAC) e constituído pelos seguintes elementos, sob designação das respetivas entidades:</v>
      </c>
      <c r="M12" s="3" t="str">
        <v>3 - O grupo de trabalho é presidido por um representante da Autoridade Nacional de Aviação Civil (ANAC) e constituído pelos seguintes elementos, sob designação das respetivas entidades:
i) Um representante do Ministério das Finanças;
ii) Um representante do Ministério das Infraestruturas e Habitação;
iii) Um representante da Região Autónoma dos Açores;
iv) Um representante da Região Autónoma da Madeira;
v) Um representante da ANAC;
vi) Um representante da Inspeção-Geral de Finanças (IGF); e
vii) Um representante da Direção-Geral do Tesouro e Finanças (DGTF).</v>
      </c>
      <c r="N12" s="3" t="str">
        <v>Transport</v>
      </c>
      <c r="O12" s="3" t="str">
        <v>Review the air-travel mobility subsidy for residents of the Azores and Madeira and recommend a fairer model.</v>
      </c>
      <c r="P12" s="3" t="str">
        <v>1 - É criado um grupo de trabalho que visa o estudo, a análise e a revisão do modelo do subsídio social de mobilidade, garantindo a manutenção dos princípios que levaram à criação do mesmo, salvaguardando os direitos dos residentes nos Açores e na Madeira, patentes no Decreto-Lei n.º 41/2015, de 24 de março, e no Decreto-Lei n.º 134/2015, de 24 de julho.</v>
      </c>
      <c r="Q12" s="3" t="str">
        <v>1 - É criado um grupo de trabalho que visa o estudo, a análise e a revisão do modelo do subsídio social de mobilidade, garantindo a manutenção dos princípios que levaram à criação do mesmo, salvaguardando os direitos dos residentes nos Açores e na Madeira, patentes no Decreto-Lei n.º 41/2015, de 24 de março, e no Decreto-Lei n.º 134/2015, de 24 de julho.</v>
      </c>
      <c r="R12" s="3" t="str">
        <v>6 - O grupo de trabalho deve concluir os seus trabalhos até 15 de setembro de 2024 com a entrega ao : 2024-09-15 — Explicit calendar date in the act.
Extension acknowledged in public report: 2024-09-30 — Final report §1.5; formal published act not retrieved.</v>
      </c>
      <c r="S12" s="20" t="d">
        <v>2024-09-15T00:00:00.000Z</v>
      </c>
      <c r="T12" s="20" t="d">
        <v>2024-09-30T00:00:00.000Z</v>
      </c>
      <c r="U12" s="3" t="str">
        <v>Final report expressly records extension to 30 September 2024.</v>
      </c>
      <c r="V12" s="20"/>
      <c r="W12" s="21" t="str">
        <f>IF(AND(C12="Em atraso",ISNUMBER(V12)),MAX(0,Dashboard!$E$4-V12),"")</f>
      </c>
      <c r="X12" s="3" t="str">
        <v>Not specified in the creating act.</v>
      </c>
      <c r="Y12" s="3" t="str">
        <v>Not specified in act.</v>
      </c>
      <c r="Z12" s="3" t="str">
        <v>Delivery is officially confirmed, but the handover date is not public; timeliness cannot be classified.</v>
      </c>
      <c r="AA12" s="3" t="str">
        <v>https://diariodarepublica.pt/dr/detalhe/despacho/7613-2024-871760310
https://portugal.gov.pt/api/media/edge/Project/Portal-do-Governo/Portal-do-Governo/gc24/Files/Documentos/relatorio-final-de-mobilidade/relatorio_final_do_grupo_de_trabalho_para_estudo_analise_e_revisao_do_modelo_do_subsidio_social_de_mobilidade.pdf</v>
      </c>
      <c r="AB12" s="22" t="str">
        <v>Open evidence</v>
      </c>
      <c r="AC12" s="20"/>
      <c r="AD12" s="3" t="str">
        <v>Final report is public and dated September 2024; it records extension from 15 to 30 September 2024. Government confirmed a report existed on 26 September, but actual handover date is not stated.</v>
      </c>
      <c r="AE12" s="3" t="str">
        <v>New mobility-subsidy regime subsequently approved; changes effective in January 2026.</v>
      </c>
      <c r="AF12" s="3" t="str">
        <v>https://portugal.gov.pt/gc25/comunicacao/noticias/subsidio-social-de-mobilidade-mais-justo-e-rapido-novas-regras-a-15-de-janeiro</v>
      </c>
      <c r="AG12" s="3" t="str">
        <v>Extension acknowledged in the final report; published extending despacho not retrieved. https://portugal.gov.pt/api/media/edge/Project/Portal-do-Governo/Portal-do-Governo/gc24/Files/Documentos/relatorio-final-de-mobilidade/relatorio_final_do_grupo_de_trabalho_para_estudo_analise_e_revisao_do_modelo_do_subsidio_social_de_mobilidade.pdf</v>
      </c>
      <c r="AH12" s="3" t="str"/>
      <c r="AI12" s="3" t="str">
        <v>DR full-period singular/plural/technical phrase inventories; later acts reviewed. Outcome search: "grupo de trabalho" subsídio social mobilidade relatório final relatório conclusões after:2024-04-01 before:2026-10-11. Domains: portugal.gov.pt, gov.pt, parlamento.pt, diariodarepublica.pt, justica.gov.pt, dgav.pt, icnf.pt, anac.pt, dgeg.gov.pt. Official evidence/limitations recorded in this row.</v>
      </c>
      <c r="AJ12" s="20" t="d">
        <v>2026-10-10T00:00:00.000Z</v>
      </c>
      <c r="AK12" s="3" t="str">
        <v>2024-05-31; 2024-06-05</v>
      </c>
      <c r="AL12" s="3" t="str">
        <v>Not specified in act; no statutory default inferred.</v>
      </c>
      <c r="AM12" s="3" t="str">
        <v>Express name / creating-act summary; descriptive source label where no formal name is assigned.</v>
      </c>
      <c r="AN12" s="3" t="str">
        <v>Finance; Infrastructure / Housing</v>
      </c>
      <c r="AO12" s="3" t="str">
        <v>No dated final output / unknown trigger</v>
      </c>
      <c r="AP12" s="3" t="str"/>
      <c r="AQ12" s="21" t="str">
        <f>IF(AND(C12="Em atraso",ISNUMBER(D12)),COUNTIFS(Groups!$C$6:$C$127,"Em atraso",Groups!$D$6:$D$127,"&gt;"&amp;D12)+COUNTIFS($C$6:C12,"Em atraso",$D$6:D12,D12),"")</f>
      </c>
      <c r="AR12" s="21" t="n">
        <f>IF(COUNTIF($F$6:F12,F12)=1,1,0)</f>
        <v>1</v>
      </c>
    </row>
    <row r="13" ht="96" customHeight="1">
      <c r="A13" s="3" t="str">
        <v>GT-2024-008</v>
      </c>
      <c r="B13" s="3" t="str">
        <v>Grupo de Trabalho "Água que Une"</v>
      </c>
      <c r="C13" s="3" t="str">
        <v>Sem informação pública</v>
      </c>
      <c r="D13" s="21" t="str">
        <f>IF(C13="Em atraso",IF(ISNUMBER(T13),MAX(0,Dashboard!$E$4-T13),""),IF(C13="Concluído com atraso",IF(AND(ISNUMBER(T13),ISNUMBER(AC13)),MAX(0,AC13-T13),""),IF(C13="Concluído no prazo",0,"")))</f>
      </c>
      <c r="E13" s="3" t="str">
        <v>XXIV</v>
      </c>
      <c r="F13" s="3" t="str">
        <v>Despacho n.º 7821/2024</v>
      </c>
      <c r="G13" s="22" t="str">
        <v>Open DR act</v>
      </c>
      <c r="H13" s="20" t="d">
        <v>2024-07-16T00:00:00.000Z</v>
      </c>
      <c r="I13" s="20" t="d">
        <v>2024-06-22T00:00:00.000Z</v>
      </c>
      <c r="J13" s="20" t="d">
        <v>2024-06-22T00:00:00.000Z</v>
      </c>
      <c r="K13" s="3" t="str">
        <v>Ambiente e Energia e Agricultura e Pescas - Gabinete da Ministra do Ambiente e Energia e Gabinete do Ministro da Agricultura e Pescas</v>
      </c>
      <c r="L13" s="3" t="str">
        <v>a) O Presidente do conselho de administração da AdP - Águas de Portugal, SGPS, S. A., Prof. Doutor António Pedro de Nobre Carmona Rodrigues, que coordena o Grupo de Trabalho;</v>
      </c>
      <c r="M13" s="3" t="str">
        <v>5 - O Grupo de Trabalho "Água que Une" é composto por:
a) O Presidente do conselho de administração da AdP - Águas de Portugal, SGPS, S. A., Prof. Doutor António Pedro de Nobre Carmona Rodrigues, que coordena o Grupo de Trabalho;
b) O membro do conselho diretivo da APA - Agência Portuguesa do Ambiente, I. P., responsável pelos recursos hídricos;
c) O diretor-geral da DGADR - Direção-Geral de Agricultura e Desenvolvimento Rural;
d) O presidente do conselho de administração da EDIA - Empresa de Desenvolvimento e Infraestruturas do Alqueva, S. A.</v>
      </c>
      <c r="N13" s="3" t="str">
        <v>Environment / Water</v>
      </c>
      <c r="O13" s="3" t="str">
        <v>Develop an integrated national water-management strategy, including drinking-water security and agricultural storage and distribution.</v>
      </c>
      <c r="P13" s="3" t="str">
        <v>1 - É criado o Grupo de Trabalho "Água que Une".</v>
      </c>
      <c r="Q13" s="3" t="str">
        <v>2 - O Grupo de Trabalho referido no número anterior tem como objetivo elaborar uma estratégia de desenvolvimento de um quadro de planeamento da água que articule todos os instrumentos de gestão em vigor, que promova a sustentabilidade das massas de água, a garantia do abastecimento de água, salvaguardando o bem-estar da população e a viabilidade dos setores económicos, orientada pelo seguinte quadro sequencial de prioridades:
a) Aumento da eficiência hídrica e promoção do uso racional da água;
b) Redução das perdas de água nos sistemas de abastecimento publico, agrícola, turística, industrial;
c) Promoção da utilização de água residual tratada;
d) Otimização da exploração das infraestruturas existentes, através da promoção da multifuncionalidade do seu uso e do reforço da resiliência e redundância dos sistemas hidráulicos;
e) Aumento da capacidade de armazenamento das infraestruturas existentes;
f) Criação de novas infraestruturas e origens de água, onde se incluem infraestruturas de armazenamento, regularização e captação de água, unidades de dessalinização e, em último recurso, a interligação entre bacias hidrográficas.
10 - No término do seu mandato, o Grupo de Trabalho "Água que Une" apresenta aos membros do Governo responsáveis pelas áreas do ambiente e da agricultura um relatório sobre os resultados dos trabalhos desenvolvidos, de acordo com os objetivos indicados nos n.os 2 a 4.</v>
      </c>
      <c r="R13" s="3" t="str">
        <v>9 - O Grupo de Trabalho "Água que Une" tem natureza temporária, com a duração de 180 dias, a contar : 2024-12-19 — 2024-06-22 + 180 calendar days (monitoring convention). If CPA procedural counting applies: 2025-03-06.
180-day group duration / strategy: 2024-12-19 — 2024-06-22 + 180 calendar days; duration of the body, rather than a procedural response period.</v>
      </c>
      <c r="S13" s="20" t="d">
        <v>2024-12-19T00:00:00.000Z</v>
      </c>
      <c r="T13" s="20" t="d">
        <v>2024-12-19T00:00:00.000Z</v>
      </c>
      <c r="U13" s="3" t="str">
        <v>2024-06-22 + 180 calendar days; duration of the body, rather than a procedural response period.</v>
      </c>
      <c r="V13" s="20"/>
      <c r="W13" s="21" t="str">
        <f>IF(AND(C13="Em atraso",ISNUMBER(V13)),MAX(0,Dashboard!$E$4-V13),"")</f>
      </c>
      <c r="X13" s="3" t="str">
        <v>Unpaid; see the original clause for the scope of the exclusion.</v>
      </c>
      <c r="Y13" s="3" t="str">
        <v>7 - Aos membros do Grupo de Trabalho "Água que Une" e às entidades que com ele colaboram não é devido o pagamento de qualquer remuneração ou abono pelo trabalho desenvolvido.</v>
      </c>
      <c r="Z13" s="3" t="str">
        <v>Delivery is officially confirmed, but the handover date is not public; timeliness cannot be classified.</v>
      </c>
      <c r="AA13" s="3" t="str">
        <v>https://diariodarepublica.pt/dr/detalhe/despacho/7821-2024-872108077
https://portugal.gov.pt/gc24/comunicacao/noticias/governo-lanca-estrategia-a-15-anos-para-garantir-resiliencia-hidrica</v>
      </c>
      <c r="AB13" s="22" t="str">
        <v>Open evidence</v>
      </c>
      <c r="AC13" s="20"/>
      <c r="AD13" s="3" t="str">
        <v>Government publicly presented the group’s conclusions on 9 March 2025; this does not establish the earlier internal handover date.</v>
      </c>
      <c r="AE13" s="3" t="str">
        <v>Água que Une strategy approved by RCM 133/2026, published 24 June 2026.</v>
      </c>
      <c r="AF13" s="3" t="str">
        <v>https://diariodarepublica.pt/dr/detalhe/resolucao-conselho-ministros/133-2026-1138160260</v>
      </c>
      <c r="AG13" s="3" t="str"/>
      <c r="AH13" s="3" t="str"/>
      <c r="AI13" s="3" t="str">
        <v>DR full-period singular/plural/technical phrase inventories; later acts reviewed. Outcome search: "grupo de trabalho" Água que Une relatório conclusões after:2024-04-01 before:2026-10-11. Domains: portugal.gov.pt, gov.pt, parlamento.pt, diariodarepublica.pt, justica.gov.pt, dgav.pt, icnf.pt, anac.pt, dgeg.gov.pt. Official evidence/limitations recorded in this row.</v>
      </c>
      <c r="AJ13" s="20" t="d">
        <v>2026-10-10T00:00:00.000Z</v>
      </c>
      <c r="AK13" s="3" t="str">
        <v>2024-06-21; 2024-06-22</v>
      </c>
      <c r="AL13" s="3" t="str">
        <v>Latest signature used where multiple signatures occur.</v>
      </c>
      <c r="AM13" s="3" t="str">
        <v>Express name / creating-act summary; descriptive source label where no formal name is assigned.</v>
      </c>
      <c r="AN13" s="3" t="str">
        <v>Environment / Energy; Agriculture / Fisheries / Sea</v>
      </c>
      <c r="AO13" s="3" t="str">
        <v>180-day group duration / strategy</v>
      </c>
      <c r="AP13" s="3" t="str"/>
      <c r="AQ13" s="21" t="str">
        <f>IF(AND(C13="Em atraso",ISNUMBER(D13)),COUNTIFS(Groups!$C$6:$C$127,"Em atraso",Groups!$D$6:$D$127,"&gt;"&amp;D13)+COUNTIFS($C$6:C13,"Em atraso",$D$6:D13,D13),"")</f>
      </c>
      <c r="AR13" s="21" t="n">
        <f>IF(COUNTIF($F$6:F13,F13)=1,1,0)</f>
        <v>1</v>
      </c>
    </row>
    <row r="14" ht="96" customHeight="1">
      <c r="A14" s="3" t="str">
        <v>GT-2024-009</v>
      </c>
      <c r="B14" s="3" t="str">
        <v>Grupo de Trabalho para a transposição da Diretiva (UE) 2024/1275 do Parlamento Europeu e do Conselho, de 24 de abril de 2024, para o ordenamento jurídico português (doravante, GT-EPBD)</v>
      </c>
      <c r="C14" s="3" t="str">
        <v>Em atraso</v>
      </c>
      <c r="D14" s="21" t="n">
        <f>IF(C14="Em atraso",IF(ISNUMBER(T14),MAX(0,Dashboard!$E$4-T14),""),IF(C14="Concluído com atraso",IF(AND(ISNUMBER(T14),ISNUMBER(AC14)),MAX(0,AC14-T14),""),IF(C14="Concluído no prazo",0,"")))</f>
        <v>252</v>
      </c>
      <c r="E14" s="3" t="str">
        <v>XXIV</v>
      </c>
      <c r="F14" s="3" t="str">
        <v>Despacho n.º 8023/2024</v>
      </c>
      <c r="G14" s="22" t="str">
        <v>Open DR act</v>
      </c>
      <c r="H14" s="20" t="d">
        <v>2024-07-19T00:00:00.000Z</v>
      </c>
      <c r="I14" s="20" t="d">
        <v>2024-06-27T00:00:00.000Z</v>
      </c>
      <c r="J14" s="20" t="d">
        <v>2024-06-27T00:00:00.000Z</v>
      </c>
      <c r="K14" s="3" t="str">
        <v>Infraestruturas e Habitação e Ambiente e Energia - Gabinete do Ministro das Infraestruturas e Habitação e Gabinete da Ministra do Ambiente e Energia</v>
      </c>
      <c r="L14" s="3" t="str">
        <v>b) Dois representantes da DGEG - Direção-Geral de Energia e Geologia, que coordena a fase 2;
c) Dois representantes da ADENE - Agência para a Energia, que coordena a fase 1;</v>
      </c>
      <c r="M14" s="3" t="str">
        <v>5 - O GT-EPBD é composto por:
a) Um representante do Gabinete da Secretária de Estado da Energia;
b) Dois representantes da DGEG - Direção-Geral de Energia e Geologia, que coordena a fase 2;
c) Dois representantes da ADENE - Agência para a Energia, que coordena a fase 1;
d) Dois representantes da APA - Agência para o Ambiente, I. P.;
e) Um representante do Instituto da Habitação e da Reabilitação Urbana, I. P.;
f) Um representante do LNEC - Laboratório Nacional de Engenharia Civil, I. P.;
g) Um representante do IMT - Instituto da Mobilidade e dos Transportes, I. P.</v>
      </c>
      <c r="N14" s="3" t="str">
        <v>Energy / Buildings</v>
      </c>
      <c r="O14" s="3" t="str">
        <v>Prepare Portugal’s transposition of the EU Energy Performance of Buildings Directive, including consultation and updated legislative proposals.</v>
      </c>
      <c r="P14" s="3" t="str">
        <v>1 - É criado o Grupo de Trabalho para a transposição da Diretiva (UE) 2024/1275 do Parlamento Europeu e do Conselho, de 24 de abril de 2024, para o ordenamento jurídico português (doravante, GT-EPBD).</v>
      </c>
      <c r="Q14" s="3" t="str">
        <v>2 - O GT-EPBD tem os seguintes objetivos:
a) Promover uma sessão pública de diálogo e reflexão com as principais associações do setor e demais entidades consideradas relevantes na fase inicial dos trabalhos;
b) Identificar as áreas temáticas para transposição;
c) Preparar e apresentar propostas técnicas para a transposição, em articulação com as entidades públicas e privadas com competências nas matérias envolvidas;
d) Apresentar as propostas de alteração ao atual Decreto-Lei n.º 101-D/2020, de 7 de dezembro, e demais diplomas, tendo por base as propostas a que se refere a alínea anterior;
e) Apoiar o procedimento de consulta pública das propostas a que se refere a alínea anterior, designadamente através da análise das pronúncias submetidas e elaboração do respetivo relatório de consulta pública;
f) Atualizar as propostas previstas na alínea c) em conformidade com os resultados da consulta pública.
11 - O GT-EPBD tem natureza temporária, e cessa as suas funções com a conclusão do processo de transposição da EPBD para o ordenamento jurídico português.</v>
      </c>
      <c r="R14" s="3" t="str">
        <v>a) Relatório e documentação de suporte à consulta pública, a que se referem as alíneas a) a c) do n.: 2025-11-30 — Explicit calendar date in the act.
b) Relatório a que se refere a alínea d) do n.º 2, até 30 dias após a data de encerramento da consul: date not derivable — 30 dias after trigger: anchor not expressly specified; exact date cannot be verified.
c) Relatório relativo ao disposto na alínea e) e propostas atualizadas a que se refere a alínea f) d: 2026-01-31 — Explicit calendar date in the act.
6 - Os membros do GT-EPBD são designados no prazo máximo de cinco dias após a data de entrada em vig: 2024-07-02 — 2024-06-27 + 5 calendar days (monitoring convention). If CPA procedural counting applies: 2024-07-04.
Final report / last specified substantive output: 2026-01-31 — Fixed date / explicit year-end in creating act.</v>
      </c>
      <c r="S14" s="20" t="d">
        <v>2026-01-31T00:00:00.000Z</v>
      </c>
      <c r="T14" s="20" t="d">
        <v>2026-01-31T00:00:00.000Z</v>
      </c>
      <c r="U14" s="3" t="str">
        <v>Fixed date / explicit year-end in creating act.</v>
      </c>
      <c r="V14" s="20"/>
      <c r="W14" s="21" t="str">
        <f>IF(AND(C14="Em atraso",ISNUMBER(V14)),MAX(0,Dashboard!$E$4-V14),"")</f>
      </c>
      <c r="X14" s="3" t="str">
        <v>Unpaid; see the original clause for the scope of the exclusion.</v>
      </c>
      <c r="Y14" s="3" t="str">
        <v>9 - Aos membros do GT-EPBD e às pessoas que com ele colaboram não é devido o pagamento de qualquer remuneração ou abono pelo trabalho desenvolvido.</v>
      </c>
      <c r="Z14" s="3" t="str">
        <v>Controlling benchmark has passed; no evidence of this output’s delivery identified in the reviewed acts and focused official-source outcome search.</v>
      </c>
      <c r="AA14" s="3" t="str">
        <v>https://diariodarepublica.pt/dr/detalhe/despacho/8023-2024-872631226</v>
      </c>
      <c r="AB14" s="22" t="str">
        <v>Open evidence</v>
      </c>
      <c r="AC14" s="20"/>
      <c r="AD14" s="3" t="str">
        <v>No delivery evidence identified.</v>
      </c>
      <c r="AE14" s="3" t="str">
        <v>Not independently verified.</v>
      </c>
      <c r="AF14" s="3" t="str"/>
      <c r="AG14" s="3" t="str"/>
      <c r="AH14" s="3" t="str"/>
      <c r="AI14" s="3" t="str">
        <v>DR full-period singular/plural/technical phrase inventories; later acts reviewed. Outcome search: "grupo de trabalho" diretiva desempenho energético edifícios relatório conclusões after:2024-04-01 before:2026-10-11. Domains: portugal.gov.pt, gov.pt, parlamento.pt, diariodarepublica.pt, justica.gov.pt, dgav.pt, icnf.pt, anac.pt, dgeg.gov.pt. Official evidence/limitations recorded in this row.</v>
      </c>
      <c r="AJ14" s="20" t="d">
        <v>2026-10-10T00:00:00.000Z</v>
      </c>
      <c r="AK14" s="3" t="str">
        <v>2024-06-27</v>
      </c>
      <c r="AL14" s="3" t="str">
        <v>Latest signature used where multiple signatures occur.</v>
      </c>
      <c r="AM14" s="3" t="str">
        <v>Express name / creating-act summary; descriptive source label where no formal name is assigned.</v>
      </c>
      <c r="AN14" s="3" t="str">
        <v>Infrastructure / Housing; Environment / Energy</v>
      </c>
      <c r="AO14" s="3" t="str">
        <v>Final report / last specified substantive output</v>
      </c>
      <c r="AP14" s="3" t="str">
        <v>Calendar monitoring benchmark; absence of public evidence is not proof of non-delivery.</v>
      </c>
      <c r="AQ14" s="21" t="n">
        <f>IF(AND(C14="Em atraso",ISNUMBER(D14)),COUNTIFS(Groups!$C$6:$C$127,"Em atraso",Groups!$D$6:$D$127,"&gt;"&amp;D14)+COUNTIFS($C$6:C14,"Em atraso",$D$6:D14,D14),"")</f>
        <v>45</v>
      </c>
      <c r="AR14" s="21" t="n">
        <f>IF(COUNTIF($F$6:F14,F14)=1,1,0)</f>
        <v>1</v>
      </c>
    </row>
    <row r="15" ht="96" customHeight="1">
      <c r="A15" s="3" t="str">
        <v>GT-2024-010</v>
      </c>
      <c r="B15" s="3" t="str">
        <v>Grupo de Trabalho para as Comemorações dos 100 Anos do Nascimento de Carlos Paredes, doravante designado por Grupo de Trabalho, que funciona sob a dependência do membro do Governo responsável pela área da Cultura</v>
      </c>
      <c r="C15" s="3" t="str">
        <v>Sem informação pública</v>
      </c>
      <c r="D15" s="21" t="str">
        <f>IF(C15="Em atraso",IF(ISNUMBER(T15),MAX(0,Dashboard!$E$4-T15),""),IF(C15="Concluído com atraso",IF(AND(ISNUMBER(T15),ISNUMBER(AC15)),MAX(0,AC15-T15),""),IF(C15="Concluído no prazo",0,"")))</f>
      </c>
      <c r="E15" s="3" t="str">
        <v>XXIV</v>
      </c>
      <c r="F15" s="3" t="str">
        <v>Despacho n.º 8151/2024</v>
      </c>
      <c r="G15" s="22" t="str">
        <v>Open DR act</v>
      </c>
      <c r="H15" s="20" t="d">
        <v>2024-07-23T00:00:00.000Z</v>
      </c>
      <c r="I15" s="20" t="d">
        <v>2024-07-16T00:00:00.000Z</v>
      </c>
      <c r="J15" s="20" t="d">
        <v>2024-07-24T00:00:00.000Z</v>
      </c>
      <c r="K15" s="3" t="str">
        <v>Finanças e Cultura - Gabinete do Ministro de Estado e das Finanças e Gabinete da Ministra da Cultura</v>
      </c>
      <c r="L15" s="3" t="str">
        <v>a) Levi Baptista, que coordena o grupo de trabalho;</v>
      </c>
      <c r="M15" s="3" t="str">
        <v>4 - O Grupo de Trabalho tem a seguinte composição:
a) Três membros escolhidos de entre personalidades de reconhecido mérito cujo perfil seja considerado de relevância para a missão e as competências estabelecidas no presente despacho;
b) O coordenador da equipa de instalação do Arquivo Nacional do Som, designado pela Resolução do Conselho de Ministros n.º 36/2019, de 18 de fevereiro, na sua redação atual;
c) Um representante do membro do Governo responsável pela área da cultura.
9 - Para efeitos da alínea a) do n.º 4, são designados os seguintes membros:
a) Levi Baptista, que coordena o grupo de trabalho;
b) António Nunes;
c) Sara Pereira.</v>
      </c>
      <c r="N15" s="3" t="str">
        <v>Culture</v>
      </c>
      <c r="O15" s="3" t="str">
        <v>Prepare the official programme commemorating the centenary of musician Carlos Paredes.</v>
      </c>
      <c r="P15" s="3" t="str">
        <v>1 - É constituído o Grupo de Trabalho para as Comemorações dos 100 Anos do Nascimento de Carlos Paredes, doravante designado por Grupo de Trabalho, que funciona sob a dependência do membro do Governo responsável pela área da Cultura.</v>
      </c>
      <c r="Q15" s="3" t="str">
        <v>2 - O Grupo de Trabalho tem por missão preparar o programa oficial das comemorações.
5 - Os membros do grupo de trabalho não auferem qualquer remuneração, compensação ou abono pelo exercício destas funções.</v>
      </c>
      <c r="R15" s="3" t="str">
        <v>1 - É constituído o Grupo de Trabalho para as Comemorações dos 100 Anos do Nascimento de Carlos Pare: date not derivable — 100 anos after trigger: anchor not expressly specified; exact date cannot be verified.
3 - Para efeitos do disposto no número anterior, o Grupo de Trabalho apresenta, até ao final de sete: 2024-09-30 — Explicit month-end: 2024-09-30.</v>
      </c>
      <c r="S15" s="20"/>
      <c r="T15" s="20"/>
      <c r="U15" s="3" t="str"/>
      <c r="V15" s="20"/>
      <c r="W15" s="21" t="str">
        <f>IF(AND(C15="Em atraso",ISNUMBER(V15)),MAX(0,Dashboard!$E$4-V15),"")</f>
      </c>
      <c r="X15" s="3" t="str">
        <v>Unpaid; see the original clause for the scope of the exclusion.</v>
      </c>
      <c r="Y15" s="3" t="str">
        <v>5 - Os membros do grupo de trabalho não auferem qualquer remuneração, compensação ou abono pelo exercício destas funções.</v>
      </c>
      <c r="Z15" s="3" t="str">
        <v>No dated final-output deadline / public trigger date, and delivery cannot be verified.</v>
      </c>
      <c r="AA15" s="3" t="str">
        <v>https://diariodarepublica.pt/dr/detalhe/despacho/8151-2024-873009448</v>
      </c>
      <c r="AB15" s="22" t="str">
        <v>Open evidence</v>
      </c>
      <c r="AC15" s="20"/>
      <c r="AD15" s="3" t="str">
        <v>No delivery evidence identified.</v>
      </c>
      <c r="AE15" s="3" t="str">
        <v>Not independently verified.</v>
      </c>
      <c r="AF15" s="3" t="str"/>
      <c r="AG15" s="3" t="str"/>
      <c r="AH15" s="3" t="str"/>
      <c r="AI15" s="3" t="str">
        <v>DR full-period singular/plural/technical phrase inventories; later acts reviewed. Outcome search: "grupo de trabalho" centenário Carlos Paredes relatório conclusões after:2024-04-01 before:2026-10-11. Domains: portugal.gov.pt, gov.pt, parlamento.pt, diariodarepublica.pt, justica.gov.pt, dgav.pt, icnf.pt, anac.pt, dgeg.gov.pt. Official evidence/limitations recorded in this row.</v>
      </c>
      <c r="AJ15" s="20" t="d">
        <v>2026-10-10T00:00:00.000Z</v>
      </c>
      <c r="AK15" s="3" t="str">
        <v>2024-07-12; 2024-07-16</v>
      </c>
      <c r="AL15" s="3" t="str">
        <v>Day after publication.</v>
      </c>
      <c r="AM15" s="3" t="str">
        <v>Express name / creating-act summary; descriptive source label where no formal name is assigned.</v>
      </c>
      <c r="AN15" s="3" t="str">
        <v>Finance; Culture</v>
      </c>
      <c r="AO15" s="3" t="str">
        <v>No dated final output / unknown trigger</v>
      </c>
      <c r="AP15" s="3" t="str"/>
      <c r="AQ15" s="21" t="str">
        <f>IF(AND(C15="Em atraso",ISNUMBER(D15)),COUNTIFS(Groups!$C$6:$C$127,"Em atraso",Groups!$D$6:$D$127,"&gt;"&amp;D15)+COUNTIFS($C$6:C15,"Em atraso",$D$6:D15,D15),"")</f>
      </c>
      <c r="AR15" s="21" t="n">
        <f>IF(COUNTIF($F$6:F15,F15)=1,1,0)</f>
        <v>1</v>
      </c>
    </row>
    <row r="16" ht="96" customHeight="1">
      <c r="A16" s="3" t="str">
        <v>GT-2024-011</v>
      </c>
      <c r="B16" s="3" t="str">
        <v>grupo de trabalho para o estudo e a apresentação de propostas com vista à generalização do acesso à educação na infância</v>
      </c>
      <c r="C16" s="3" t="str">
        <v>Em atraso</v>
      </c>
      <c r="D16" s="21" t="n">
        <f>IF(C16="Em atraso",IF(ISNUMBER(T16),MAX(0,Dashboard!$E$4-T16),""),IF(C16="Concluído com atraso",IF(AND(ISNUMBER(T16),ISNUMBER(AC16)),MAX(0,AC16-T16),""),IF(C16="Concluído no prazo",0,"")))</f>
        <v>679</v>
      </c>
      <c r="E16" s="3" t="str">
        <v>XXIV</v>
      </c>
      <c r="F16" s="3" t="str">
        <v>Despacho n.º 8251/2024</v>
      </c>
      <c r="G16" s="22" t="str">
        <v>Open DR act</v>
      </c>
      <c r="H16" s="20" t="d">
        <v>2024-07-24T00:00:00.000Z</v>
      </c>
      <c r="I16" s="20" t="d">
        <v>2024-06-17T00:00:00.000Z</v>
      </c>
      <c r="J16" s="20" t="d">
        <v>2024-07-24T00:00:00.000Z</v>
      </c>
      <c r="K16" s="3" t="str">
        <v>Educação, Ciência e Inovação e Trabalho, Solidariedade e Segurança Social - Gabinete do Ministro da Educação, Ciência e Inovação e Gabinete da Ministra do Trabalho, Solidariedade e Segurança Social</v>
      </c>
      <c r="L16" s="3" t="str">
        <v>3 - O grupo de trabalho é coordenado pela mestre Maria Alexandra Castanheira Rufino Marques, cuja nota curricular é publicada em anexo ao presente despacho e que dele faz parte integrante.</v>
      </c>
      <c r="M16" s="3" t="str">
        <v>4 - Para além da coordenadora, o grupo de trabalho é constituído por:
a) Um representante do Gabinete do Secretário de Estado da Administração e Inovação Educativa;
b) Um representante do Gabinete da Secretária de Estado da Ação Social e da Inclusão;
c) Um representante da Direção-Geral dos Estabelecimentos Escolares;
d) Um representante da Direção-Geral da Educação;
e) Um representante da Inspeção-Geral da Educação e Ciência;
f) Um representante do Conselho das Escolas;
g) Um representante do Instituto da Segurança Social, I. P.;
h) Um representante da Garantia para a Infância;
i) Um representante do Sistema Nacional de Intervenção Precoce na Infância.</v>
      </c>
      <c r="N16" s="3" t="str">
        <v>Education / Childcare</v>
      </c>
      <c r="O16" s="3" t="str">
        <v>Assess the nursery and preschool network and propose an integrated strategy for children aged zero to six.</v>
      </c>
      <c r="P16" s="3" t="str">
        <v>1 - É criado um grupo de trabalho com a missão de:
a) Realizar o diagnóstico da rede existente de estabelecimentos de creche e de jardim de infância;
b) Apresentar um plano de ação que garanta a gratuitidade na educação pré-escolar, nomeadamente para as crianças abrangidas pelo Programa Creche Feliz, no ano letivo de 2024/2025;
c) Propor uma estratégia que assegure a continuidade na transição da creche para a educação pré-escolar e a qualidade pedagógica da resposta integrada para as crianças entre os 0 e os 6 anos de idade.</v>
      </c>
      <c r="Q16" s="3" t="str">
        <v>1 - É criado um grupo de trabalho com a missão de:
a) Realizar o diagnóstico da rede existente de estabelecimentos de creche e de jardim de infância;
b) Apresentar um plano de ação que garanta a gratuitidade na educação pré-escolar, nomeadamente para as crianças abrangidas pelo Programa Creche Feliz, no ano letivo de 2024/2025;
c) Propor uma estratégia que assegure a continuidade na transição da creche para a educação pré-escolar e a qualidade pedagógica da resposta integrada para as crianças entre os 0 e os 6 anos de idade.
5 - Na prossecução da sua missão, o grupo de trabalho deverá ouvir os parceiros sociais relevantes, designadamente:
a) A Confederação Nacional das Instituições de Solidariedade;
b) A União das Misericórdias Portuguesas;
c) A União das Mutualidades Portuguesas;
d) A Santa Casa da Misericórdia de Lisboa;
e) A Associação de Estabelecimentos de Ensino Particular e Cooperativo;
f) A Associação de Profissionais de Educação de Infância;
g) A Associação Nacional de Municípios Portugueses;
h) A Confederação Nacional das Associações de Pais;
i) A Confederação Nacional Independente de Pais e Encarregados de Educação;
j) A FENACERCI, Federação Nacional de Cooperativas de Solidariedade Social;
k) A Associação de Reflexão e Intervenção Educativa na Política das ESSE.
6 - O grupo de trabalho desenvolve um trabalho de base local, junto das autarquias e das instituições do setor solidário e cooperativo, podendo ainda proceder à consulta ou solicitar a participação e a audição de outras entidades, bem como de personalidades de reconhecido mérito, cujo contributo seja considerado relevante para a prossecução da sua missão.</v>
      </c>
      <c r="R16" s="3" t="str">
        <v>c) Propor uma estratégia que assegure a continuidade na transição da creche para a educação pré-esco: date not derivable — 6 anos after trigger: anchor not expressly specified; exact date cannot be verified.
2 - O grupo de trabalho deve apresentar o previsto nas alíneas a) e b) do número anterior até 28 de : 2024-11-30 — Explicit month-end: 2024-11-30.
Final report / last specified substantive output: 2024-11-30 — Fixed date / explicit year-end in creating act.</v>
      </c>
      <c r="S16" s="20" t="d">
        <v>2024-11-30T00:00:00.000Z</v>
      </c>
      <c r="T16" s="20" t="d">
        <v>2024-11-30T00:00:00.000Z</v>
      </c>
      <c r="U16" s="3" t="str">
        <v>Fixed date / explicit year-end in creating act.</v>
      </c>
      <c r="V16" s="20"/>
      <c r="W16" s="21" t="str">
        <f>IF(AND(C16="Em atraso",ISNUMBER(V16)),MAX(0,Dashboard!$E$4-V16),"")</f>
      </c>
      <c r="X16" s="3" t="str">
        <v>Not specified in the creating act.</v>
      </c>
      <c r="Y16" s="3" t="str">
        <v>Not specified in act.</v>
      </c>
      <c r="Z16" s="3" t="str">
        <v>Controlling benchmark has passed; no evidence of this output’s delivery identified in the reviewed acts and focused official-source outcome search.</v>
      </c>
      <c r="AA16" s="3" t="str">
        <v>https://diariodarepublica.pt/dr/detalhe/despacho/8251-2024-873180041</v>
      </c>
      <c r="AB16" s="22" t="str">
        <v>Open evidence</v>
      </c>
      <c r="AC16" s="20"/>
      <c r="AD16" s="3" t="str">
        <v>No delivery evidence identified.</v>
      </c>
      <c r="AE16" s="3" t="str">
        <v>Not independently verified.</v>
      </c>
      <c r="AF16" s="3" t="str"/>
      <c r="AG16" s="3" t="str"/>
      <c r="AH16" s="3" t="str">
        <v> Initial diagnosis due 28 June 2024, before publication on 24 July 2024; final strategy deadline is assessed separately.</v>
      </c>
      <c r="AI16" s="3" t="str">
        <v>DR full-period singular/plural/technical phrase inventories; later acts reviewed. Outcome search: "grupo de trabalho" creches pré-escolar 0 6 anos relatório conclusões after:2024-04-01 before:2026-10-11. Domains: portugal.gov.pt, gov.pt, parlamento.pt, diariodarepublica.pt, justica.gov.pt, dgav.pt, icnf.pt, anac.pt, dgeg.gov.pt. Official evidence/limitations recorded in this row.</v>
      </c>
      <c r="AJ16" s="20" t="d">
        <v>2026-10-10T00:00:00.000Z</v>
      </c>
      <c r="AK16" s="3" t="str">
        <v>2024-06-14; 2024-06-17</v>
      </c>
      <c r="AL16" s="3" t="str">
        <v>Publication date.</v>
      </c>
      <c r="AM16" s="3" t="str">
        <v>Express name / creating-act summary; descriptive source label where no formal name is assigned.</v>
      </c>
      <c r="AN16" s="3" t="str">
        <v>Education / Science; Labour / Social security</v>
      </c>
      <c r="AO16" s="3" t="str">
        <v>Final report / last specified substantive output</v>
      </c>
      <c r="AP16" s="3" t="str">
        <v>Calendar monitoring benchmark; absence of public evidence is not proof of non-delivery.</v>
      </c>
      <c r="AQ16" s="21" t="n">
        <f>IF(AND(C16="Em atraso",ISNUMBER(D16)),COUNTIFS(Groups!$C$6:$C$127,"Em atraso",Groups!$D$6:$D$127,"&gt;"&amp;D16)+COUNTIFS($C$6:C16,"Em atraso",$D$6:D16,D16),"")</f>
        <v>3</v>
      </c>
      <c r="AR16" s="21" t="n">
        <f>IF(COUNTIF($F$6:F16,F16)=1,1,0)</f>
        <v>1</v>
      </c>
    </row>
    <row r="17" ht="96" customHeight="1">
      <c r="A17" s="3" t="str">
        <v>GT-2024-012</v>
      </c>
      <c r="B17" s="3" t="str">
        <v>grupo de trabalho para seleção da representação oficial portuguesa na Bienal de Veneza 2025</v>
      </c>
      <c r="C17" s="3" t="str">
        <v>Sem informação pública</v>
      </c>
      <c r="D17" s="21" t="str">
        <f>IF(C17="Em atraso",IF(ISNUMBER(T17),MAX(0,Dashboard!$E$4-T17),""),IF(C17="Concluído com atraso",IF(AND(ISNUMBER(T17),ISNUMBER(AC17)),MAX(0,AC17-T17),""),IF(C17="Concluído no prazo",0,"")))</f>
      </c>
      <c r="E17" s="3" t="str">
        <v>XXIV</v>
      </c>
      <c r="F17" s="3" t="str">
        <v>Despacho n.º 8277/2024</v>
      </c>
      <c r="G17" s="22" t="str">
        <v>Open DR act</v>
      </c>
      <c r="H17" s="20" t="d">
        <v>2024-07-24T00:00:00.000Z</v>
      </c>
      <c r="I17" s="20" t="d">
        <v>2024-07-17T00:00:00.000Z</v>
      </c>
      <c r="J17" s="20"/>
      <c r="K17" s="3" t="str">
        <v>Cultura - Gabinete da Ministra da Cultura</v>
      </c>
      <c r="L17" s="3" t="str">
        <v>10 - A convocatória e coordenação das reuniões do grupo de trabalho são da competência da técnica especialista do meu Gabinete, Filipa Alfaro, devendo a Direção-Geral das Artes prestar apoio técnico e logístico à sua realização.</v>
      </c>
      <c r="M17" s="3" t="str">
        <v>5 - As candidaturas devem ser enviadas até 30 dias corridos a contar da data de publicação do presente despacho, para o endereço veneza.arquitetura@mc.gov.pt, contendo os seguintes elementos:
a) Uma proposta curatorial, até ao limite de 1000 palavras;
b) Um curriculum vitae abreviado do candidato ou equipa, até ao limite de 500 palavras;
c) Uma imagem representativa da proposta curatorial em página A4.
7 - A seleção das candidaturas é da competência do grupo de trabalho da área disciplinar da arquitetura, composto por:
a) Ana Jara;
b) Ana Vaz Milheiro;
c) Diogo Passarinho;
d) Inês Lobo;
e) Luís Santiago Baptista.</v>
      </c>
      <c r="N17" s="3" t="str">
        <v>Culture</v>
      </c>
      <c r="O17" s="3" t="str">
        <v>Select shortlisted proposals for Portugal’s official representation at the 2025 Venice Architecture Biennale.</v>
      </c>
      <c r="P17" s="3" t="str">
        <v>1 - Torna-se pública a abertura da fase de seleção prévia da representação oficial portuguesa na 19.ª Exposição Internacional de Arquitetura - Bienal de Veneza (Bienal de Veneza 2025).</v>
      </c>
      <c r="Q17" s="3" t="str">
        <v>1 - Torna-se pública a abertura da fase de seleção prévia da representação oficial portuguesa na 19.ª Exposição Internacional de Arquitetura - Bienal de Veneza (Bienal de Veneza 2025).</v>
      </c>
      <c r="R17" s="3" t="str">
        <v>5 - As candidaturas devem ser enviadas até 30 dias corridos a contar da data de publicação do presen: 2024-08-23 — 2024-07-24 + 30 calendar days (monitoring convention).
a) Uma proposta curatorial, até ao limite de 1000 palavras;: date not derivable — No uniquely dated deadline derivable from this clause; cadence or trigger is preserved.
b) Um curriculum vitae abreviado do candidato ou equipa, até ao limite de 500 palavras;: date not derivable — No uniquely dated deadline derivable from this clause; cadence or trigger is preserved.</v>
      </c>
      <c r="S17" s="20"/>
      <c r="T17" s="20"/>
      <c r="U17" s="3" t="str"/>
      <c r="V17" s="20"/>
      <c r="W17" s="21" t="str">
        <f>IF(AND(C17="Em atraso",ISNUMBER(V17)),MAX(0,Dashboard!$E$4-V17),"")</f>
      </c>
      <c r="X17" s="3" t="str">
        <v>Not specified in the creating act.</v>
      </c>
      <c r="Y17" s="3" t="str">
        <v>Not specified in act.</v>
      </c>
      <c r="Z17" s="3" t="str">
        <v>Delivery is officially confirmed, but the handover date is not public; timeliness cannot be classified.</v>
      </c>
      <c r="AA17" s="3" t="str">
        <v>https://diariodarepublica.pt/dr/detalhe/despacho/8277-2024-873180289
https://www.dgartes.gov.pt/sites/default/files/manualdocandidato_bv25.pdf</v>
      </c>
      <c r="AB17" s="22" t="str">
        <v>Open evidence</v>
      </c>
      <c r="AC17" s="20"/>
      <c r="AD17" s="3" t="str">
        <v>DGARTES competition manual identifies shortlisted proposals/teams selected by this group; exact delivery date and actual trigger date are not established.</v>
      </c>
      <c r="AE17" s="3" t="str">
        <v>Policy implementation not independently verified.</v>
      </c>
      <c r="AF17" s="3" t="str"/>
      <c r="AG17" s="3" t="str"/>
      <c r="AH17" s="3" t="str"/>
      <c r="AI17" s="3" t="str">
        <v>DR full-period singular/plural/technical phrase inventories; later acts reviewed. Outcome search: "grupo de trabalho" Bienal Veneza arquitetura 2025 seleção relatório conclusões after:2024-04-01 before:2026-10-11. Domains: portugal.gov.pt, gov.pt, parlamento.pt, diariodarepublica.pt, justica.gov.pt, dgav.pt, icnf.pt, anac.pt, dgeg.gov.pt. Official evidence/limitations recorded in this row.</v>
      </c>
      <c r="AJ17" s="20" t="d">
        <v>2026-10-10T00:00:00.000Z</v>
      </c>
      <c r="AK17" s="3" t="str">
        <v>2024-07-17</v>
      </c>
      <c r="AL17" s="3" t="str">
        <v>Not specified in act; no statutory default inferred.</v>
      </c>
      <c r="AM17" s="3" t="str">
        <v>Express name / creating-act summary; descriptive source label where no formal name is assigned.</v>
      </c>
      <c r="AN17" s="3" t="str">
        <v>Culture</v>
      </c>
      <c r="AO17" s="3" t="str">
        <v>No dated final output / unknown trigger</v>
      </c>
      <c r="AP17" s="3" t="str"/>
      <c r="AQ17" s="21" t="str">
        <f>IF(AND(C17="Em atraso",ISNUMBER(D17)),COUNTIFS(Groups!$C$6:$C$127,"Em atraso",Groups!$D$6:$D$127,"&gt;"&amp;D17)+COUNTIFS($C$6:C17,"Em atraso",$D$6:D17,D17),"")</f>
      </c>
      <c r="AR17" s="21" t="n">
        <f>IF(COUNTIF($F$6:F17,F17)=1,1,0)</f>
        <v>1</v>
      </c>
    </row>
    <row r="18" ht="96" customHeight="1">
      <c r="A18" s="3" t="str">
        <v>GT-2024-013</v>
      </c>
      <c r="B18" s="3" t="str">
        <v>Grupo de Trabalho "REMPC - Regulamento Europeu das Matérias-Primas Críticas"</v>
      </c>
      <c r="C18" s="3" t="str">
        <v>Em atraso</v>
      </c>
      <c r="D18" s="21" t="n">
        <f>IF(C18="Em atraso",IF(ISNUMBER(T18),MAX(0,Dashboard!$E$4-T18),""),IF(C18="Concluído com atraso",IF(AND(ISNUMBER(T18),ISNUMBER(AC18)),MAX(0,AC18-T18),""),IF(C18="Concluído no prazo",0,"")))</f>
        <v>504</v>
      </c>
      <c r="E18" s="3" t="str">
        <v>XXIV</v>
      </c>
      <c r="F18" s="3" t="str">
        <v>Despacho n.º 8335/2024</v>
      </c>
      <c r="G18" s="22" t="str">
        <v>Open DR act</v>
      </c>
      <c r="H18" s="20" t="d">
        <v>2024-07-25T00:00:00.000Z</v>
      </c>
      <c r="I18" s="20" t="d">
        <v>2024-07-18T00:00:00.000Z</v>
      </c>
      <c r="J18" s="20" t="d">
        <v>2024-07-18T00:00:00.000Z</v>
      </c>
      <c r="K18" s="3" t="str">
        <v>Presidência do Conselho de Ministros, Economia e Ambiente e Energia - Gabinete do Ministro Adjunto e da Coesão Territorial, Gabinete do Ministro da Economia e Gabinete da Ministra do Ambiente e Energia</v>
      </c>
      <c r="L18" s="3" t="str">
        <v>DGEG representative, in articulation with the Gabinete da Secretária de Estado da Energia.</v>
      </c>
      <c r="M18" s="3" t="str">
        <v>3 - O Grupo de Trabalho é composto por:
a) Dois representantes da DGEG - Direção-Geral de Energia e Geologia, um dos quais coordena em articulação com o Gabinete da Secretária de Estado da Energia;
b) Um membro do Gabinete do Secretário de Estado do Ambiente;
c) Um representante da DGAE - Direção-Geral das Atividades Económicas;
d) Um representante de cada Comissão de Coordenação e Desenvolvimento Regional;
e) Um representante da APA - Agência Portuguesa do Ambiente, I. P.;
f) Um representante do LNEG - Laboratório Nacional de Energia e Geologia, I. P.;
g) Um representante do IAPMEI - Agência para a Competitividade e Inovação, I. P.;
h) Um representante do ICNF - Instituto da Conservação da Natureza e das Florestas, I. P.;
i) Um representante da EDM - Empresa de Desenvolvimento Mineiro, S. A.;
j) Um representante da AICEP - Agência para o Investimento e Comércio Externo de Portugal, E. P. E.</v>
      </c>
      <c r="N18" s="3" t="str">
        <v>Economy / Raw materials</v>
      </c>
      <c r="O18" s="3" t="str">
        <v>Identify legal and administrative changes needed to implement the EU Critical Raw Materials Act.</v>
      </c>
      <c r="P18" s="3" t="str">
        <v>1 - É criado o Grupo de Trabalho "REMPC - Regulamento Europeu das Matérias-Primas Críticas", adiante designado por "Grupo de Trabalho", com o objetivo de proceder ao levantamento das necessidades de conformação da ordem jurídica interna com o Regulamento (UE) 2024/1252 do Parlamento Europeu e do Conselho, de 11 de abril de 2024, que estabelece um regime para garantir um aprovisionamento seguro e sustentável de matérias-primas críticas.</v>
      </c>
      <c r="Q18" s="3" t="str">
        <v>1 - É criado o Grupo de Trabalho "REMPC - Regulamento Europeu das Matérias-Primas Críticas", adiante designado por "Grupo de Trabalho", com o objetivo de proceder ao levantamento das necessidades de conformação da ordem jurídica interna com o Regulamento (UE) 2024/1252 do Parlamento Europeu e do Conselho, de 11 de abril de 2024, que estabelece um regime para garantir um aprovisionamento seguro e sustentável de matérias-primas críticas.
2 - São objetivos e tarefas do Grupo de Trabalho:
a) Assegurar a coordenação eficaz entre as entidades envolvidas na implementação do REMPC, no âmbito das respetivas competências, e da fase da cadeia de valor das matérias-primas, desde a extração, ao processamento, à transformação e fabricação de produtos finais, à reciclagem/circularidade, ao armazenamento, à substituição de materiais até à monitorização do mercado e reporte;
b) Definir e aprovar os princípios de funcionamento do Grupo de Trabalho, o agendamento de reuniões regulares, a criação de subgrupos temáticos, o planeamento das atividades, e outras ações necessárias ao funcionamento e cumprimento do objetivo do Grupo de Trabalho;
c) Proceder ao levantamento das necessidades de alteração legislativa ou regulamentar relevantes para assegurar a aplicação do REMPC na ordem jurídica interna;
d) Preparar e apresentar propostas técnicas para a alteração legislativa ou regulamentar, em articulação com as entidades públicas com atribuições nas matérias envolvidas;
e) Apoiar o procedimento de consulta pública das propostas a que se refere a alínea anterior, designadamente através da análise das pronúncias submetidas e elaboração do respetivo relatório de consulta pública, se aplicável;
f) Atualizar as propostas previstas na alínea d) em conformidade com os resultados da consulta pública;
g) Identificar e propor o ponto único de contacto a criar ou a designar até 24 de fevereiro de 2025 para o licenciamento dos projetos estratégicos, em cumprimento do REMPC, de acordo com a tipologia/fase da cadeia de valor das matérias-primas, em conformidade com as competências das entidades envolvidas;
h) Elaborar uma proposta de criação de uma plataforma única para o licenciamento em linha dos projetos estratégicos, e cumprimento das demais obrigações previstas no REMPC;
i) Estabelecer os mecanismos/procedimentos para análise dos projetos estratégicos, em conformidade com a tipologia/fase da cadeia de valor e competências das entidades envolvidas;
j) Efetuar um levantamento de necessidades de recursos adequados com vista ao desenvolvimento de competências, e da capacitação das entidades envolvidas;
k) Identificar e propor as entidades responsáveis pela elaboração do Programa Nacional de Prospeção e Pesquisa Geral, o plano de trabalhos, as metas e os prazos para a sua elaboração e aprovação até 24 de maio de 2025;
l) Identificar as grandes empresas que operam em Portugal e que utilizam matérias-primas estratégicas, nos termos do artigo 24.º do REMPC, até 24 de maio de 2025;
m) Avaliar os programas nacionais que contenham medidas destinadas a promover a circularidade de matérias-primas críticas, identificar e propor medidas adicionais que se revelem necessárias;
n) Elaborar a base de dados das instalações de resíduos de extração encerradas, incluindo as instalações de resíduos abandonadas, identificar e propor as medidas para promover a valorização das matérias-primas críticas a partir de resíduos de extração;
o) Identificar todas as demais necessidades de reporte de informação e respetivos prazos, e propor medidas e entidades responsáveis de forma a assegurar o cumprimento das obrigações previstas no REMPC;
p) Propor o mecanismo de articulação e cooperação entre os peritos nacionais do Comité Europeu de Matérias-Primas Críticas.
8 - O Grupo de Trabalho produz relatórios trimestrais correspondentes à execução da missão e objetivos previstos nos n.os 1 e 2 do presente despacho.
10 - O Grupo de Trabalho tem natureza temporária, e extingue-se com a apresentação de um relatório final demonstrativo da conclusão da sua missão e objetivos.</v>
      </c>
      <c r="R18" s="3" t="str">
        <v>a) Assegurar a coordenação eficaz entre as entidades envolvidas na implementação do REMPC, no âmbito: date not derivable — No uniquely dated deadline derivable from this clause; cadence or trigger is preserved.
g) Identificar e propor o ponto único de contacto a criar ou a designar até 24 de fevereiro de 2025 : 2025-02-24 — Explicit calendar date in the act.
k) Identificar e propor as entidades responsáveis pela elaboração do Programa Nacional de Prospeção : 2025-05-24 — Explicit calendar date in the act.
l) Identificar as grandes empresas que operam em Portugal e que utilizam matérias-primas estratégica: 2025-05-24 — Explicit calendar date in the act.
o) Identificar todas as demais necessidades de reporte de informação e respetivos prazos, e propor m: date not derivable — No uniquely dated deadline derivable from this clause; cadence or trigger is preserved.
5 - As entidades referidas no n.º 3 indicam os representantes ao membro do Governo responsável pela : 2024-07-26 — 2024-07-18 + 8 calendar days (monitoring convention). If CPA procedural counting applies: 2024-07-30.
7 - O Grupo de Trabalho deverá apresentar o primeiro relatório no prazo de três meses após a entrada: 2024-10-18 — 2024-07-18 + 3 meses by calendar anniversary, end-of-month capped if necessary.
Final report / last specified substantive output: 2025-05-24 — Fixed date / explicit year-end in creating act.</v>
      </c>
      <c r="S18" s="20" t="d">
        <v>2025-05-24T00:00:00.000Z</v>
      </c>
      <c r="T18" s="20" t="d">
        <v>2025-05-24T00:00:00.000Z</v>
      </c>
      <c r="U18" s="3" t="str">
        <v>Fixed date / explicit year-end in creating act.</v>
      </c>
      <c r="V18" s="20"/>
      <c r="W18" s="21" t="str">
        <f>IF(AND(C18="Em atraso",ISNUMBER(V18)),MAX(0,Dashboard!$E$4-V18),"")</f>
      </c>
      <c r="X18" s="3" t="str">
        <v>Unpaid; see the original clause for the scope of the exclusion.</v>
      </c>
      <c r="Y18" s="3" t="str">
        <v>9 - Aos membros do Grupo de Trabalho e às pessoas que com ele colaboram não é devido o pagamento de qualquer remuneração ou abono pelo trabalho desenvolvido.</v>
      </c>
      <c r="Z18" s="3" t="str">
        <v>Controlling benchmark has passed; no evidence of this output’s delivery identified in the reviewed acts and focused official-source outcome search.</v>
      </c>
      <c r="AA18" s="3" t="str">
        <v>https://diariodarepublica.pt/dr/detalhe/despacho/8335-2024-873447584
https://www.dgeg.gov.pt/pt/destaques/proposta-de-plano-de-acao/</v>
      </c>
      <c r="AB18" s="22" t="str">
        <v>Open evidence</v>
      </c>
      <c r="AC18" s="20"/>
      <c r="AD18" s="3" t="str">
        <v>Partial output: DGEG publicly presented the proposed action plan on 3 December 2024. Completion of all later tasks due by 24 May 2025 is not verified.</v>
      </c>
      <c r="AE18" s="3" t="str">
        <v>Not independently verified.</v>
      </c>
      <c r="AF18" s="3" t="str"/>
      <c r="AG18" s="3" t="str"/>
      <c r="AH18" s="3" t="str"/>
      <c r="AI18" s="3" t="str">
        <v>DR full-period singular/plural/technical phrase inventories; later acts reviewed. Outcome search: "grupo de trabalho" matérias primas críticas relatório conclusões after:2024-04-01 before:2026-10-11. Domains: portugal.gov.pt, gov.pt, parlamento.pt, diariodarepublica.pt, justica.gov.pt, dgav.pt, icnf.pt, anac.pt, dgeg.gov.pt. Official evidence/limitations recorded in this row.</v>
      </c>
      <c r="AJ18" s="20" t="d">
        <v>2026-10-10T00:00:00.000Z</v>
      </c>
      <c r="AK18" s="3" t="str">
        <v>2024-07-18</v>
      </c>
      <c r="AL18" s="3" t="str">
        <v>Latest signature used where multiple signatures occur.</v>
      </c>
      <c r="AM18" s="3" t="str">
        <v>Express name / creating-act summary; descriptive source label where no formal name is assigned.</v>
      </c>
      <c r="AN18" s="3" t="str">
        <v>Presidency / Council of Ministers; Economy; Environment / Energy; Territorial cohesion</v>
      </c>
      <c r="AO18" s="3" t="str">
        <v>Final report / last specified substantive output</v>
      </c>
      <c r="AP18" s="3" t="str">
        <v>Calendar monitoring benchmark; absence of public evidence is not proof of non-delivery.</v>
      </c>
      <c r="AQ18" s="21" t="n">
        <f>IF(AND(C18="Em atraso",ISNUMBER(D18)),COUNTIFS(Groups!$C$6:$C$127,"Em atraso",Groups!$D$6:$D$127,"&gt;"&amp;D18)+COUNTIFS($C$6:C18,"Em atraso",$D$6:D18,D18),"")</f>
        <v>17</v>
      </c>
      <c r="AR18" s="21" t="n">
        <f>IF(COUNTIF($F$6:F18,F18)=1,1,0)</f>
        <v>1</v>
      </c>
    </row>
    <row r="19" ht="96" customHeight="1">
      <c r="A19" s="3" t="str">
        <v>GT-2024-014</v>
      </c>
      <c r="B19" s="3" t="str">
        <v>Grupo de Trabalho das 72 horas</v>
      </c>
      <c r="C19" s="3" t="str">
        <v>Sem informação pública</v>
      </c>
      <c r="D19" s="21" t="str">
        <f>IF(C19="Em atraso",IF(ISNUMBER(T19),MAX(0,Dashboard!$E$4-T19),""),IF(C19="Concluído com atraso",IF(AND(ISNUMBER(T19),ISNUMBER(AC19)),MAX(0,AC19-T19),""),IF(C19="Concluído no prazo",0,"")))</f>
      </c>
      <c r="E19" s="3" t="str">
        <v>XXIV</v>
      </c>
      <c r="F19" s="3" t="str">
        <v>Despacho n.º 8591/2024</v>
      </c>
      <c r="G19" s="22" t="str">
        <v>Open DR act</v>
      </c>
      <c r="H19" s="20" t="d">
        <v>2024-07-31T00:00:00.000Z</v>
      </c>
      <c r="I19" s="20" t="d">
        <v>2024-07-10T00:00:00.000Z</v>
      </c>
      <c r="J19" s="20" t="d">
        <v>2024-07-31T00:00:00.000Z</v>
      </c>
      <c r="K19" s="3" t="str">
        <v>Justiça, Administração Interna e Juventude e Modernização - Gabinete da Ministra da Justiça, Gabinete da Ministra da Juventude e Modernização e Gabinete do Secretário de Estado da Administração Interna</v>
      </c>
      <c r="L19" s="3" t="str">
        <v>i) Um/a representante do membro do Governo responsável pela área governativa da cidadania e igualdade, que coordena;
6 - Podem participar no Grupo de Trabalho, quando tal se afigure necessário, representantes de outras entidades, públicas ou privadas, mediante convite a endereçar pelo/a coordenador/a do Grupo de Trabalho.</v>
      </c>
      <c r="M19" s="3" t="str">
        <v>3 - O Grupo de Trabalho das 72 horas é composto, em permanência, por:
i) Um/a representante do membro do Governo responsável pela área governativa da cidadania e igualdade, que coordena;
ii) Um/a representante do membro do Governo responsável pela área governativa da justiça;
iii) Um/a representante do membro do Governo responsável pela área governativa da administração interna;
iv) Um/a representante do Secretário de Estado da Administração Interna;
v) Um/a representante da SGMAI;
vi) Um/a representante da PGR;
vii) Um/a representante da GNR;
viii) Um/a representante da PSP;
ix) Um/a representante da PJ;
x) Um/a representante da Comissão para a Cidadania e Igualdade de Género (CIG).</v>
      </c>
      <c r="N19" s="3" t="str">
        <v>Equality / Domestic violence</v>
      </c>
      <c r="O19" s="3" t="str">
        <v>Coordinate improvements to the first 72 hours of intervention following domestic-violence reports.</v>
      </c>
      <c r="P19" s="3" t="str">
        <v>1 - É formalizada a criação do Grupo de Trabalho das 72 horas.</v>
      </c>
      <c r="Q19" s="3" t="str">
        <v>2 - O Grupo de Trabalho das 72 horas tem como objetivos:
a) O aperfeiçoamento dos mecanismos a adotar pela GNR, PSP e PJ nas 72 horas subsequentes à apresentação de denúncia por maus-tratos cometidos em contexto de violência doméstica, designadamente através:
i) Do acompanhamento do processo de revisão do modelo de avaliação e gestão do grau de risco da vítima e sua posterior implementação;
ii) Da criação, através de projetos-piloto, de redes de urgência de intervenção, tendo em vista o desenvolvimento de um modelo integrado de atuação urgente de âmbito territorial e uma avaliação e gestão integrada do risco, envolvendo operadores policiais, judiciários e membros das respostas e estruturas da RNAVVD e/ou dos Gabinetes de Apoio à Vítima (GAV), disponíveis 24 horas por dia, em articulação com as linhas telefónicas integradas no Serviço de Informação a Vítimas de Violência Doméstica (SIVVD);
iii) Da avaliação do atual modelo de organização da intervenção dos GAV nos Departamentos de Investigação e Ação Penal, com vista à eventual ampliação da respetiva cobertura;
iv) Da revisão do manual de atuação funcional, com base na experiência existente desde a sua publicação e divulgação, integrando contributos designadamente das estruturas formativas e operacionais da GNR, da PSP e da PJ, do Centro de Estudos Judiciários e da PGR;
v) Do acompanhamento e aperfeiçoamento da implementação do novo auto de notícia/denúncia-padrão de violência doméstica, aprovado pela Portaria n.º 209/2021, de 18 de outubro, e dos modelos de atribuição do estatuto de vítima, aprovados pela Portaria n.º 138-E/2021, de 1 de julho;
b) A promoção de formação contínua em matéria de violência contra as mulheres e violência doméstica, designadamente através da elaboração de um plano de formação sobre o manual de atuação funcional e os instrumentos identificados nas subalíneas i), iv) e v) da alínea a) destinado a profissionais que atuam nas 72 horas subsequentes à apresentação de denúncia por maus-tratos cometidos em contexto de violência doméstica.</v>
      </c>
      <c r="R19" s="3" t="str">
        <v>iv) Da revisão do manual de atuação funcional, com base na experiência existente desde a sua publica: date not derivable — No uniquely dated deadline derivable from this clause; cadence or trigger is preserved.
b) A promoção de formação contínua em matéria de violência contra as mulheres e violência doméstica,: date not derivable — No uniquely dated deadline derivable from this clause; cadence or trigger is preserved.
4 - Os representantes referidos no número anterior são designados no prazo de 10 dias, a contar da d: 2024-08-10 — 2024-07-31 + 10 calendar days (monitoring convention). If CPA procedural counting applies: 2024-08-14.
7 - O Grupo de Trabalho reúne com periodicidade trimestral e as respetivas conclusões são vertidas e: date not derivable — No uniquely dated deadline derivable from this clause; cadence or trigger is preserved.</v>
      </c>
      <c r="S19" s="20"/>
      <c r="T19" s="20"/>
      <c r="U19" s="3" t="str"/>
      <c r="V19" s="20"/>
      <c r="W19" s="21" t="str">
        <f>IF(AND(C19="Em atraso",ISNUMBER(V19)),MAX(0,Dashboard!$E$4-V19),"")</f>
      </c>
      <c r="X19" s="3" t="str">
        <v>Unpaid; see the original clause for the scope of the exclusion.</v>
      </c>
      <c r="Y19" s="3" t="str">
        <v>9 - A constituição e funcionamento do Grupo de Trabalho não confere aos seus membros ou a quem com eles colaborar o direito ao pagamento de qualquer remuneração ou compensação.</v>
      </c>
      <c r="Z19" s="3" t="str">
        <v>No dated final-output deadline / public trigger date, and delivery cannot be verified.</v>
      </c>
      <c r="AA19" s="3" t="str">
        <v>https://diariodarepublica.pt/dr/detalhe/despacho/8591-2024-874078354</v>
      </c>
      <c r="AB19" s="22" t="str">
        <v>Open evidence</v>
      </c>
      <c r="AC19" s="20"/>
      <c r="AD19" s="3" t="str">
        <v>No delivery evidence identified.</v>
      </c>
      <c r="AE19" s="3" t="str">
        <v>Not independently verified.</v>
      </c>
      <c r="AF19" s="3" t="str"/>
      <c r="AG19" s="3" t="str"/>
      <c r="AH19" s="3" t="str"/>
      <c r="AI19" s="3" t="str">
        <v>DR full-period singular/plural/technical phrase inventories; later acts reviewed. Outcome search: "grupo de trabalho" violência doméstica primeiras 72 horas relatório conclusões after:2024-04-01 before:2026-10-11. Domains: portugal.gov.pt, gov.pt, parlamento.pt, diariodarepublica.pt, justica.gov.pt, dgav.pt, icnf.pt, anac.pt, dgeg.gov.pt. Official evidence/limitations recorded in this row.</v>
      </c>
      <c r="AJ19" s="20" t="d">
        <v>2026-10-10T00:00:00.000Z</v>
      </c>
      <c r="AK19" s="3" t="str">
        <v>2024-07-09; 2024-07-10</v>
      </c>
      <c r="AL19" s="3" t="str">
        <v>Publication date.</v>
      </c>
      <c r="AM19" s="3" t="str">
        <v>Express name / creating-act summary; descriptive source label where no formal name is assigned.</v>
      </c>
      <c r="AN19" s="3" t="str">
        <v>Justice; Internal affairs; Youth / Modernisation</v>
      </c>
      <c r="AO19" s="3" t="str">
        <v>No dated final output / unknown trigger</v>
      </c>
      <c r="AP19" s="3" t="str"/>
      <c r="AQ19" s="21" t="str">
        <f>IF(AND(C19="Em atraso",ISNUMBER(D19)),COUNTIFS(Groups!$C$6:$C$127,"Em atraso",Groups!$D$6:$D$127,"&gt;"&amp;D19)+COUNTIFS($C$6:C19,"Em atraso",$D$6:D19,D19),"")</f>
      </c>
      <c r="AR19" s="21" t="n">
        <f>IF(COUNTIF($F$6:F19,F19)=1,1,0)</f>
        <v>1</v>
      </c>
    </row>
    <row r="20" ht="96" customHeight="1">
      <c r="A20" s="3" t="str">
        <v>GT-2024-015</v>
      </c>
      <c r="B20" s="3" t="str">
        <v>Grupo de trabalho — transposição da Diretiva (UE) 2022/2555 (NIS2) e execução do Regulamento (UE) 2019/881</v>
      </c>
      <c r="C20" s="3" t="str">
        <v>Em atraso</v>
      </c>
      <c r="D20" s="21" t="n">
        <f>IF(C20="Em atraso",IF(ISNUMBER(T20),MAX(0,Dashboard!$E$4-T20),""),IF(C20="Concluído com atraso",IF(AND(ISNUMBER(T20),ISNUMBER(AC20)),MAX(0,AC20-T20),""),IF(C20="Concluído no prazo",0,"")))</f>
        <v>740</v>
      </c>
      <c r="E20" s="3" t="str">
        <v>XXIV</v>
      </c>
      <c r="F20" s="3" t="str">
        <v>Despacho n.º 8914-A/2024</v>
      </c>
      <c r="G20" s="22" t="str">
        <v>Open DR act</v>
      </c>
      <c r="H20" s="20" t="d">
        <v>2024-08-07T00:00:00.000Z</v>
      </c>
      <c r="I20" s="20" t="d">
        <v>2024-08-06T00:00:00.000Z</v>
      </c>
      <c r="J20" s="20" t="d">
        <v>2024-08-06T00:00:00.000Z</v>
      </c>
      <c r="K20" s="3" t="str">
        <v>Presidência do Conselho de Ministros - Gabinete do Ministro da Presidência</v>
      </c>
      <c r="L20" s="3" t="str">
        <v>a) Mestre Tiago Meneses Moutinho Macieirinha, chefe do Gabinete do Ministro da Presidência, que coordena;
4 - A competência para a convocação das reuniões do grupo de trabalho cabe ao coordenador, tendo em conta a disponibilidade dos restantes membros do grupo e representantes dos membros do Governo responsáveis pelas áreas governativas mencionadas no n.º 3.</v>
      </c>
      <c r="M20" s="3" t="str">
        <v>2 - O grupo de trabalho tem a seguinte composição:
a) Mestre Tiago Meneses Moutinho Macieirinha, chefe do Gabinete do Ministro da Presidência, que coordena;
b) Engenheiro José Lino Alves dos Santos, coordenador do Centro Nacional de Cibersegurança (CNCS), em representação do CNCS;
c) Prof. Doutor Pedro Alexandre Vicente de Araújo Lomba, professor da Faculdade de Direito da Universidade de Lisboa;
d) Prof. Doutor João Carlos Cerejeira Silva, professor da Escola de Economia e Gestão da Universidade do Minho;
e) Dr. José Maria Gentil Martins Cortes, técnico especialista do Gabinete do Ministro da Presidência, que assume funções de secretário.</v>
      </c>
      <c r="N20" s="3" t="str">
        <v>Digital / Cybersecurity</v>
      </c>
      <c r="O20" s="3" t="str">
        <v>Draft legislation transposing NIS2 and implementing the EU cybersecurity certification framework.</v>
      </c>
      <c r="P20" s="3" t="str">
        <v>1 - Determina-se a constituição de um grupo de trabalho, na dependência do Ministro da Presidência, para elaborar texto legislativo que proceda à transposição da Diretiva (UE) 2022/2555, do Parlamento Europeu e do Conselho, de 14 de dezembro de 2022, relativa a medidas destinadas a garantir um elevado nível comum de cibersegurança na União, e à execução do Regulamento (UE) 2019/881, do Parlamento Europeu e do Conselho, de 17 de abril de 2019, relativo à Agência da União Europeia para a Cibersegurança, e à certificação da cibersegurança das tecnologias da informação e comunicação.</v>
      </c>
      <c r="Q20" s="3" t="str">
        <v>5 - A participação no grupo de trabalho confere o direito a senhas de presença, por cada reunião realizada, no valor unitário de 150 € e ajudas de custo nos termos do respetivo regime legal geral aplicável aos trabalhadores que exercem funções públicas.</v>
      </c>
      <c r="R20" s="3" t="str">
        <v>Final report / last specified substantive output: 2024-09-30 — Fixed date / explicit year-end in creating act.</v>
      </c>
      <c r="S20" s="20" t="d">
        <v>2024-09-30T00:00:00.000Z</v>
      </c>
      <c r="T20" s="20" t="d">
        <v>2024-09-30T00:00:00.000Z</v>
      </c>
      <c r="U20" s="3" t="str">
        <v>Fixed date / explicit year-end in creating act.</v>
      </c>
      <c r="V20" s="20"/>
      <c r="W20" s="21" t="str">
        <f>IF(AND(C20="Em atraso",ISNUMBER(V20)),MAX(0,Dashboard!$E$4-V20),"")</f>
      </c>
      <c r="X20" s="3" t="str">
        <v>Paid: €150 per meeting plus applicable expenses; Government/cabinet members excluded.</v>
      </c>
      <c r="Y20" s="3" t="str">
        <v>5 - A participação no grupo de trabalho confere o direito a senhas de presença, por cada reunião realizada, no valor unitário de 150 € e ajudas de custo nos termos do respetivo regime legal geral aplicável aos trabalhadores que exercem funções públicas.
6 - O referido no número anterior não é aplicável aos membros do Governo e dos gabinetes ministeriais que participem ou acompanhem o grupo de trabalho.</v>
      </c>
      <c r="Z20" s="3" t="str">
        <v>Controlling benchmark has passed; no evidence of this output’s delivery identified in the reviewed acts and focused official-source outcome search.</v>
      </c>
      <c r="AA20" s="3" t="str">
        <v>https://diariodarepublica.pt/dr/detalhe/despacho/8914-a-2024-875716593
https://diariodarepublica.pt/dr/detalhe/decreto-lei/125-2025-962603401</v>
      </c>
      <c r="AB20" s="22" t="str">
        <v>Open evidence</v>
      </c>
      <c r="AC20" s="20"/>
      <c r="AD20" s="3" t="str">
        <v>No delivery evidence identified.</v>
      </c>
      <c r="AE20" s="3" t="str">
        <v>NIS2 transposed and new cybersecurity regime adopted by Decreto-Lei 125/2025, published 4 December 2025; draft underwent public consultation from 22 November to 31 December 2024. Delivery of this group’s draft to Government by 30 September 2024 is not verified.</v>
      </c>
      <c r="AF20" s="3" t="str">
        <v>https://diariodarepublica.pt/dr/detalhe/decreto-lei/125-2025-962603401</v>
      </c>
      <c r="AG20" s="3" t="str"/>
      <c r="AH20" s="3" t="str">
        <v> The act has no concise formal name; the label follows its Portuguese creating clause/summary. Attendance fee: €150 per meeting plus legally applicable travel/subsistence allowances; members of Government and ministerial cabinets are excluded by clause 6. Concise descriptive label; the original creating clause and complete mandate are preserved in the Portuguese objective fields. The policy has been enacted. The overdue status concerns absence of public evidence of timely internal draft submission, not absence of cybersecurity legislation.</v>
      </c>
      <c r="AI20" s="3" t="str">
        <v>DR full-period singular/plural/technical phrase inventories; later acts reviewed. Outcome search: "grupo de trabalho" NIS2 transposição relatório conclusões after:2024-04-01 before:2026-10-11. Domains: portugal.gov.pt, gov.pt, parlamento.pt, diariodarepublica.pt, justica.gov.pt, dgav.pt, icnf.pt, anac.pt, dgeg.gov.pt. Official evidence/limitations recorded in this row.</v>
      </c>
      <c r="AJ20" s="20" t="d">
        <v>2026-10-10T00:00:00.000Z</v>
      </c>
      <c r="AK20" s="3" t="str">
        <v>2024-08-06</v>
      </c>
      <c r="AL20" s="3" t="str">
        <v>Latest signature used where multiple signatures occur.</v>
      </c>
      <c r="AM20" s="3" t="str">
        <v>Express name / creating-act summary; descriptive source label where no formal name is assigned.</v>
      </c>
      <c r="AN20" s="3" t="str">
        <v>Presidency / Council of Ministers</v>
      </c>
      <c r="AO20" s="3" t="str">
        <v>Final report / last specified substantive output</v>
      </c>
      <c r="AP20" s="3" t="str">
        <v>Calendar monitoring benchmark; absence of public evidence is not proof of non-delivery.</v>
      </c>
      <c r="AQ20" s="21" t="n">
        <f>IF(AND(C20="Em atraso",ISNUMBER(D20)),COUNTIFS(Groups!$C$6:$C$127,"Em atraso",Groups!$D$6:$D$127,"&gt;"&amp;D20)+COUNTIFS($C$6:C20,"Em atraso",$D$6:D20,D20),"")</f>
        <v>2</v>
      </c>
      <c r="AR20" s="21" t="n">
        <f>IF(COUNTIF($F$6:F20,F20)=1,1,0)</f>
        <v>1</v>
      </c>
    </row>
    <row r="21" ht="96" customHeight="1">
      <c r="A21" s="3" t="str">
        <v>GT-2024-016</v>
      </c>
      <c r="B21" s="3" t="str">
        <v>grupo de trabalho com os seguintes objetivos:</v>
      </c>
      <c r="C21" s="3" t="str">
        <v>Sem informação pública</v>
      </c>
      <c r="D21" s="21" t="str">
        <f>IF(C21="Em atraso",IF(ISNUMBER(T21),MAX(0,Dashboard!$E$4-T21),""),IF(C21="Concluído com atraso",IF(AND(ISNUMBER(T21),ISNUMBER(AC21)),MAX(0,AC21-T21),""),IF(C21="Concluído no prazo",0,"")))</f>
      </c>
      <c r="E21" s="3" t="str">
        <v>XXIV</v>
      </c>
      <c r="F21" s="3" t="str">
        <v>Despacho n.º 8972/2024</v>
      </c>
      <c r="G21" s="22" t="str">
        <v>Open DR act</v>
      </c>
      <c r="H21" s="20" t="d">
        <v>2024-08-08T00:00:00.000Z</v>
      </c>
      <c r="I21" s="20" t="d">
        <v>2024-07-26T00:00:00.000Z</v>
      </c>
      <c r="J21" s="20" t="d">
        <v>2024-08-30T00:00:00.000Z</v>
      </c>
      <c r="K21" s="3" t="str">
        <v>Trabalho, Solidariedade e Segurança Social - Gabinete da Secretária de Estado da Ação Social e da Inclusão</v>
      </c>
      <c r="L21" s="3" t="str">
        <v>2 - O grupo de trabalho tem natureza temporária e integra um representante do Gabinete da Secretária de Estado da Ação Social e da Inclusão, que coordena.</v>
      </c>
      <c r="M21" s="3" t="str">
        <v>2 - O grupo de trabalho tem natureza temporária e integra um representante do Gabinete da Secretária de Estado da Ação Social e da Inclusão, que coordena.
3 - O grupo de trabalho integra ainda:
Um representante do Ministério do Trabalho, Solidariedade e Segurança Social;
Um representante do Ministério da Justiça;
Um representante do Ministério da Educação;
Um representante do Ministério da Juventude e Modernização;
Um representante do Ministério da Administração Interna;
Um representante das organizações representativas do setor social e solidário;
Um representante da Santa Casa da Misericórdia de Lisboa;
Um representante da Casa Pia de Lisboa, I. P.;
Um representante da Comissão Nacional de Promoção dos Direitos e Proteção das Crianças e Jovens;
A Coordenadora da Garantia Nacional para a Infância; e
A Coordenadora da Estratégia Nacional de Combate à Pobreza.</v>
      </c>
      <c r="N21" s="3" t="str">
        <v>Social protection / Children</v>
      </c>
      <c r="O21" s="3" t="str">
        <v>Evaluate existing child-rights and poverty strategies and propose one unified national strategy.</v>
      </c>
      <c r="P21" s="3" t="str">
        <v>1 - A constituição de um grupo de trabalho com os seguintes objetivos:
a) Avaliação da implementação da Estratégia Nacional para os Direitos das Crianças 2021-2024 (ENDC 2021-2024), da Estratégia Nacional de Combate à Pobreza 2021-2030 (ENCP) e do Plano de Ação Nacional da Garantia para a Infância 2022-2030 (PAGPI 2022-2030) e elaboração das respetivas conclusões; e
b) Realização de uma proposta de Estratégia Nacional única, no âmbito da proteção e promoção dos direitos das crianças e dos jovens, que integre os eixos do combate à pobreza, da garantia para a infância e dos direitos das crianças.</v>
      </c>
      <c r="Q21" s="3" t="str">
        <v>1 - A constituição de um grupo de trabalho com os seguintes objetivos:
a) Avaliação da implementação da Estratégia Nacional para os Direitos das Crianças 2021-2024 (ENDC 2021-2024), da Estratégia Nacional de Combate à Pobreza 2021-2030 (ENCP) e do Plano de Ação Nacional da Garantia para a Infância 2022-2030 (PAGPI 2022-2030) e elaboração das respetivas conclusões; e
b) Realização de uma proposta de Estratégia Nacional única, no âmbito da proteção e promoção dos direitos das crianças e dos jovens, que integre os eixos do combate à pobreza, da garantia para a infância e dos direitos das crianças.
4 - O grupo de trabalho pode, em qualquer altura, proceder à consulta de outros ministérios, de outras entidades, públicas e privadas, bem como de personalidades de reconhecido mérito, cujo contributo seja considerado relevante para prossecução dos trabalhos e objetivos propostos.
5 - Os membros do grupo de trabalho, bem como os representantes das entidades convidadas a nele participar nos termos do número anterior, não auferem qualquer remuneração ou abono pelo exercício de funções.</v>
      </c>
      <c r="R21" s="3" t="str">
        <v>6 - O grupo de trabalho apresenta aos membros do Governo das áreas do trabalho, solidariedade e segu: 2024-11-30 — Explicit calendar date in the act.
7 - O grupo de trabalho apresenta, ainda, ao membro do Governo da área do trabalho, solidariedade e : 2024-11-30 — Explicit calendar date in the act.
8 - Os representantes das entidades referidas no n.º 3 são designados, no prazo máximo de 10 dias, a: 2024-09-09 — 2024-08-30 + 10 calendar days (monitoring convention). If CPA procedural counting applies: 2024-09-13.
Final report / last specified substantive output: 2024-11-30 — Fixed date / explicit year-end in creating act.</v>
      </c>
      <c r="S21" s="20" t="d">
        <v>2024-11-30T00:00:00.000Z</v>
      </c>
      <c r="T21" s="20" t="d">
        <v>2024-11-30T00:00:00.000Z</v>
      </c>
      <c r="U21" s="3" t="str">
        <v>Fixed date / explicit year-end in creating act.</v>
      </c>
      <c r="V21" s="20"/>
      <c r="W21" s="21" t="str">
        <f>IF(AND(C21="Em atraso",ISNUMBER(V21)),MAX(0,Dashboard!$E$4-V21),"")</f>
      </c>
      <c r="X21" s="3" t="str">
        <v>Unpaid; see the original clause for the scope of the exclusion.</v>
      </c>
      <c r="Y21" s="3" t="str">
        <v>5 - Os membros do grupo de trabalho, bem como os representantes das entidades convidadas a nele participar nos termos do número anterior, não auferem qualquer remuneração ou abono pelo exercício de funções.</v>
      </c>
      <c r="Z21" s="3" t="str">
        <v>Delivery is officially confirmed, but the handover date is not public; timeliness cannot be classified.</v>
      </c>
      <c r="AA21" s="3" t="str">
        <v>https://diariodarepublica.pt/dr/detalhe/despacho/8972-2024-875838784
https://diariodarepublica.pt/dr/detalhe/resolucao-conselho-ministros/34-2025-909307237</v>
      </c>
      <c r="AB21" s="22" t="str">
        <v>Open evidence</v>
      </c>
      <c r="AC21" s="20"/>
      <c r="AD21" s="3" t="str">
        <v>RCM 34/2025 attributes the resulting strategy to this group; report handover date is not stated.</v>
      </c>
      <c r="AE21" s="3" t="str">
        <v>ENDC 2025–2030 approved on 28 February 2025.</v>
      </c>
      <c r="AF21" s="3" t="str">
        <v>https://diariodarepublica.pt/dr/detalhe/resolucao-conselho-ministros/34-2025-909307237</v>
      </c>
      <c r="AG21" s="3" t="str"/>
      <c r="AH21" s="3" t="str"/>
      <c r="AI21" s="3" t="str">
        <v>DR full-period singular/plural/technical phrase inventories; later acts reviewed. Outcome search: "grupo de trabalho" estratégia direitos criança pobreza relatório conclusões after:2024-04-01 before:2026-10-11. Domains: portugal.gov.pt, gov.pt, parlamento.pt, diariodarepublica.pt, justica.gov.pt, dgav.pt, icnf.pt, anac.pt, dgeg.gov.pt. Official evidence/limitations recorded in this row.</v>
      </c>
      <c r="AJ21" s="20" t="d">
        <v>2026-10-10T00:00:00.000Z</v>
      </c>
      <c r="AK21" s="3" t="str">
        <v>2024-07-26</v>
      </c>
      <c r="AL21" s="3" t="str">
        <v>Explicit retrospective or future date.</v>
      </c>
      <c r="AM21" s="3" t="str">
        <v>Express name / creating-act summary; descriptive source label where no formal name is assigned.</v>
      </c>
      <c r="AN21" s="3" t="str">
        <v>Labour / Social security</v>
      </c>
      <c r="AO21" s="3" t="str">
        <v>Final report / last specified substantive output</v>
      </c>
      <c r="AP21" s="3" t="str"/>
      <c r="AQ21" s="21" t="str">
        <f>IF(AND(C21="Em atraso",ISNUMBER(D21)),COUNTIFS(Groups!$C$6:$C$127,"Em atraso",Groups!$D$6:$D$127,"&gt;"&amp;D21)+COUNTIFS($C$6:C21,"Em atraso",$D$6:D21,D21),"")</f>
      </c>
      <c r="AR21" s="21" t="n">
        <f>IF(COUNTIF($F$6:F21,F21)=1,1,0)</f>
        <v>1</v>
      </c>
    </row>
    <row r="22" ht="96" customHeight="1">
      <c r="A22" s="3" t="str">
        <v>GT-2024-017</v>
      </c>
      <c r="B22" s="3" t="str">
        <v>Cria, por substituição, o grupo de trabalho com a missão de preparar e executar a reforma orgânica e funcional da Administração Pública</v>
      </c>
      <c r="C22" s="3" t="str">
        <v>Em curso – dentro do prazo</v>
      </c>
      <c r="D22" s="21" t="str">
        <f>IF(C22="Em atraso",IF(ISNUMBER(T22),MAX(0,Dashboard!$E$4-T22),""),IF(C22="Concluído com atraso",IF(AND(ISNUMBER(T22),ISNUMBER(AC22)),MAX(0,AC22-T22),""),IF(C22="Concluído no prazo",0,"")))</f>
      </c>
      <c r="E22" s="3" t="str">
        <v>XXIV</v>
      </c>
      <c r="F22" s="3" t="str">
        <v>Despacho n.º 9075-A/2024</v>
      </c>
      <c r="G22" s="22" t="str">
        <v>Open DR act</v>
      </c>
      <c r="H22" s="20" t="d">
        <v>2024-08-09T00:00:00.000Z</v>
      </c>
      <c r="I22" s="20" t="d">
        <v>2024-08-07T00:00:00.000Z</v>
      </c>
      <c r="J22" s="20" t="d">
        <v>2024-08-10T00:00:00.000Z</v>
      </c>
      <c r="K22" s="3" t="str">
        <v>Presidência do Conselho de Ministros e Finanças - Gabinete do Ministro de Estado e das Finanças e Gabinete do Ministro da Presidência</v>
      </c>
      <c r="L22" s="3" t="str">
        <v>Creating act: Secretário-Geral do Governo; later coordination by Minister Adjunto e da Reforma do Estado (see amendments).</v>
      </c>
      <c r="M22" s="3" t="str">
        <v>3 - O grupo de trabalho é constituído por:
a) Um coordenador, que será o secretário-geral do Governo ou, até à respetiva nomeação, uma personalidade designada por despacho conjunto do Ministro de Estado e das Finanças e do Ministro da Presidência;
b) O subcoordenador, David Varela Xavier, Secretário-Geral da Presidência do Conselho de Ministros (SGPCM), que coadjuva o coordenador no exercício das suas funções e o substitui nas respetivas ausências;
c) O subcoordenador, Miguel Martins Agrochão, vogal do conselho diretivo do Instituto Nacional de Administração, I. P., que coadjuva o coordenador no exercício das suas funções;
d) O subcoordenador, Bruno Miguel de Jesus Marques Santos, subdiretor-geral da Direção-Geral da Administração e do Emprego Público (DGAEP), que coadjuva o coordenador no exercício das suas funções.
4 - Para concretização das suas missões, o grupo de trabalho reúne nos seguintes termos:
a) Quinzenalmente, ou sempre que necessário, com um Grupo Restrito de Coordenação (GRC), que inclui também:
i) O presidente do conselho diretivo da Entidade de Serviços Partilhados da Administração Pública, I. P.;
ii) O diretor do Centro de Competências de Planeamento, de Políticas e de Prospetiva da Administração Pública;
iii) O diretor do Centro de Competências Jurídicas do Estado (CEJURE);
iv) O presidente do conselho de administração da ESTAMO - Participações Imobiliárias, S. A.;
b) A cada seis semanas, ou sempre que necessário, com um Grupo Alargado de Coordenação (GAC), composto por:
i) Secretários-gerais das seguintes entidades: Secretaria-Geral do Ministério das Finanças, Secretaria-Geral da Presidência do Conselho de Ministros, Secretaria-Geral do Ministério da Justiça, Secretaria-Geral da Educação e Ciência, Secretaria-Geral do Ministério da Saúde, Secretaria-Geral da Economia, Secretaria-Geral do Ministério do Trabalho, Solidariedade e Segurança Social, Secretaria-Geral do Ministério do Ambiente, Secretaria-Geral do Ministério dos Negócios Estrangeiros, Secretaria-Geral do Ministério da Defesa e Secretaria-Geral do Ministério da Administração Interna;
ii) Diretores-gerais das seguintes entidades: Gabinete de Estratégia, Planeamento e Avaliação Culturais, Gabinete de Estratégia e Estudos, Gabinete de Planeamento, Estratégia, Avaliação e Relações Internacionais, do Gabinete de Estratégia e Planeamento do Ministério da Solidariedade e da Segurança Social e Gabinete de Planeamento, Políticas e Administração Geral;
iii) Inspetor-geral da Inspeção-Geral de Finanças;
iv) Presidente do conselho diretivo do Instituto de Gestão Financeira da Educação, I. P.;
v) Presidente do conselho diretivo do Instituto de Gestão Financeira e Equipamentos da Justiça, I. P.;
vi) Diretor-geral da Direção-Geral de Estatísticas da Educação e Ciência do Ministério de Educação e Ciência;
vii) Diretor-geral da Direção-Geral da Política de Justiça;
viii) Presidente do Conselho Diretivo do Instituto Nacional de Administração, I. P.;
ix) Diretor-geral da DGAEP;
x) Diretor do Centro de Gestão da Rede Informática do Governo.</v>
      </c>
      <c r="N22" s="3" t="str">
        <v>State reform</v>
      </c>
      <c r="O22" s="3" t="str">
        <v>Prepare and implement public-administration reform, including service consolidation, efficiency and relocation.</v>
      </c>
      <c r="P22" s="3" t="str">
        <v>1 - É criado, na dependência do Ministro da Presidência, um grupo de trabalho com a missão de preparar e executar a reforma da Administração Pública, em linha com o Programa de Governo, promovendo a racionalização dos serviços e ganhos de eficiência, designadamente a concentração de serviços da Administração Pública, bem como gabinetes governamentais, num único espaço físico.</v>
      </c>
      <c r="Q22" s="3" t="str">
        <v>1 - É criado, na dependência do Ministro da Presidência, um grupo de trabalho com a missão de preparar e executar a reforma da Administração Pública, em linha com o Programa de Governo, promovendo a racionalização dos serviços e ganhos de eficiência, designadamente a concentração de serviços da Administração Pública, bem como gabinetes governamentais, num único espaço físico.
2 - O grupo de trabalho prossegue os seguintes objetivos:
a) Elaborar um plano para a execução do projeto de concentração de serviços, que inclui a otimização das instalações do Governo e dos serviços da administração direta e/ou indireta do Estado, de acordo com a natureza e necessidades de cada um dos serviços envolvidos no projeto, procurando realizar possíveis sinergias e economias de escala resultantes da reorganização dos serviços a instalar, e propondo os modelos de trabalho mais eficazes, com recurso a diversas ferramentas, procedimentos, processos e políticas internas;
b) Executar as medidas necessárias para a reforma orgânica e funcional da Administração Pública, nomeadamente em termos de fusão e reestruturação dos serviços abrangidos, em cumprimento do calendário fixado no anexo iv ao Decreto-Lei n.º 43-B/2024, de 2 de julho;
c) Elaborar as propostas de alterações legislativas necessárias que executem as alterações orgânicas fixadas no Decreto-Lei n.º 43-A/2024, de 2 de julho, e no Decreto-Lei n.º 43-B/2024, de 2 de julho;
d) Prosseguir a avaliação da efetiva execução das transformações preconizadas, bem como o impacto das mesmas, visando igualmente a produção de recomendações quanto à otimização de processos e de funcionamento da Administração Pública;
e) Acompanhar a execução do novo modelo de organização e gestão dos serviços.
6 - O Ministro de Estado e das Finanças, o Ministro da Presidência, o Secretário de Estado da Presidência do Conselho de Ministros e a Secretária de Estado da Administração Pública, ou os respetivos representantes, reúnem quinzenalmente com o GRC para efeitos de informação, acompanhamento e transmissão de orientações para a execução da Reforma da Administração Pública.
7 - Os membros do grupo de trabalho a que se refere o n.º 3 que possuam vínculo de emprego público exercem as suas funções em acumulação com as funções públicas atualmente exercidas nos respetivos serviços de origem, nos termos do disposto n.º 1 do artigo 21.º da Lei Geral do Trabalho em Funções Públicas (LTFP), aprovada pela Lei n.º 35/2014, de 20 de junho, na sua redação atual, não sendo devida remuneração ou abonos acrescidos.
9 - Para a operacionalização da sua missão, o grupo de trabalho pode recrutar até 10 trabalhadores, nos termos da Lei Geral do Trabalho em Funções Públicas, aprovada em anexo à Lei n.º 35/2014, de 20 de junho, na sua redação atual, e demais legislação aplicável, dos quais até cinco podem ser recrutados fora da Administração Pública, devendo ser dada preferência a regimes aplicáveis a quem já tenha uma relação de emprego previamente estabelecida, designadamente:
a) Mobilidade;
b) Contrato de trabalho a termo resolutivo certo ou incerto para o exercício de funções em estruturas temporárias de entidades empregadoras públicas;
c) Cedência de interesse público.
13 - Os encargos financeiros com o funcionamento e cumprimento da missão do grupo de trabalho, designadamente com a contratação de serviços externos de apoio à gestão de projeto ou de comunicação, são suportados pelas verbas adequadas inscritas e a inscrever no orçamento da SGPCM, até ao limite do montante estabelecido no Plano de Recuperação e Resiliência para a execução da TD-r35 - Reforma funcional e orgânica da Administração Pública.</v>
      </c>
      <c r="R22" s="3" t="str">
        <v>a) Um coordenador, que será o secretário-geral do Governo ou, até à respetiva nomeação, uma personal: date not derivable — No uniquely dated deadline derivable from this clause; cadence or trigger is preserved.
9 - Para a operacionalização da sua missão, o grupo de trabalho pode recrutar até 10 trabalhadores, : date not derivable — No uniquely dated deadline derivable from this clause; cadence or trigger is preserved.
13 - Os encargos financeiros com o funcionamento e cumprimento da missão do grupo de trabalho, desig: date not derivable — No uniquely dated deadline derivable from this clause; cadence or trigger is preserved.
Final report / last specified substantive output: 2027-06-30 — Fixed date / explicit year-end in creating act.</v>
      </c>
      <c r="S22" s="20" t="d">
        <v>2027-06-30T00:00:00.000Z</v>
      </c>
      <c r="T22" s="20" t="d">
        <v>2027-06-30T00:00:00.000Z</v>
      </c>
      <c r="U22" s="3" t="str">
        <v>Fixed date / explicit year-end in creating act.</v>
      </c>
      <c r="V22" s="20"/>
      <c r="W22" s="21" t="str">
        <f>IF(AND(C22="Em atraso",ISNUMBER(V22)),MAX(0,Dashboard!$E$4-V22),"")</f>
      </c>
      <c r="X22" s="3" t="str">
        <v>Unpaid group participation; expense/allowance terms are stated in the original clause.</v>
      </c>
      <c r="Y22" s="3" t="str">
        <v>7 - Os membros do grupo de trabalho a que se refere o n.º 3 que possuam vínculo de emprego público exercem as suas funções em acumulação com as funções públicas atualmente exercidas nos respetivos serviços de origem, nos termos do disposto n.º 1 do artigo 21.º da Lei Geral do Trabalho em Funções Públicas (LTFP), aprovada pela Lei n.º 35/2014, de 20 de junho, na sua redação atual, não sendo devida remuneração ou abonos acrescidos.
8 - Quando a designação dos membros do grupo de trabalho previstos no n.º 3 recair sobre trabalhador sem vínculo de emprego público, aqueles têm estatuto remuneratório equiparado ao fixado para o cargo de secretário-geral do Governo no caso do coordenador, e secretário-geral adjunto no caso dos subcoordenadores, conforme previsto no mapa ii a que se refere o artigo 12.º do anexo i do Decreto-Lei n.º 43-B/2024, de 2 de julho.
11 - A participação no grupo de trabalho não confere o direito a qualquer prestação, independentemente da respetiva natureza, designadamente a título de remuneração, abono, compensação, subsídio, senhas de presença ou ajudas de custo, sem prejuízo do disposto no n.º 7.</v>
      </c>
      <c r="Z22" s="3" t="str">
        <v>Current controlling deadline has not passed; delivery not independently verified.</v>
      </c>
      <c r="AA22" s="3" t="str">
        <v>https://diariodarepublica.pt/dr/detalhe/despacho/9075-a-2024-876110681</v>
      </c>
      <c r="AB22" s="22" t="str">
        <v>Open evidence</v>
      </c>
      <c r="AC22" s="20"/>
      <c r="AD22" s="3" t="str">
        <v>No delivery evidence identified.</v>
      </c>
      <c r="AE22" s="3" t="str">
        <v>Not independently verified.</v>
      </c>
      <c r="AF22" s="3" t="str"/>
      <c r="AG22" s="3" t="str">
        <v>Despacho n.º 3407/2025, de 18 de março — https://diariodarepublica.pt/dr/detalhe/despacho/3407-2025-911315599
Despacho n.º 8479/2025, de 23 de julho — https://diariodarepublica.pt/dr/detalhe/despacho/8479-2025-925799869</v>
      </c>
      <c r="AH22" s="3" t="str">
        <v> Renamed Grupo de Trabalho para a Reforma do Estado and composition/coordination changed by Despachos 3407/2025, 8479/2025 and 9712-A/2025; retained as one body.</v>
      </c>
      <c r="AI22" s="3" t="str">
        <v>DR full-period singular/plural/technical phrase inventories; later acts reviewed. Outcome search: "grupo de trabalho" reforma Estado Administração Pública relatório conclusões after:2024-04-01 before:2026-10-11. Domains: portugal.gov.pt, gov.pt, parlamento.pt, diariodarepublica.pt, justica.gov.pt, dgav.pt, icnf.pt, anac.pt, dgeg.gov.pt. Official evidence/limitations recorded in this row.</v>
      </c>
      <c r="AJ22" s="20" t="d">
        <v>2026-10-10T00:00:00.000Z</v>
      </c>
      <c r="AK22" s="3" t="str">
        <v>2024-08-07</v>
      </c>
      <c r="AL22" s="3" t="str">
        <v>Day after publication.</v>
      </c>
      <c r="AM22" s="3" t="str">
        <v>Express name / creating-act summary; descriptive source label where no formal name is assigned.</v>
      </c>
      <c r="AN22" s="3" t="str">
        <v>Presidency / Council of Ministers; Finance</v>
      </c>
      <c r="AO22" s="3" t="str">
        <v>Final report / last specified substantive output</v>
      </c>
      <c r="AP22" s="3" t="str"/>
      <c r="AQ22" s="21" t="str">
        <f>IF(AND(C22="Em atraso",ISNUMBER(D22)),COUNTIFS(Groups!$C$6:$C$127,"Em atraso",Groups!$D$6:$D$127,"&gt;"&amp;D22)+COUNTIFS($C$6:C22,"Em atraso",$D$6:D22,D22),"")</f>
      </c>
      <c r="AR22" s="21" t="n">
        <f>IF(COUNTIF($F$6:F22,F22)=1,1,0)</f>
        <v>1</v>
      </c>
    </row>
    <row r="23" ht="96" customHeight="1">
      <c r="A23" s="3" t="str">
        <v>GT-2024-018</v>
      </c>
      <c r="B23" s="3" t="str">
        <v>Grupo de Trabalho com o objetivo de analisar o projeto de alterações ao Código da Propriedade Industrial (CPI)</v>
      </c>
      <c r="C23" s="3" t="str">
        <v>Sem informação pública</v>
      </c>
      <c r="D23" s="21" t="str">
        <f>IF(C23="Em atraso",IF(ISNUMBER(T23),MAX(0,Dashboard!$E$4-T23),""),IF(C23="Concluído com atraso",IF(AND(ISNUMBER(T23),ISNUMBER(AC23)),MAX(0,AC23-T23),""),IF(C23="Concluído no prazo",0,"")))</f>
      </c>
      <c r="E23" s="3" t="str">
        <v>XXIV</v>
      </c>
      <c r="F23" s="3" t="str">
        <v>Despacho n.º 9123/2024</v>
      </c>
      <c r="G23" s="22" t="str">
        <v>Open DR act</v>
      </c>
      <c r="H23" s="20" t="d">
        <v>2024-08-12T00:00:00.000Z</v>
      </c>
      <c r="I23" s="20" t="d">
        <v>2024-07-30T00:00:00.000Z</v>
      </c>
      <c r="J23" s="20" t="d">
        <v>2024-08-13T00:00:00.000Z</v>
      </c>
      <c r="K23" s="3" t="str">
        <v>Justiça - Gabinete da Secretária de Estado Adjunta e da Justiça</v>
      </c>
      <c r="L23" s="3" t="str">
        <v>6 - A coordenação do Grupo de Trabalho é efetuada pelo conselho diretivo do INPI, coadjuvado pelos elementos dos gabinetes dos membros do Governo referidos neste despacho.</v>
      </c>
      <c r="M23" s="3" t="str">
        <v>4 - O Grupo de Trabalho é constituído por:
a) Representante do Gabinete da Secretária de Estado Adjunta e da Justiça;
b) Representante do Gabinete do Secretário de Estado da Economia;
c) Presidente do conselho diretivo do INPI;
d) Vogal do conselho diretivo do INPI;
e) Representante da Associação Internacional para a Proteção da Propriedade Intelectual (AIPPI);
f) Representante da Associação Portuguesa de Direito Intelectual (APDI);
g) Representante da Associação Portuguesa dos Consultores em Propriedade Intelectual (ACPI);
h) Representante da Associação Portuguesa dos Mandatários Europeus de Patentes (AMEP).
i) Representante da Câmara de Comércio Internacional (CCI);
j) Representante da Centromarca - Associação Portuguesa de Produtos de Marca;
k) Representante da CIP - Confederação Empresarial de Portugal;
l) Representante da COTEC Portugal - Associação Empresarial para a Inovação.</v>
      </c>
      <c r="N23" s="3" t="str">
        <v>Justice / Intellectual property</v>
      </c>
      <c r="O23" s="3" t="str">
        <v>Review proposed changes to the Industrial Property Code and consult relevant stakeholders.</v>
      </c>
      <c r="P23" s="3" t="str">
        <v>1 - A constituição de um Grupo de Trabalho com o objetivo de analisar o projeto de alterações ao Código da Propriedade Industrial (CPI), que inclui os contributos dos meios interessados.</v>
      </c>
      <c r="Q23" s="3" t="str">
        <v>1 - A constituição de um Grupo de Trabalho com o objetivo de analisar o projeto de alterações ao Código da Propriedade Industrial (CPI), que inclui os contributos dos meios interessados.</v>
      </c>
      <c r="R23" s="3" t="str">
        <v>2 - O presente Grupo de Trabalho deverá apresentar, até 1 de dezembro de 2024, as conclusões relativ: 2024-12-01 — Explicit calendar date in the act.
7 - Na primeira reunião, o conselho diretivo do INPI proporá ao Grupo de Trabalho, para decisão, as : date not derivable — No uniquely dated deadline derivable from this clause; cadence or trigger is preserved.
8 - O Grupo de Trabalho decidirá a frequência, a data e a duração das reuniões, com vista à conclusã: date not derivable — No uniquely dated deadline derivable from this clause; cadence or trigger is preserved.
Final report / last specified substantive output: 2024-12-01 — Fixed date / explicit year-end in creating act.
Subsequent project deadline acknowledged in annual report: 2025-02-25 — INPI activity report, p.17; ministerial instruction dated 13 December 2024, published original not retrieved.
Subsequent project extension acknowledged in annual report: 2025-05-26 — INPI activity report, p.17; published extending act not retrieved.</v>
      </c>
      <c r="S23" s="20" t="d">
        <v>2024-12-01T00:00:00.000Z</v>
      </c>
      <c r="T23" s="20" t="d">
        <v>2024-12-01T00:00:00.000Z</v>
      </c>
      <c r="U23" s="3" t="str">
        <v>Fixed date / explicit year-end in creating act.</v>
      </c>
      <c r="V23" s="20"/>
      <c r="W23" s="21" t="str">
        <f>IF(AND(C23="Em atraso",ISNUMBER(V23)),MAX(0,Dashboard!$E$4-V23),"")</f>
      </c>
      <c r="X23" s="3" t="str">
        <v>Unpaid; see the original clause for the scope of the exclusion.</v>
      </c>
      <c r="Y23" s="3" t="str">
        <v>10 - Os membros dos grupos de trabalho não auferem remuneração.</v>
      </c>
      <c r="Z23" s="3" t="str">
        <v>Official sources disagree on delivery date (1 versus 6 December 2024); delivery is confirmed but timeliness cannot be resolved.</v>
      </c>
      <c r="AA23" s="3" t="str">
        <v>https://diariodarepublica.pt/dr/detalhe/despacho/9123-2024-876110746
https://inpi.justica.gov.pt/Portals/6/PDF%20INPI/Relat%C3%B3rios%20de%20Atividades/inpi_relatorio_atividades_contas_2024.pdf?ver=SSi75RQ1aZwvUzNN6KTcGw%3D%3D
https://inpi.justica.gov.pt/Portals/6/PDF%20INPI/Plano%20Atividades/plano_estrategico/plano_estrategico_inpi_2025_2030_pt.pdf?timestamp=1739790130857&amp;ver=CEpT26AWxiOlxycisEt8Uw%3D%3D</v>
      </c>
      <c r="AB23" s="22" t="str">
        <v>Open evidence</v>
      </c>
      <c r="AC23" s="20"/>
      <c r="AD23" s="3" t="str">
        <v>INPI’s 2024 activity report, p.16, says conclusions were first presented on 6 December 2024; its 2025–2030 strategic plan, p.16, says 1 December. Both confirm delivery but conflict on whether the 1 December deadline was met.</v>
      </c>
      <c r="AE23" s="3" t="str">
        <v>Policy implementation not independently verified.</v>
      </c>
      <c r="AF23" s="3" t="str"/>
      <c r="AG23" s="3" t="str"/>
      <c r="AH23" s="3" t="str">
        <v> Activity report further describes a subsequent 25 February 2025 legislative-project target and extension to 26 May 2025; published extending act not identified. These subsequent project targets are separate from the original conclusions deadline.</v>
      </c>
      <c r="AI23" s="3" t="str">
        <v>DR full-period singular/plural/technical phrase inventories; later acts reviewed. Outcome search: "grupo de trabalho" Código Propriedade Industrial relatório conclusões after:2024-04-01 before:2026-10-11. Domains: portugal.gov.pt, gov.pt, parlamento.pt, diariodarepublica.pt, justica.gov.pt, dgav.pt, icnf.pt, anac.pt, dgeg.gov.pt. Official evidence/limitations recorded in this row.</v>
      </c>
      <c r="AJ23" s="20" t="d">
        <v>2026-10-10T00:00:00.000Z</v>
      </c>
      <c r="AK23" s="3" t="str">
        <v>2024-07-30</v>
      </c>
      <c r="AL23" s="3" t="str">
        <v>Day after publication.</v>
      </c>
      <c r="AM23" s="3" t="str">
        <v>Express name / creating-act summary; descriptive source label where no formal name is assigned.</v>
      </c>
      <c r="AN23" s="3" t="str">
        <v>Justice</v>
      </c>
      <c r="AO23" s="3" t="str">
        <v>Final report / last specified substantive output</v>
      </c>
      <c r="AP23" s="3" t="str"/>
      <c r="AQ23" s="21" t="str">
        <f>IF(AND(C23="Em atraso",ISNUMBER(D23)),COUNTIFS(Groups!$C$6:$C$127,"Em atraso",Groups!$D$6:$D$127,"&gt;"&amp;D23)+COUNTIFS($C$6:C23,"Em atraso",$D$6:D23,D23),"")</f>
      </c>
      <c r="AR23" s="21" t="n">
        <f>IF(COUNTIF($F$6:F23,F23)=1,1,0)</f>
        <v>1</v>
      </c>
    </row>
    <row r="24" ht="96" customHeight="1">
      <c r="A24" s="3" t="str">
        <v>GT-2024-019</v>
      </c>
      <c r="B24" s="3" t="str">
        <v>Procede à criação do grupo de trabalho que acompanha a implementação dos sistemas de controlo de fronteiras Entry Exit System e European Travel Information and Authorisation System, bem como a gestão do controlo de fronteiras aéreas durante períodos de pico</v>
      </c>
      <c r="C24" s="3" t="str">
        <v>Em atraso</v>
      </c>
      <c r="D24" s="21" t="n">
        <f>IF(C24="Em atraso",IF(ISNUMBER(T24),MAX(0,Dashboard!$E$4-T24),""),IF(C24="Concluído com atraso",IF(AND(ISNUMBER(T24),ISNUMBER(AC24)),MAX(0,AC24-T24),""),IF(C24="Concluído no prazo",0,"")))</f>
        <v>528</v>
      </c>
      <c r="E24" s="3" t="str">
        <v>XXIV</v>
      </c>
      <c r="F24" s="3" t="str">
        <v>Despacho n.º 9477/2024</v>
      </c>
      <c r="G24" s="22" t="str">
        <v>Open DR act</v>
      </c>
      <c r="H24" s="20" t="d">
        <v>2024-08-20T00:00:00.000Z</v>
      </c>
      <c r="I24" s="20" t="d">
        <v>2024-07-30T00:00:00.000Z</v>
      </c>
      <c r="J24" s="20"/>
      <c r="K24" s="3" t="str">
        <v>Presidência do Conselho de Ministros, Administração Interna e Infraestruturas e Habitação - Gabinete do Ministro da Presidência, Gabinete da Ministra da Administração Interna e Gabinete do Ministro das Infraestruturas e Habitação</v>
      </c>
      <c r="L24" s="3" t="str">
        <v>3 - O grupo de trabalho é coordenado pelo Secretário de Estado das Infraestruturas, coadjuvado pelo respetivo gabinete governamental, e constituído ainda pelos seguintes membros, sob designação das respetivas entidades:</v>
      </c>
      <c r="M24" s="3" t="str">
        <v>3 - O grupo de trabalho é coordenado pelo Secretário de Estado das Infraestruturas, coadjuvado pelo respetivo gabinete governamental, e constituído ainda pelos seguintes membros, sob designação das respetivas entidades:
a) Representante do membro do Governo responsável pela área das migrações;
b) Representante do membro do Governo responsável pela área da administração interna;
c) Representante da Unidade de Controlo de Fronteiras Externas do Sistema de Segurança Interna;
d) Representante da Agência para a Integração, Migrações e Asilo;
e) Representante da Polícia de Segurança Pública;
f) Representante da Guarda Nacional Republicana;
g) Representante da ANA - Aeroportos de Portugal, S. A.</v>
      </c>
      <c r="N24" s="3" t="str">
        <v>Internal administration / Borders</v>
      </c>
      <c r="O24" s="3" t="str">
        <v>Coordinate EES and ETIAS implementation at airports and improve border-control operations during peak demand.</v>
      </c>
      <c r="P24" s="3" t="str">
        <v>1 - É criado um grupo de trabalho para acompanhar o processo de implementação do EES e do ETIAS nas fronteiras aéreas e manter e otimizar a coordenação da operação nos aeroportos portugueses.</v>
      </c>
      <c r="Q24" s="3" t="str">
        <v>2 - O grupo de trabalho tem por missão a definição de medidas e ações concretas que permitam melhorar a operação do controlo de fronteiras aéreas nos aeroportos portugueses, centrando a sua atuação em dois principais âmbitos:
a) Acompanhamento da implementação dos novos sistemas de controlo de fronteiras, o EES e o ETIAS, incluindo do respetivo plano de comunicação; e
b) Acompanhamento da otimização operacional para os períodos de pico de utilização das infraestruturas aeroportuárias.</v>
      </c>
      <c r="R24" s="3" t="str">
        <v>5 - O Secretário de Estado das Infraestruturas reporta, com periodicidade mensal, o progresso dos tr: date not derivable — No uniquely dated deadline derivable from this clause; cadence or trigger is preserved.
9 - As reuniões do grupo de trabalho decorrem com periodicidade quinzenal.: date not derivable — No uniquely dated deadline derivable from this clause; cadence or trigger is preserved.
10 - O grupo de trabalho deve concluir os trabalhos até 30 de abril de 2025, com possibilidade de pr: 2025-04-30 — Explicit calendar date in the act.
Final report / last specified substantive output: 2025-04-30 — Fixed date / explicit year-end in creating act.</v>
      </c>
      <c r="S24" s="20" t="d">
        <v>2025-04-30T00:00:00.000Z</v>
      </c>
      <c r="T24" s="20" t="d">
        <v>2025-04-30T00:00:00.000Z</v>
      </c>
      <c r="U24" s="3" t="str">
        <v>Fixed date / explicit year-end in creating act.</v>
      </c>
      <c r="V24" s="20"/>
      <c r="W24" s="21" t="str">
        <f>IF(AND(C24="Em atraso",ISNUMBER(V24)),MAX(0,Dashboard!$E$4-V24),"")</f>
      </c>
      <c r="X24" s="3" t="str">
        <v>Not specified in the creating act.</v>
      </c>
      <c r="Y24" s="3" t="str">
        <v>Not specified in act.</v>
      </c>
      <c r="Z24" s="3" t="str">
        <v>Controlling benchmark has passed; no evidence of this output’s delivery identified in the reviewed acts and focused official-source outcome search.</v>
      </c>
      <c r="AA24" s="3" t="str">
        <v>https://diariodarepublica.pt/dr/detalhe/despacho/9477-2024-884784995</v>
      </c>
      <c r="AB24" s="22" t="str">
        <v>Open evidence</v>
      </c>
      <c r="AC24" s="20"/>
      <c r="AD24" s="3" t="str">
        <v>No delivery evidence identified.</v>
      </c>
      <c r="AE24" s="3" t="str">
        <v>Not independently verified.</v>
      </c>
      <c r="AF24" s="3" t="str"/>
      <c r="AG24" s="3" t="str"/>
      <c r="AH24" s="3" t="str"/>
      <c r="AI24" s="3" t="str">
        <v>DR full-period singular/plural/technical phrase inventories; later acts reviewed. Outcome search: "grupo de trabalho" EES ETIAS aeroportos relatório conclusões after:2024-04-01 before:2026-10-11. Domains: portugal.gov.pt, gov.pt, parlamento.pt, diariodarepublica.pt, justica.gov.pt, dgav.pt, icnf.pt, anac.pt, dgeg.gov.pt. Official evidence/limitations recorded in this row.</v>
      </c>
      <c r="AJ24" s="20" t="d">
        <v>2026-10-10T00:00:00.000Z</v>
      </c>
      <c r="AK24" s="3" t="str">
        <v>2024-07-29; 2024-07-30</v>
      </c>
      <c r="AL24" s="3" t="str">
        <v>Not specified in act; no statutory default inferred.</v>
      </c>
      <c r="AM24" s="3" t="str">
        <v>Express name / creating-act summary; descriptive source label where no formal name is assigned.</v>
      </c>
      <c r="AN24" s="3" t="str">
        <v>Presidency / Council of Ministers; Internal affairs; Infrastructure / Housing</v>
      </c>
      <c r="AO24" s="3" t="str">
        <v>Final report / last specified substantive output</v>
      </c>
      <c r="AP24" s="3" t="str">
        <v>Calendar monitoring benchmark; absence of public evidence is not proof of non-delivery.</v>
      </c>
      <c r="AQ24" s="21" t="n">
        <f>IF(AND(C24="Em atraso",ISNUMBER(D24)),COUNTIFS(Groups!$C$6:$C$127,"Em atraso",Groups!$D$6:$D$127,"&gt;"&amp;D24)+COUNTIFS($C$6:C24,"Em atraso",$D$6:D24,D24),"")</f>
        <v>12</v>
      </c>
      <c r="AR24" s="21" t="n">
        <f>IF(COUNTIF($F$6:F24,F24)=1,1,0)</f>
        <v>1</v>
      </c>
    </row>
    <row r="25" ht="96" customHeight="1">
      <c r="A25" s="3" t="str">
        <v>GT-2024-020</v>
      </c>
      <c r="B25" s="3" t="str">
        <v>grupo de trabalho para a melhoria da qualidade do ar nas zonas ou aglomerações com excedências aos objetivos de proteção da saúde para o dióxido de azoto, doravante designado por GT</v>
      </c>
      <c r="C25" s="3" t="str">
        <v>Prorrogado</v>
      </c>
      <c r="D25" s="21" t="str">
        <f>IF(C25="Em atraso",IF(ISNUMBER(T25),MAX(0,Dashboard!$E$4-T25),""),IF(C25="Concluído com atraso",IF(AND(ISNUMBER(T25),ISNUMBER(AC25)),MAX(0,AC25-T25),""),IF(C25="Concluído no prazo",0,"")))</f>
      </c>
      <c r="E25" s="3" t="str">
        <v>XXIV</v>
      </c>
      <c r="F25" s="3" t="str">
        <v>Despacho n.º 9589/2024</v>
      </c>
      <c r="G25" s="22" t="str">
        <v>Open DR act</v>
      </c>
      <c r="H25" s="20" t="d">
        <v>2024-08-21T00:00:00.000Z</v>
      </c>
      <c r="I25" s="20" t="d">
        <v>2024-08-07T00:00:00.000Z</v>
      </c>
      <c r="J25" s="20" t="d">
        <v>2024-08-07T00:00:00.000Z</v>
      </c>
      <c r="K25" s="3" t="str">
        <v>Presidência do Conselho de Ministros, Infraestruturas e Habitação e Ambiente e Energia - Gabinete do Ministro Adjunto e da Coesão Territorial, Gabinete do Ministro das Infraestruturas e Habitação e Gabinete da Ministra do Ambiente e Energia</v>
      </c>
      <c r="L25" s="3" t="str">
        <v>c) Secretário de Estado do Ambiente, a quem compete a coordenação;</v>
      </c>
      <c r="M25" s="3" t="str">
        <v>4 - O GT integra representantes de cada um dos seguintes órgãos e organismos:
a) Ministro Adjunto e da Coesão Territorial;
b) Secretária de Estado da Mobilidade;
c) Secretário de Estado do Ambiente, a quem compete a coordenação;
d) Municípios onde se localizam as áreas de excedência (Porto, Matosinhos, Braga e Lisboa);
e) Agência Portuguesa do Ambiente, I. P. (APA);
f) Comissões de coordenação e desenvolvimento regional das zonas ou aglomerações com excedências aos objetivos de qualidade do ar (Norte e Lisboa e Vale do Tejo);
g) Áreas Metropolitanas de Lisboa e Porto ou comunidades intermunicipais que incluam os concelhos com excedência aos objetivos de qualidade do ar;
h) Autoridade da Mobilidade dos Transportes (AMT);
i) Instituto da Mobilidade e Transportes, I. P. (IMT, I. P.).</v>
      </c>
      <c r="N25" s="3" t="str">
        <v>Environment / Air quality</v>
      </c>
      <c r="O25" s="3" t="str">
        <v>Coordinate air-quality plans and measures to reduce nitrogen-dioxide exceedances.</v>
      </c>
      <c r="P25" s="3" t="str">
        <v>1 - É criado o grupo de trabalho para a melhoria da qualidade do ar nas zonas ou aglomerações com excedências aos objetivos de proteção da saúde para o dióxido de azoto, doravante designado por GT.</v>
      </c>
      <c r="Q25" s="3" t="str">
        <v>1 - É criado o grupo de trabalho para a melhoria da qualidade do ar nas zonas ou aglomerações com excedências aos objetivos de proteção da saúde para o dióxido de azoto, doravante designado por GT.
2 - O GT tem os seguintes objetivos:
a) Promover a elaboração e desenvolvimento dos instrumentos de gestão da qualidade do ar legalmente aplicáveis, designadamente, os planos de qualidade do ar e respetivos programas de execução;
b) Compilar as medidas já aprovadas, a calendarização e o grau da sua implementação;
c) Identificar eventuais constrangimentos ou dificuldades de implementação das medidas já aprovadas, bem como ações que potenciem a sua implementação;
d) Contribuir para agilizar a concretização das obrigações legais inerentes aos procedimentos de aprovação e execução dos instrumentos acima referidos;
e) Analisar a evolução prevista dos resultados da implementação das medidas;
f) Promover a identificação de outras medidas relevantes que possam contribuir para o cumprimento dos objetivos de qualidade do ar, no mais curto espaço de tempo;
g) Preparar uma proposta de financiamento para implementação de medidas de melhoria de qualidade do ar por via do Fundo Ambiental;
h) Identificar potenciais mecanismos de financiamento que contribuam para mitigar os níveis de incumprimento;
i) Dinamizar a articulação entre os vários níveis de governação;
j) Coadjuvar o comprometimento e responsabilização das entidades relevantes para a implementação das medidas previstas nos instrumentos de gestão da qualidade do ar.
9 - O GT tem natureza temporária, com a duração de 18 meses, prorrogável e extingue-se aquando do cumprimento do seu mandato, isto é, quando se verifique o cumprimento consistente dos objetivos de qualidade do ar para o dióxido de azoto em todo o território nacional.
10 - Os representantes que integram o GT exercem as suas funções no horário de trabalho, tendo, para o efeito, direito à afetação de tempo específico para a realização dos trabalhos decorrentes da sua participação.</v>
      </c>
      <c r="R25" s="3" t="str">
        <v>5 - O GT reúne com periodicidade trimestral e sempre que seja relevante, podendo organizar-se em sub: date not derivable — No uniquely dated deadline derivable from this clause; cadence or trigger is preserved.
9 - O GT tem natureza temporária, com a duração de 18 meses, prorrogável e extingue-se aquando do cu: date not derivable — 18 meses after trigger: anchor not expressly specified; exact date cannot be verified.
Final report / last specified substantive output: 2026-02-07 — effective 2024-08-07 + 18 calendar months (anniversary rule).
Extended controlling deadline: 2027-08-07 — Formal extension: Despacho n.º 4750/2026, de 13 de abril — https://diariodarepublica.pt/dr/detalhe/despacho/4750-2026-1084035716</v>
      </c>
      <c r="S25" s="20" t="d">
        <v>2026-02-07T00:00:00.000Z</v>
      </c>
      <c r="T25" s="20" t="d">
        <v>2027-08-07T00:00:00.000Z</v>
      </c>
      <c r="U25" s="3" t="str">
        <v>Formal extension: Despacho n.º 4750/2026, de 13 de abril — https://diariodarepublica.pt/dr/detalhe/despacho/4750-2026-1084035716</v>
      </c>
      <c r="V25" s="20"/>
      <c r="W25" s="21" t="str">
        <f>IF(AND(C25="Em atraso",ISNUMBER(V25)),MAX(0,Dashboard!$E$4-V25),"")</f>
      </c>
      <c r="X25" s="3" t="str">
        <v>Unpaid group participation; expense/allowance terms are stated in the original clause.</v>
      </c>
      <c r="Y25" s="3" t="str">
        <v>11 - Aos representantes que integram o GT não é devido o pagamento de qualquer remuneração ou abono pelo trabalho desenvolvido, nem é devida qualquer remuneração adicional, salvo, nos termos da lei, as ajudas de custo que, a existirem, deverão ser suportadas integralmente pelos organismos de origem.</v>
      </c>
      <c r="Z25" s="3" t="str">
        <v>Current controlling deadline has not passed; delivery not independently verified.</v>
      </c>
      <c r="AA25" s="3" t="str">
        <v>https://diariodarepublica.pt/dr/detalhe/despacho/9589-2024-884941463
https://diariodarepublica.pt/dr/detalhe/despacho/4750-2026-1084035716</v>
      </c>
      <c r="AB25" s="22" t="str">
        <v>Open evidence</v>
      </c>
      <c r="AC25" s="20"/>
      <c r="AD25" s="3" t="str">
        <v>No delivery evidence identified.</v>
      </c>
      <c r="AE25" s="3" t="str">
        <v>Not independently verified.</v>
      </c>
      <c r="AF25" s="3" t="str"/>
      <c r="AG25" s="3" t="str">
        <v>Despacho n.º 4750/2026, de 13 de abril — https://diariodarepublica.pt/dr/detalhe/despacho/4750-2026-1084035716</v>
      </c>
      <c r="AH25" s="3" t="str"/>
      <c r="AI25" s="3" t="str">
        <v>DR full-period singular/plural/technical phrase inventories; later acts reviewed. Outcome search: "grupo de trabalho" NO2 qualidade ar relatório conclusões after:2024-04-01 before:2026-10-11. Domains: portugal.gov.pt, gov.pt, parlamento.pt, diariodarepublica.pt, justica.gov.pt, dgav.pt, icnf.pt, anac.pt, dgeg.gov.pt. Official evidence/limitations recorded in this row.</v>
      </c>
      <c r="AJ25" s="20" t="d">
        <v>2026-10-10T00:00:00.000Z</v>
      </c>
      <c r="AK25" s="3" t="str">
        <v>2024-08-06; 2024-08-07</v>
      </c>
      <c r="AL25" s="3" t="str">
        <v>Latest signature used where multiple signatures occur.</v>
      </c>
      <c r="AM25" s="3" t="str">
        <v>Express name / creating-act summary; descriptive source label where no formal name is assigned.</v>
      </c>
      <c r="AN25" s="3" t="str">
        <v>Presidency / Council of Ministers; Infrastructure / Housing; Environment / Energy; Territorial cohesion</v>
      </c>
      <c r="AO25" s="3" t="str">
        <v>Final report / last specified substantive output</v>
      </c>
      <c r="AP25" s="3" t="str"/>
      <c r="AQ25" s="21" t="str">
        <f>IF(AND(C25="Em atraso",ISNUMBER(D25)),COUNTIFS(Groups!$C$6:$C$127,"Em atraso",Groups!$D$6:$D$127,"&gt;"&amp;D25)+COUNTIFS($C$6:C25,"Em atraso",$D$6:D25,D25),"")</f>
      </c>
      <c r="AR25" s="21" t="n">
        <f>IF(COUNTIF($F$6:F25,F25)=1,1,0)</f>
        <v>1</v>
      </c>
    </row>
    <row r="26" ht="96" customHeight="1">
      <c r="A26" s="3" t="str">
        <v>GT-2024-021</v>
      </c>
      <c r="B26" s="3" t="str">
        <v>grupo de trabalho para avaliação da implementação da Estratégia Nacional para a Integração das Pessoas em Situação de Sem-Abrigo 2017-2023 (ENIPSSA 2017-2023)</v>
      </c>
      <c r="C26" s="3" t="str">
        <v>Concluído no prazo</v>
      </c>
      <c r="D26" s="21" t="n">
        <f>IF(C26="Em atraso",IF(ISNUMBER(T26),MAX(0,Dashboard!$E$4-T26),""),IF(C26="Concluído com atraso",IF(AND(ISNUMBER(T26),ISNUMBER(AC26)),MAX(0,AC26-T26),""),IF(C26="Concluído no prazo",0,"")))</f>
        <v>0</v>
      </c>
      <c r="E26" s="3" t="str">
        <v>XXIV</v>
      </c>
      <c r="F26" s="3" t="str">
        <v>Despacho n.º 9648/2024</v>
      </c>
      <c r="G26" s="22" t="str">
        <v>Open DR act</v>
      </c>
      <c r="H26" s="20" t="d">
        <v>2024-08-21T00:00:00.000Z</v>
      </c>
      <c r="I26" s="20" t="d">
        <v>2024-08-02T00:00:00.000Z</v>
      </c>
      <c r="J26" s="20" t="d">
        <v>2024-08-01T00:00:00.000Z</v>
      </c>
      <c r="K26" s="3" t="str">
        <v>Trabalho, Solidariedade e Segurança Social - Gabinete da Ministra do Trabalho, Solidariedade e Segurança Social</v>
      </c>
      <c r="L26" s="3" t="str">
        <v>Helga Alexandra Freire Correia, Gabinete da Secretária de Estado da Ação Social e da Inclusão.</v>
      </c>
      <c r="M26" s="3" t="str">
        <v>1 - A constituição de um grupo de trabalho para avaliação da implementação da Estratégia Nacional para a Integração das Pessoas em Situação de Sem-Abrigo 2017-2023 (ENIPSSA 2017-2023), em vigor até ao final de 2024, que, designadamente, procede aos seguintes objetivos:
a) Avaliação das políticas implementadas, assim como a um levantamento atual das pessoas em situação de sem-abrigo;
b) Caracterização da pessoa em situação de sem abrigo;
c) Avaliação da ação e caracterização dos Núcleos de Planeamento e Intervenção Sem-Abrigo (NPISA), e outras estruturas que coordenam as ações de inserção das pessoas em situação de sem-abrigo;
d) Apresentação de propostas para a Estratégia Nacional para a Integração das Pessoas em Situação de Sem-Abrigo 2025-2030 (ENIPSSA 2025-2030).
2 - O grupo de trabalho tem a seguinte composição:
a) Sara Isabel Salsas Carneiro, em representação da Presidência do Conselho de Ministros;
b) António André Nogueira Ribeiro, em representação do Ministério do Trabalho, Solidariedade e Segurança Social;
c) Rita Maria Reverendo Cruz de Sousa Rocha, em representação do Ministério das Infraestruturas e Habitação;
d) Lara Alexandra Marçal Tomás Martins, em representação do Ministério da Saúde;
e) Sónia Maria Moreira Reis, em representação do Ministério da Justiça;
f) Daniela Dias José, em representação do Ministério da Administração Interna;
g) Lucília Maria Samoreno Ferra, em representação do Gabinete do Ministro Adjunto e da Coesão Territorial;
h) O Gestor Executivo da Estratégia Nacional de Integração das Pessoas em Situação de Sem-Abrigo, Henrique Manuel Marques Joaquim.</v>
      </c>
      <c r="N26" s="3" t="str">
        <v>Social protection / Homelessness</v>
      </c>
      <c r="O26" s="3" t="str">
        <v>Evaluate homelessness policies and recommend the 2025–2030 national integration strategy.</v>
      </c>
      <c r="P26" s="3" t="str">
        <v>1 - A constituição de um grupo de trabalho para avaliação da implementação da Estratégia Nacional para a Integração das Pessoas em Situação de Sem-Abrigo 2017-2023 (ENIPSSA 2017-2023), em vigor até ao final de 2024, que, designadamente, procede aos seguintes objetivos:
a) Avaliação das políticas implementadas, assim como a um levantamento atual das pessoas em situação de sem-abrigo;
b) Caracterização da pessoa em situação de sem abrigo;
c) Avaliação da ação e caracterização dos Núcleos de Planeamento e Intervenção Sem-Abrigo (NPISA), e outras estruturas que coordenam as ações de inserção das pessoas em situação de sem-abrigo;
d) Apresentação de propostas para a Estratégia Nacional para a Integração das Pessoas em Situação de Sem-Abrigo 2025-2030 (ENIPSSA 2025-2030).</v>
      </c>
      <c r="Q26" s="3" t="str">
        <v>5 - O grupo de trabalho pode, em qualquer altura, proceder à consulta de outros ministérios, de outras entidades, públicas e privadas, bem como personalidades de reconhecido mérito, cujo contributo seja importante para os trabalhos e objetivos propostos.
6 - Os membros do grupo de trabalho não auferem qualquer remuneração ou abono pelo exercício das suas funções.
7 - O grupo de trabalho apresenta ao membro do Governo responsável pela área do trabalho, solidariedade e segurança social o ponto de situação no dia 15 de outubro de 2024, nos termos da execução da missão do presente despacho.</v>
      </c>
      <c r="R26" s="3" t="str">
        <v>1 - A constituição de um grupo de trabalho para avaliação da implementação da Estratégia Nacional pa: 2024-12-31 — Explicit year-end: 31 December 2024.
Final report / last specified substantive output: 2024-10-15 — Fixed date / explicit year-end in creating act.</v>
      </c>
      <c r="S26" s="20" t="d">
        <v>2024-10-15T00:00:00.000Z</v>
      </c>
      <c r="T26" s="20" t="d">
        <v>2024-10-15T00:00:00.000Z</v>
      </c>
      <c r="U26" s="3" t="str">
        <v>Fixed date / explicit year-end in creating act.</v>
      </c>
      <c r="V26" s="20"/>
      <c r="W26" s="21" t="str">
        <f>IF(AND(C26="Em atraso",ISNUMBER(V26)),MAX(0,Dashboard!$E$4-V26),"")</f>
      </c>
      <c r="X26" s="3" t="str">
        <v>Unpaid; see the original clause for the scope of the exclusion.</v>
      </c>
      <c r="Y26" s="3" t="str">
        <v>6 - Os membros do grupo de trabalho não auferem qualquer remuneração ou abono pelo exercício das suas funções.</v>
      </c>
      <c r="Z26" s="3" t="str">
        <v>Work finished on the fixed 15 October 2024 deadline.</v>
      </c>
      <c r="AA26" s="3" t="str">
        <v>https://diariodarepublica.pt/dr/detalhe/despacho/9648-2024-885027571
https://diariodarepublica.pt/dr/detalhe/resolucao-conselho-ministros/208-2024-901536082</v>
      </c>
      <c r="AB26" s="22" t="str">
        <v>Open evidence</v>
      </c>
      <c r="AC26" s="20" t="d">
        <v>2024-10-15T00:00:00.000Z</v>
      </c>
      <c r="AD26" s="3" t="str">
        <v>RCM 208/2024 explicitly says the group finished its work on 15 October 2024.</v>
      </c>
      <c r="AE26" s="3" t="str">
        <v>ENIPSSA 2025–2030 approved by RCM 208/2024, published 30 December 2024.</v>
      </c>
      <c r="AF26" s="3" t="str">
        <v>https://diariodarepublica.pt/dr/detalhe/resolucao-conselho-ministros/208-2024-901536082</v>
      </c>
      <c r="AG26" s="3" t="str"/>
      <c r="AH26" s="3" t="str"/>
      <c r="AI26" s="3" t="str">
        <v>DR full-period singular/plural/technical phrase inventories; later acts reviewed. Outcome search: "grupo de trabalho" pessoas situação sem abrigo estratégia 2025 2030 relatório conclusões after:2024-04-01 before:2026-10-11. Domains: portugal.gov.pt, gov.pt, parlamento.pt, diariodarepublica.pt, justica.gov.pt, dgav.pt, icnf.pt, anac.pt, dgeg.gov.pt. Official evidence/limitations recorded in this row.</v>
      </c>
      <c r="AJ26" s="20" t="d">
        <v>2026-10-10T00:00:00.000Z</v>
      </c>
      <c r="AK26" s="3" t="str">
        <v>2024-08-02</v>
      </c>
      <c r="AL26" s="3" t="str">
        <v>Explicit retrospective or future date.</v>
      </c>
      <c r="AM26" s="3" t="str">
        <v>Express name / creating-act summary; descriptive source label where no formal name is assigned.</v>
      </c>
      <c r="AN26" s="3" t="str">
        <v>Labour / Social security</v>
      </c>
      <c r="AO26" s="3" t="str">
        <v>Final report / last specified substantive output</v>
      </c>
      <c r="AP26" s="3" t="str"/>
      <c r="AQ26" s="21" t="str">
        <f>IF(AND(C26="Em atraso",ISNUMBER(D26)),COUNTIFS(Groups!$C$6:$C$127,"Em atraso",Groups!$D$6:$D$127,"&gt;"&amp;D26)+COUNTIFS($C$6:C26,"Em atraso",$D$6:D26,D26),"")</f>
      </c>
      <c r="AR26" s="21" t="n">
        <f>IF(COUNTIF($F$6:F26,F26)=1,1,0)</f>
        <v>1</v>
      </c>
    </row>
    <row r="27" ht="96" customHeight="1">
      <c r="A27" s="3" t="str">
        <v>GT-2024-022</v>
      </c>
      <c r="B27" s="3" t="str">
        <v>Revoga o Despacho n.º 10752-A/2023, de 20 de outubro, e determina a criação de grupo de trabalho para revisão do Decreto-Lei n.º 163/2006, de 8 de agosto, na sua redação atual, e respetivas normas técnicas de acessibilidade</v>
      </c>
      <c r="C27" s="3" t="str">
        <v>Em atraso</v>
      </c>
      <c r="D27" s="21" t="n">
        <f>IF(C27="Em atraso",IF(ISNUMBER(T27),MAX(0,Dashboard!$E$4-T27),""),IF(C27="Concluído com atraso",IF(AND(ISNUMBER(T27),ISNUMBER(AC27)),MAX(0,AC27-T27),""),IF(C27="Concluído no prazo",0,"")))</f>
        <v>283</v>
      </c>
      <c r="E27" s="3" t="str">
        <v>XXIV</v>
      </c>
      <c r="F27" s="3" t="str">
        <v>Despacho n.º 9649/2024</v>
      </c>
      <c r="G27" s="22" t="str">
        <v>Open DR act</v>
      </c>
      <c r="H27" s="20" t="d">
        <v>2024-08-21T00:00:00.000Z</v>
      </c>
      <c r="I27" s="20" t="d">
        <v>2024-08-02T00:00:00.000Z</v>
      </c>
      <c r="J27" s="20" t="d">
        <v>2024-08-30T00:00:00.000Z</v>
      </c>
      <c r="K27" s="3" t="str">
        <v>Trabalho, Solidariedade e Segurança Social - Gabinete da Secretária de Estado da Ação Social e da Inclusão</v>
      </c>
      <c r="L27" s="3" t="str">
        <v>3 - O grupo de trabalho tem natureza temporária e integra um representante do Gabinete da Secretária de Estado da Ação Social e da Inclusão, que coordena.</v>
      </c>
      <c r="M27" s="3" t="str">
        <v>3 - O grupo de trabalho tem natureza temporária e integra um representante do Gabinete da Secretária de Estado da Ação Social e da Inclusão, que coordena.
4 - O grupo de trabalho integra ainda:
a) Um representante indicado pelo Gabinete da/o Secretária/o de Estado da Administração Local e Ordenamento do Território;
b) Um representante indicado pelo Gabinete da/o Secretária/o de Estado da Proteção Civil;
c) Um representante indicado pelo Gabinete da/o Secretária/o de Estado das Infraestruturas;
d) Um representante indicado pelo Gabinete da/o Secretária/o de Estado da Mobilidade;
e) Um representante indicado pelo Gabinete da/o Secretária/o de Estado da Habitação;
f) Um representante do Instituto Nacional para a Reabilitação I. P. (INR, I. P.);
g) Um elemento de reconhecido mérito no domínio da inclusão das pessoas com deficiência, designado pela Secretária de Estado da Ação Social e da Inclusão.</v>
      </c>
      <c r="N27" s="3" t="str">
        <v>Social protection / Disability</v>
      </c>
      <c r="O27" s="3" t="str">
        <v>Propose changes to accessibility legislation and technical standards to improve inclusion of people with disabilities.</v>
      </c>
      <c r="P27" s="3" t="str">
        <v>2 - Constituir um grupo de trabalho, com os seguintes objetivos:
a) Submeter ao Governo proposta de alteração do Decreto-Lei n.º 163/2006, de 8 de agosto, na sua redação atual, incluindo as normas técnicas de acessibilidade que lhe são anexas; e
b) Identificar os atos legislativos e normas técnicas específicas que mereçam as alterações devidas para a melhoria eficiente e contínua das condições de acessibilidade e de inclusão das pessoas com deficiência, nomeadamente no ambiente digital, construído, comunicacional e na informação.</v>
      </c>
      <c r="Q27" s="3" t="str">
        <v>2 - Constituir um grupo de trabalho, com os seguintes objetivos:
a) Submeter ao Governo proposta de alteração do Decreto-Lei n.º 163/2006, de 8 de agosto, na sua redação atual, incluindo as normas técnicas de acessibilidade que lhe são anexas; e
b) Identificar os atos legislativos e normas técnicas específicas que mereçam as alterações devidas para a melhoria eficiente e contínua das condições de acessibilidade e de inclusão das pessoas com deficiência, nomeadamente no ambiente digital, construído, comunicacional e na informação.
5 - O grupo de trabalho pode, em qualquer altura, proceder à consulta de outros ministérios, de outras entidades, públicas e privadas, cujo contributo seja considerado relevante para prossecução dos trabalhos e objetivos propostos.
6 - Os membros do grupo de trabalho, bem como os representantes das entidades convidadas a nele participar nos termos do número anterior, não auferem qualquer remuneração ou abono pelo exercício de funções.
7 - Determina-se ainda, que o prazo para a conclusão dos objetivos do grupo de trabalho é de seis meses, prorrogável por três meses, contado a partir da entrada em vigor do presente despacho.</v>
      </c>
      <c r="R27" s="3" t="str">
        <v>7 - Determina-se ainda, que o prazo para a conclusão dos objetivos do grupo de trabalho é de seis me: 2025-02-28 — 2024-08-30 + 6 meses by calendar anniversary, end-of-month capped if necessary.
8 - Os representantes das entidades referidas no n.º 4 são designados no prazo máximo de 10 dias apó: 2024-09-09 — 2024-08-30 + 10 calendar days (monitoring convention). If CPA procedural counting applies: 2024-09-13.
9 - O mandato do grupo de trabalho cessa com a apresentação de um relatório, que deve ocorrer até ao: date not derivable — No uniquely dated deadline derivable from this clause; cadence or trigger is preserved.
Final report / last specified substantive output: 2025-02-28 — effective 2024-08-30 + 6 calendar months (anniversary rule).
Extended controlling deadline: 2025-12-31 — Formal extension: Despacho n.º 9463/2025, de 8 de agosto — https://diariodarepublica.pt/dr/detalhe/despacho/9463-2025-928296838</v>
      </c>
      <c r="S27" s="20" t="d">
        <v>2025-02-28T00:00:00.000Z</v>
      </c>
      <c r="T27" s="20" t="d">
        <v>2025-12-31T00:00:00.000Z</v>
      </c>
      <c r="U27" s="3" t="str">
        <v>Formal extension: Despacho n.º 9463/2025, de 8 de agosto — https://diariodarepublica.pt/dr/detalhe/despacho/9463-2025-928296838</v>
      </c>
      <c r="V27" s="20"/>
      <c r="W27" s="21" t="str">
        <f>IF(AND(C27="Em atraso",ISNUMBER(V27)),MAX(0,Dashboard!$E$4-V27),"")</f>
      </c>
      <c r="X27" s="3" t="str">
        <v>Unpaid; see the original clause for the scope of the exclusion.</v>
      </c>
      <c r="Y27" s="3" t="str">
        <v>6 - Os membros do grupo de trabalho, bem como os representantes das entidades convidadas a nele participar nos termos do número anterior, não auferem qualquer remuneração ou abono pelo exercício de funções.</v>
      </c>
      <c r="Z27" s="3" t="str">
        <v>Controlling benchmark has passed; no evidence of this output’s delivery identified in the reviewed acts and focused official-source outcome search.</v>
      </c>
      <c r="AA27" s="3" t="str">
        <v>https://diariodarepublica.pt/dr/detalhe/despacho/9649-2024-885027572
https://diariodarepublica.pt/dr/detalhe/despacho/9463-2025-928296838</v>
      </c>
      <c r="AB27" s="22" t="str">
        <v>Open evidence</v>
      </c>
      <c r="AC27" s="20"/>
      <c r="AD27" s="3" t="str">
        <v>No delivery evidence identified.</v>
      </c>
      <c r="AE27" s="3" t="str">
        <v>Not independently verified.</v>
      </c>
      <c r="AF27" s="3" t="str"/>
      <c r="AG27" s="3" t="str">
        <v>Despacho n.º 9463/2025, de 8 de agosto — https://diariodarepublica.pt/dr/detalhe/despacho/9463-2025-928296838</v>
      </c>
      <c r="AH27" s="3" t="str"/>
      <c r="AI27" s="3" t="str">
        <v>DR full-period singular/plural/technical phrase inventories; later acts reviewed. Outcome search: "grupo de trabalho" acessibilidades 163/2006 revisão relatório conclusões after:2024-04-01 before:2026-10-11. Domains: portugal.gov.pt, gov.pt, parlamento.pt, diariodarepublica.pt, justica.gov.pt, dgav.pt, icnf.pt, anac.pt, dgeg.gov.pt. Official evidence/limitations recorded in this row.</v>
      </c>
      <c r="AJ27" s="20" t="d">
        <v>2026-10-10T00:00:00.000Z</v>
      </c>
      <c r="AK27" s="3" t="str">
        <v>2024-08-02</v>
      </c>
      <c r="AL27" s="3" t="str">
        <v>Explicit retrospective or future date.</v>
      </c>
      <c r="AM27" s="3" t="str">
        <v>Express name / creating-act summary; descriptive source label where no formal name is assigned.</v>
      </c>
      <c r="AN27" s="3" t="str">
        <v>Labour / Social security</v>
      </c>
      <c r="AO27" s="3" t="str">
        <v>Final report / last specified substantive output</v>
      </c>
      <c r="AP27" s="3" t="str">
        <v>Calendar monitoring benchmark; absence of public evidence is not proof of non-delivery.</v>
      </c>
      <c r="AQ27" s="21" t="n">
        <f>IF(AND(C27="Em atraso",ISNUMBER(D27)),COUNTIFS(Groups!$C$6:$C$127,"Em atraso",Groups!$D$6:$D$127,"&gt;"&amp;D27)+COUNTIFS($C$6:C27,"Em atraso",$D$6:D27,D27),"")</f>
        <v>36</v>
      </c>
      <c r="AR27" s="21" t="n">
        <f>IF(COUNTIF($F$6:F27,F27)=1,1,0)</f>
        <v>1</v>
      </c>
    </row>
    <row r="28" ht="96" customHeight="1">
      <c r="A28" s="3" t="str">
        <v>GT-2024-023</v>
      </c>
      <c r="B28" s="3" t="str">
        <v>grupo de trabalho para efeitos de acompanhamento e seguimento da implementação e desenvolvimento das medidas urgentes</v>
      </c>
      <c r="C28" s="3" t="str">
        <v>Em atraso</v>
      </c>
      <c r="D28" s="21" t="n">
        <f>IF(C28="Em atraso",IF(ISNUMBER(T28),MAX(0,Dashboard!$E$4-T28),""),IF(C28="Concluído com atraso",IF(AND(ISNUMBER(T28),ISNUMBER(AC28)),MAX(0,AC28-T28),""),IF(C28="Concluído no prazo",0,"")))</f>
        <v>496</v>
      </c>
      <c r="E28" s="3" t="str">
        <v>XXIV</v>
      </c>
      <c r="F28" s="3" t="str">
        <v>Despacho n.º 10208-A/2024</v>
      </c>
      <c r="G28" s="22" t="str">
        <v>Open DR act</v>
      </c>
      <c r="H28" s="20" t="d">
        <v>2024-08-29T00:00:00.000Z</v>
      </c>
      <c r="I28" s="20" t="d">
        <v>2024-08-29T00:00:00.000Z</v>
      </c>
      <c r="J28" s="20" t="d">
        <v>2024-06-01T00:00:00.000Z</v>
      </c>
      <c r="K28" s="3" t="str">
        <v>Saúde - Gabinete da Ministra da Saúde</v>
      </c>
      <c r="L28" s="3" t="str">
        <v>3 - O grupo de trabalho é coordenado pelo Prof. Doutor Carlos Manuel Silva Robalo Cordeiro, diretor do serviço de pneumologia da ULS de Coimbra, desde 2016; Professor Catedrático de Pneumologia da Faculdade de Medicina da Universidade de Coimbra (FMUC), desde 2016 e diretor da FMUC desde 2019; past-presidente da European Respiratory Society, 2023-2024 e presidente do conselho de administração do Centro Académico e Clínico de Coimbra, desde 2022.</v>
      </c>
      <c r="M28" s="3" t="str">
        <v>4 - O grupo de trabalho é ainda constituído pelos seguintes membros:
a) Em representação da Ordem dos Médicos, Dr. Eurico Castro Alves;
b) Em representação da Ordem dos Enfermeiros, Enf. Ricardo Jorge Correia de Matos;
c) Em representação da Ordem dos Farmacêuticos, Dr. Humberto Alexandre Marçal Tomás Martins.
5 - O grupo de trabalho é composto, igualmente, pelos seguintes membros:
a) Prof. Doutor Henrique Cyrne Carvalho;
b) Prof. Doutor Paulo Alexandre de Azevedo Pereira dos Santos;
c) Dr. Carlos Manuel Gregório dos Santos;
d) Prof. Doutor Miguel Castelo-Branco Craveiro Sousa;
e) Dr.ª Teresa Maria da Silva Sustelo Fidalgo de Freitas;
f) Dr. Ricardo Filipe Barreiros Mexia;
g) Enfermeira Chefe Maria Luísa Carvalho de Aguiar Camara Ximenez;
h) Dr.ª Noélia Rubina Correia Liça Pinto.</v>
      </c>
      <c r="N28" s="3" t="str">
        <v>Health</v>
      </c>
      <c r="O28" s="3" t="str">
        <v>Monitor delivery of the Emergency and Transformation Plan for Health and report monthly on progress.</v>
      </c>
      <c r="P28" s="3" t="str">
        <v>1 - A constituição de um grupo de trabalho para efeitos de acompanhamento e seguimento da implementação e desenvolvimento das medidas urgentes, prioritárias e estruturantes plasmadas e constantes no Plano de Emergência e Transformação na Saúde.</v>
      </c>
      <c r="Q28" s="3" t="str">
        <v>1 - A constituição de um grupo de trabalho para efeitos de acompanhamento e seguimento da implementação e desenvolvimento das medidas urgentes, prioritárias e estruturantes plasmadas e constantes no Plano de Emergência e Transformação na Saúde.</v>
      </c>
      <c r="R28" s="3" t="str">
        <v>9 - No âmbito das suas atividades, o grupo de trabalho deverá apresentar um documento de periodicida: date not derivable — No uniquely dated deadline derivable from this clause; cadence or trigger is preserved.
10 - O presente despacho produz efeitos a 1 de junho de 2024 e vigorará pelo prazo de um ano, sem pr: 2024-06-01 — 1 ano after trigger: anchor not expressly specified; exact date cannot be verified.
Mandate end: 2025-06-01 — Fixed date / explicit year-end in creating act.</v>
      </c>
      <c r="S28" s="20" t="d">
        <v>2025-06-01T00:00:00.000Z</v>
      </c>
      <c r="T28" s="20" t="d">
        <v>2025-06-01T00:00:00.000Z</v>
      </c>
      <c r="U28" s="3" t="str">
        <v>Fixed date / explicit year-end in creating act.</v>
      </c>
      <c r="V28" s="20"/>
      <c r="W28" s="21" t="str">
        <f>IF(AND(C28="Em atraso",ISNUMBER(V28)),MAX(0,Dashboard!$E$4-V28),"")</f>
      </c>
      <c r="X28" s="3" t="str">
        <v>Unpaid group participation; expense/allowance terms are stated in the original clause.</v>
      </c>
      <c r="Y28" s="3" t="str">
        <v>7 - A participação no grupo de trabalho não confere direito a qualquer prestação adicional, designadamente, a título de remuneração, abono, compensação, subsídio ou senhas de presença, ressalvadas as ajudas de custo a que haja direito nos termos da lei.</v>
      </c>
      <c r="Z28" s="3" t="str">
        <v>Controlling benchmark has passed; no evidence of this output’s delivery identified in the reviewed acts and focused official-source outcome search.</v>
      </c>
      <c r="AA28" s="3" t="str">
        <v>https://diariodarepublica.pt/dr/detalhe/despacho/10208-a-2024-886333775</v>
      </c>
      <c r="AB28" s="22" t="str">
        <v>Open evidence</v>
      </c>
      <c r="AC28" s="20"/>
      <c r="AD28" s="3" t="str">
        <v>No delivery evidence identified.</v>
      </c>
      <c r="AE28" s="3" t="str">
        <v>Not independently verified.</v>
      </c>
      <c r="AF28" s="3" t="str"/>
      <c r="AG28" s="3" t="str"/>
      <c r="AH28" s="3" t="str"/>
      <c r="AI28" s="3" t="str">
        <v>DR full-period singular/plural/technical phrase inventories; later acts reviewed. Outcome search: "grupo de trabalho" PETS saúde monitorização relatório conclusões after:2024-04-01 before:2026-10-11. Domains: portugal.gov.pt, gov.pt, parlamento.pt, diariodarepublica.pt, justica.gov.pt, dgav.pt, icnf.pt, anac.pt, dgeg.gov.pt. Official evidence/limitations recorded in this row.</v>
      </c>
      <c r="AJ28" s="20" t="d">
        <v>2026-10-10T00:00:00.000Z</v>
      </c>
      <c r="AK28" s="3" t="str">
        <v>2024-08-29</v>
      </c>
      <c r="AL28" s="3" t="str">
        <v>Explicit retrospective or future date.</v>
      </c>
      <c r="AM28" s="3" t="str">
        <v>Express name / creating-act summary; descriptive source label where no formal name is assigned.</v>
      </c>
      <c r="AN28" s="3" t="str">
        <v>Health</v>
      </c>
      <c r="AO28" s="3" t="str">
        <v>Mandate end</v>
      </c>
      <c r="AP28" s="3" t="str">
        <v>Calendar monitoring benchmark; absence of public evidence is not proof of non-delivery.</v>
      </c>
      <c r="AQ28" s="21" t="n">
        <f>IF(AND(C28="Em atraso",ISNUMBER(D28)),COUNTIFS(Groups!$C$6:$C$127,"Em atraso",Groups!$D$6:$D$127,"&gt;"&amp;D28)+COUNTIFS($C$6:C28,"Em atraso",$D$6:D28,D28),"")</f>
        <v>19</v>
      </c>
      <c r="AR28" s="21" t="n">
        <f>IF(COUNTIF($F$6:F28,F28)=1,1,0)</f>
        <v>1</v>
      </c>
    </row>
    <row r="29" ht="96" customHeight="1">
      <c r="A29" s="3" t="str">
        <v>GT-2024-024</v>
      </c>
      <c r="B29" s="3" t="str">
        <v>Grupo de Trabalho Interministerial</v>
      </c>
      <c r="C29" s="3" t="str">
        <v>Em atraso</v>
      </c>
      <c r="D29" s="21" t="n">
        <f>IF(C29="Em atraso",IF(ISNUMBER(T29),MAX(0,Dashboard!$E$4-T29),""),IF(C29="Concluído com atraso",IF(AND(ISNUMBER(T29),ISNUMBER(AC29)),MAX(0,AC29-T29),""),IF(C29="Concluído no prazo",0,"")))</f>
        <v>407</v>
      </c>
      <c r="E29" s="3" t="str">
        <v>XXIV</v>
      </c>
      <c r="F29" s="3" t="str">
        <v>Despacho n.º 10294-C/2024</v>
      </c>
      <c r="G29" s="22" t="str">
        <v>Open DR act</v>
      </c>
      <c r="H29" s="20" t="d">
        <v>2024-08-30T00:00:00.000Z</v>
      </c>
      <c r="I29" s="20" t="d">
        <v>2024-08-29T00:00:00.000Z</v>
      </c>
      <c r="J29" s="20" t="d">
        <v>2024-08-30T00:00:00.000Z</v>
      </c>
      <c r="K29" s="3" t="str">
        <v>Justiça, Administração Interna e Saúde - Gabinete da Ministra da Justiça, Gabinete da Ministra da Administração Interna e Gabinete da Ministra da Saúde</v>
      </c>
      <c r="L29" s="3" t="str">
        <v>Secretário de Estado da Administração Interna</v>
      </c>
      <c r="M29" s="3" t="str">
        <v>3 - O Grupo de Trabalho Interministerial, previsto na alínea a) do n.º 1 tem a seguinte composição:
a) O Secretário de Estado da Administração Interna, que coordena;
b) A Secretária de Estado da Saúde;
c) Dois representantes do membro do Governo responsável pela área da justiça;
d) Dois representantes do membro do Governo responsável pela área da administração interna;
e) Dois representantes do membro do Governo responsável pela área da saúde.
4 - Podem ainda integrar o Grupo de Trabalho Interministerial, previsto na alínea a) do n.º 1, quando convocados para o efeito:
a) Um representante da Inspeção-Geral da Administração Interna;
b) Um representante da Guarda Nacional Republicana;
c) Um representante da Polícia de Segurança Pública;
d) Um representante da Polícia Judiciária;
e) Um representante do Corpo da Guarda Prisional;
f) Dois representantes da Coordenação Nacional das Políticas de Saúde Mental (CNPSM);
g) Um representante do Instituto para os Comportamentos Aditivos e as Dependências (ICAD, I. P.);
h) Um representante da Direção-Geral de Reinserção e Serviços Prisionais, para tratamento de questões ou interesses específicos associados aos grupos de pessoal de reeducação e de reinserção social;
i) Representantes de outras entidades no âmbito dos Ministérios da Saúde, Administração Interna ou Justiça cujo contributo se revele necessário.</v>
      </c>
      <c r="N29" s="3" t="str">
        <v>Health / Internal administration / Justice</v>
      </c>
      <c r="O29" s="3" t="str">
        <v>Develop and monitor mental-health and suicide-prevention measures for police, prison officers and rehabilitation personnel.</v>
      </c>
      <c r="P29" s="3" t="str">
        <v>1 - A constituição, para implementação, criação e monitorização do programa estruturado de saúde mental e de prevenção do suicídio para as forças de segurança (GNR e PSP), PJ, corpo da guarda prisional e técnicos da área da reeducação/reinserção social (Direção-Geral de Reinserção e Serviços Prisionais), de três grupos de trabalho:
a) Grupo de Trabalho Interministerial;
b) Grupos de Trabalho de Implementação e Monitorização Interserviços (2).</v>
      </c>
      <c r="Q29" s="3" t="str">
        <v>2 - O Grupo de Trabalho Interministerial, previsto na alínea a) do n.º 1, tem como objetivos:
a) Rever o protocolo de 2016, de modo a atualizar e tornar efetiva a implementação de uma Via Verde dedicada às forças e serviços de segurança, que se materialize além do que já está previsto na implementação da Estratégia Nacional de Prevenção do Suicídio, também na:
i) Disponibilização nos cuidados de saúde primários de equipas multidisciplinares dedicadas ao apoio e acompanhamento psicológico, atuando ao nível do controlo e prevenção da doença, adaptado às situações de stress, depressão e, em particular à elevada taxa de suicídios observada nas forças de segurança;
ii) Avaliação correta do risco de suicídio, essencial para sustentar a decisão na escolha do tratamento e do acompanhamento, ou para eventual encaminhamento para o serviço de urgência, devendo ser definidos protocolos clínicos de integração de cuidados entre as estruturas de saúde das forças e serviços de segurança, polícia judiciária e corpo da guarda prisional e técnicos da área da reeducação/reinserção social, os CSP e os serviços locais de saúde mental, através das suas equipas comunitárias de saúde mental, com utilização do modelo de referenciação para consultas já definido pelo ACSS;
iii) Assegurar um atendimento expedito em situações de urgência psiquiátrica, mesmo quando o elemento policial ou de corpo especial não se encontre previamente sinalizado, garantindo acesso ao posterior tratamento e acompanhamento clínico;
b) Definir as linhas orientadoras para efeitos da implementação de um plano de promoção da saúde mental nas forças de segurança, polícia judiciária, corpo da guarda prisional e técnicos da área da reeducação/reinserção social, que integre designadamente uma revisão das medidas previstas no último PPSFS;
c) Identificar e definir medidas e ações de prevenção passíveis de implementação nas ou a partir das organizações;
d) Promover a celebração de protocolos ou outros instrumentos jurídicos, de modo a potenciar a articulação com a Ordem dos Médicos (Colégio de Psiquiatria), com a Ordem dos Psicólogos Portugueses e Ordem dos Enfermeiros, de modo a reforçar, designadamente a efetividade do plano previsto na alínea anterior e a capacidade técnica das equipas existentes nos serviços clínicos especializados das forças de segurança, polícia judiciária, corpo da guarda prisional e técnicos da área da reeducação/reinserção social;
e) Avaliar a necessidade de outorgar outros protocolos, nomeadamente com a Direção-Geral de Recursos da Defesa Nacional, no sentido de viabilizar ou agilizar o acesso por parte de elementos das forças de segurança às unidades ou serviços de tratamento de dependências existentes no contexto das Forças Armadas e que possuem experiência consolidada neste domínio;
f) Acompanhar os trabalhos desenvolvidos pelos Grupos de Implementação e Monitorização Interserviços, promovendo a respetiva articulação, sempre que necessário.</v>
      </c>
      <c r="R29" s="3" t="str">
        <v>a) Tem a duração de um ano, a partir da data da publicação do presente despacho;: 2025-08-30 — 2024-08-30 + 1 ano by calendar anniversary, end-of-month capped if necessary.
c) Apresentam, ao Grupo de Trabalho Interministerial, um relatório anual, até ao cessar de funções d: date not derivable — No uniquely dated deadline derivable from this clause; cadence or trigger is preserved.
d) Apresentam, após o prazo decorrido na alínea a) do n.º 5, ao membro do Governo responsável pelas : date not derivable — No uniquely dated deadline derivable from this clause; cadence or trigger is preserved.
e) Reúnem com periodicidade bimestral e as respetivas conclusões são vertidas em memorando sumário, : date not derivable — No uniquely dated deadline derivable from this clause; cadence or trigger is preserved.
Final report / last specified substantive output: 2025-08-29 — One-year mandate from publication 2024-08-30 ends 2025-08-30; report required before that end, benchmark 2025-08-29.</v>
      </c>
      <c r="S29" s="20" t="d">
        <v>2025-08-29T00:00:00.000Z</v>
      </c>
      <c r="T29" s="20" t="d">
        <v>2025-08-29T00:00:00.000Z</v>
      </c>
      <c r="U29" s="3" t="str">
        <v>One-year mandate from publication 2024-08-30 ends 2025-08-30; report required before that end, benchmark 2025-08-29.</v>
      </c>
      <c r="V29" s="20"/>
      <c r="W29" s="21" t="str">
        <f>IF(AND(C29="Em atraso",ISNUMBER(V29)),MAX(0,Dashboard!$E$4-V29),"")</f>
      </c>
      <c r="X29" s="3" t="str">
        <v>Unpaid group participation; expense/allowance terms are stated in the original clause.</v>
      </c>
      <c r="Y29" s="3" t="str">
        <v>10 - Aos membros dos Grupos de Trabalho referidos no n.º 1 não é devida qualquer remuneração ou abono pelo exercício das suas funções, sem prejuízo de eventuais encargos relativos a despesas de deslocação, que devem ser suportados pelos respetivos serviços de origem, nos termos da legislação em vigor.</v>
      </c>
      <c r="Z29" s="3" t="str">
        <v>Controlling benchmark has passed; no evidence of this output’s delivery identified in the reviewed acts and focused official-source outcome search.</v>
      </c>
      <c r="AA29" s="3" t="str">
        <v>https://diariodarepublica.pt/dr/detalhe/despacho/10294-c-2024-886385435</v>
      </c>
      <c r="AB29" s="22" t="str">
        <v>Open evidence</v>
      </c>
      <c r="AC29" s="20"/>
      <c r="AD29" s="3" t="str">
        <v>No delivery evidence identified.</v>
      </c>
      <c r="AE29" s="3" t="str">
        <v>Not independently verified.</v>
      </c>
      <c r="AF29" s="3" t="str"/>
      <c r="AG29" s="3" t="str"/>
      <c r="AH29" s="3" t="str">
        <v>One of three separately constituted groups in Despacho n.º 10294-C/2024.</v>
      </c>
      <c r="AI29" s="3" t="str">
        <v>DR full-period singular/plural/technical phrase inventories; later acts reviewed. Outcome search: "grupo de trabalho" saúde mental forças segurança prevenção suicídio relatório conclusões after:2024-04-01 before:2026-10-11. Domains: portugal.gov.pt, gov.pt, parlamento.pt, diariodarepublica.pt, justica.gov.pt, dgav.pt, icnf.pt, anac.pt, dgeg.gov.pt. Official evidence/limitations recorded in this row.</v>
      </c>
      <c r="AJ29" s="20" t="d">
        <v>2026-10-10T00:00:00.000Z</v>
      </c>
      <c r="AK29" s="3" t="str">
        <v>2024-08-29</v>
      </c>
      <c r="AL29" s="3" t="str">
        <v>Publication date.</v>
      </c>
      <c r="AM29" s="3" t="str">
        <v>Express name / creating-act summary; descriptive source label where no formal name is assigned.</v>
      </c>
      <c r="AN29" s="3" t="str">
        <v>Justice; Internal affairs; Health</v>
      </c>
      <c r="AO29" s="3" t="str">
        <v>Final report / last specified substantive output</v>
      </c>
      <c r="AP29" s="3" t="str">
        <v>Calendar monitoring benchmark; absence of public evidence is not proof of non-delivery.</v>
      </c>
      <c r="AQ29" s="21" t="n">
        <f>IF(AND(C29="Em atraso",ISNUMBER(D29)),COUNTIFS(Groups!$C$6:$C$127,"Em atraso",Groups!$D$6:$D$127,"&gt;"&amp;D29)+COUNTIFS($C$6:C29,"Em atraso",$D$6:D29,D29),"")</f>
        <v>27</v>
      </c>
      <c r="AR29" s="21" t="n">
        <f>IF(COUNTIF($F$6:F29,F29)=1,1,0)</f>
        <v>1</v>
      </c>
    </row>
    <row r="30" ht="96" customHeight="1">
      <c r="A30" s="3" t="str">
        <v>GT-2024-025</v>
      </c>
      <c r="B30" s="3" t="str">
        <v>Grupo de Implementação e Monitorização da área da Administração Interna</v>
      </c>
      <c r="C30" s="3" t="str">
        <v>Em atraso</v>
      </c>
      <c r="D30" s="21" t="n">
        <f>IF(C30="Em atraso",IF(ISNUMBER(T30),MAX(0,Dashboard!$E$4-T30),""),IF(C30="Concluído com atraso",IF(AND(ISNUMBER(T30),ISNUMBER(AC30)),MAX(0,AC30-T30),""),IF(C30="Concluído no prazo",0,"")))</f>
        <v>406</v>
      </c>
      <c r="E30" s="3" t="str">
        <v>XXIV</v>
      </c>
      <c r="F30" s="3" t="str">
        <v>Despacho n.º 10294-C/2024</v>
      </c>
      <c r="G30" s="22" t="str">
        <v>Open DR act</v>
      </c>
      <c r="H30" s="20" t="d">
        <v>2024-08-30T00:00:00.000Z</v>
      </c>
      <c r="I30" s="20" t="d">
        <v>2024-08-29T00:00:00.000Z</v>
      </c>
      <c r="J30" s="20" t="d">
        <v>2024-08-30T00:00:00.000Z</v>
      </c>
      <c r="K30" s="3" t="str">
        <v>Justiça, Administração Interna e Saúde - Gabinete da Ministra da Justiça, Gabinete da Ministra da Administração Interna e Gabinete da Ministra da Saúde</v>
      </c>
      <c r="L30" s="3" t="str">
        <v>Inspetor-geral da Administração Interna</v>
      </c>
      <c r="M30" s="3" t="str">
        <v>7 - Os Grupos de Trabalho de Implementação e Monitorização Interserviços, previstos na alínea b) do n.º 1, integram os seguintes elementos:
a) O Grupo de Implementação e Monitorização da área da Administração Interna:
i) Inspetor-geral da Administração Interna, que coordena;
ii) Um representante designado pela Guarda Nacional Republicana:
iii) Um representante designado pela Polícia de Segurança Pública;
iv) Um representante das coordenações regionais de saúde mental, a designar pela Coordenação Nacional das Políticas de Saúde Mental;
v) A convite, um representante designado pela Ordem dos Médicos;
vi) A convite, um representante designado pela Ordem dos Enfermeiros;
vii) A convite, um representante designado pela Ordem dos Psicólogos;
viii) A convite, representantes de instituições universitárias;
</v>
      </c>
      <c r="N30" s="3" t="str">
        <v>Health / Internal administration / Justice</v>
      </c>
      <c r="O30" s="3" t="str">
        <v>Develop and monitor mental-health and suicide-prevention measures for police, prison officers and rehabilitation personnel.</v>
      </c>
      <c r="P30" s="3" t="str">
        <v>1 - A constituição, para implementação, criação e monitorização do programa estruturado de saúde mental e de prevenção do suicídio para as forças de segurança (GNR e PSP), PJ, corpo da guarda prisional e técnicos da área da reeducação/reinserção social (Direção-Geral de Reinserção e Serviços Prisionais), de três grupos de trabalho:
a) Grupo de Trabalho Interministerial;
b) Grupos de Trabalho de Implementação e Monitorização Interserviços (2).</v>
      </c>
      <c r="Q30" s="3" t="str">
        <v>6 - Os Grupos de Trabalho de Implementação e Monitorização Interserviços, previstos na alínea b) do n.º 1, têm como objetivos:
a) Delinear um Plano de Promoção da Saúde Mental nas forças de segurança, incluindo a atualização das medidas previstas no último PPSFS, em observância à recomendação do Grupo de Trabalho Interministerial, previsto na alínea b) do n.º 2;
b) Impulsionar e monitorizar a implementação das medidas definidas no Plano previsto na alínea anterior;
c) Desenvolver ações de análise e partilha de informação entre as várias unidades de saúde mental de cada uma das forças de segurança, Polícia Judiciária, corpo da guarda prisional e técnicos da área da reeducação/reinserção social com o objetivo de criar novos modelos de intervenção;
d) Promover ações de formação junto das forças de segurança;
e) Avaliar e propor soluções, em articulação com as entidades das Regiões Autónomas competentes em matéria de saúde mental, de modo que as medidas previstas na alínea a), na medida do viável, sejam extensíveis aos elementos das forças de segurança, Polícia Judiciária e corpo da guarda prisional e técnicos da área da reeducação/reinserção social, a prestar serviço nas Regiões Autónomas;
f) Efetuar uma sistematização dos normativos e de procedimentos ao nível de medidas preventivas e interventivas adotados pelas forças de segurança do Ministério da Administração Interna e entidades da área da justiça envolvidas no domínio da promoção da saúde mental e da prevenção do suicídio, em particular, propondo, sempre que avaliado como adequado, uma harmonização, tendo em vista a adoção das melhores práticas;
g) Recomendar aos membros do Governo que tutelam as áreas da administração interna e justiça medidas que permitam melhorar a saúde mental dos profissionais das forças de segurança.</v>
      </c>
      <c r="R30" s="3" t="str">
        <v>a) Tem a duração de um ano, a partir da data da publicação do presente despacho;: 2025-08-30 — 2024-08-30 + 1 ano by calendar anniversary, end-of-month capped if necessary.
c) Apresentam, ao Grupo de Trabalho Interministerial, um relatório anual, até ao cessar de funções d: date not derivable — No uniquely dated deadline derivable from this clause; cadence or trigger is preserved.
d) Apresentam, após o prazo decorrido na alínea a) do n.º 5, ao membro do Governo responsável pelas : date not derivable — No uniquely dated deadline derivable from this clause; cadence or trigger is preserved.
e) Reúnem com periodicidade bimestral e as respetivas conclusões são vertidas em memorando sumário, : date not derivable — No uniquely dated deadline derivable from this clause; cadence or trigger is preserved.
Final report / last specified substantive output: 2025-08-30 — First annual report: start simultaneously on 2024-08-30 + one calendar year. Cadence anniversary is an interpretation; the act does not give a specific report day.</v>
      </c>
      <c r="S30" s="20" t="d">
        <v>2025-08-30T00:00:00.000Z</v>
      </c>
      <c r="T30" s="20" t="d">
        <v>2025-08-30T00:00:00.000Z</v>
      </c>
      <c r="U30" s="3" t="str">
        <v>First annual report: start simultaneously on 2024-08-30 + one calendar year. Cadence anniversary is an interpretation; the act does not give a specific report day.</v>
      </c>
      <c r="V30" s="20"/>
      <c r="W30" s="21" t="str">
        <f>IF(AND(C30="Em atraso",ISNUMBER(V30)),MAX(0,Dashboard!$E$4-V30),"")</f>
      </c>
      <c r="X30" s="3" t="str">
        <v>Unpaid group participation; expense/allowance terms are stated in the original clause.</v>
      </c>
      <c r="Y30" s="3" t="str">
        <v>10 - Aos membros dos Grupos de Trabalho referidos no n.º 1 não é devida qualquer remuneração ou abono pelo exercício das suas funções, sem prejuízo de eventuais encargos relativos a despesas de deslocação, que devem ser suportados pelos respetivos serviços de origem, nos termos da legislação em vigor.</v>
      </c>
      <c r="Z30" s="3" t="str">
        <v>Controlling benchmark has passed; no evidence of this output’s delivery identified in the reviewed acts and focused official-source outcome search.</v>
      </c>
      <c r="AA30" s="3" t="str">
        <v>https://diariodarepublica.pt/dr/detalhe/despacho/10294-c-2024-886385435</v>
      </c>
      <c r="AB30" s="22" t="str">
        <v>Open evidence</v>
      </c>
      <c r="AC30" s="20"/>
      <c r="AD30" s="3" t="str">
        <v>No delivery evidence identified.</v>
      </c>
      <c r="AE30" s="3" t="str">
        <v>Not independently verified.</v>
      </c>
      <c r="AF30" s="3" t="str"/>
      <c r="AG30" s="3" t="str"/>
      <c r="AH30" s="3" t="str">
        <v>One of three separately constituted groups in Despacho n.º 10294-C/2024.</v>
      </c>
      <c r="AI30" s="3" t="str">
        <v>DR full-period singular/plural/technical phrase inventories; later acts reviewed. Outcome search: "grupo de trabalho" saúde mental forças segurança prevenção suicídio relatório conclusões after:2024-04-01 before:2026-10-11. Domains: portugal.gov.pt, gov.pt, parlamento.pt, diariodarepublica.pt, justica.gov.pt, dgav.pt, icnf.pt, anac.pt, dgeg.gov.pt. Official evidence/limitations recorded in this row.</v>
      </c>
      <c r="AJ30" s="20" t="d">
        <v>2026-10-10T00:00:00.000Z</v>
      </c>
      <c r="AK30" s="3" t="str">
        <v>2024-08-29</v>
      </c>
      <c r="AL30" s="3" t="str">
        <v>Publication date.</v>
      </c>
      <c r="AM30" s="3" t="str">
        <v>Express name / creating-act summary; descriptive source label where no formal name is assigned.</v>
      </c>
      <c r="AN30" s="3" t="str">
        <v>Justice; Internal affairs; Health</v>
      </c>
      <c r="AO30" s="3" t="str">
        <v>Final report / last specified substantive output</v>
      </c>
      <c r="AP30" s="3" t="str">
        <v>Calendar monitoring benchmark; absence of public evidence is not proof of non-delivery.</v>
      </c>
      <c r="AQ30" s="21" t="n">
        <f>IF(AND(C30="Em atraso",ISNUMBER(D30)),COUNTIFS(Groups!$C$6:$C$127,"Em atraso",Groups!$D$6:$D$127,"&gt;"&amp;D30)+COUNTIFS($C$6:C30,"Em atraso",$D$6:D30,D30),"")</f>
        <v>28</v>
      </c>
      <c r="AR30" s="21" t="n">
        <f>IF(COUNTIF($F$6:F30,F30)=1,1,0)</f>
        <v>0</v>
      </c>
    </row>
    <row r="31" ht="96" customHeight="1">
      <c r="A31" s="3" t="str">
        <v>GT-2024-026</v>
      </c>
      <c r="B31" s="3" t="str">
        <v>Grupo de Implementação e Monitorização da área da Justiça</v>
      </c>
      <c r="C31" s="3" t="str">
        <v>Em atraso</v>
      </c>
      <c r="D31" s="21" t="n">
        <f>IF(C31="Em atraso",IF(ISNUMBER(T31),MAX(0,Dashboard!$E$4-T31),""),IF(C31="Concluído com atraso",IF(AND(ISNUMBER(T31),ISNUMBER(AC31)),MAX(0,AC31-T31),""),IF(C31="Concluído no prazo",0,"")))</f>
        <v>406</v>
      </c>
      <c r="E31" s="3" t="str">
        <v>XXIV</v>
      </c>
      <c r="F31" s="3" t="str">
        <v>Despacho n.º 10294-C/2024</v>
      </c>
      <c r="G31" s="22" t="str">
        <v>Open DR act</v>
      </c>
      <c r="H31" s="20" t="d">
        <v>2024-08-30T00:00:00.000Z</v>
      </c>
      <c r="I31" s="20" t="d">
        <v>2024-08-29T00:00:00.000Z</v>
      </c>
      <c r="J31" s="20" t="d">
        <v>2024-08-30T00:00:00.000Z</v>
      </c>
      <c r="K31" s="3" t="str">
        <v>Justiça, Administração Interna e Saúde - Gabinete da Ministra da Justiça, Gabinete da Ministra da Administração Interna e Gabinete da Ministra da Saúde</v>
      </c>
      <c r="L31" s="3" t="str">
        <v>Inspetor-geral dos Serviços de Justiça</v>
      </c>
      <c r="M31" s="3" t="str">
        <v>b) O Grupo de Implementação e Monitorização da área da Justiça:
i) Inspetor-geral dos Serviços de Justiça, que coordena;
ii) Um representante designado pela Polícia Judiciária;
iii) Um representante designado pela Direção-Geral de Reinserção e Serviços Prisionais;
iv) Um representante das coordenações regionais de saúde mental, a designar pela Coordenação Nacional das Políticas de Saúde Mental;
v) A convite, um representante designado pela Ordem dos Médicos;
vi) A convite, um representante designado pela Ordem dos Enfermeiros;
vii) A convite, um representante designado pela Ordem dos Psicólogos;
viii) A convite, representantes de instituições universitárias.</v>
      </c>
      <c r="N31" s="3" t="str">
        <v>Health / Internal administration / Justice</v>
      </c>
      <c r="O31" s="3" t="str">
        <v>Develop and monitor mental-health and suicide-prevention measures for police, prison officers and rehabilitation personnel.</v>
      </c>
      <c r="P31" s="3" t="str">
        <v>1 - A constituição, para implementação, criação e monitorização do programa estruturado de saúde mental e de prevenção do suicídio para as forças de segurança (GNR e PSP), PJ, corpo da guarda prisional e técnicos da área da reeducação/reinserção social (Direção-Geral de Reinserção e Serviços Prisionais), de três grupos de trabalho:
a) Grupo de Trabalho Interministerial;
b) Grupos de Trabalho de Implementação e Monitorização Interserviços (2).</v>
      </c>
      <c r="Q31" s="3" t="str">
        <v>6 - Os Grupos de Trabalho de Implementação e Monitorização Interserviços, previstos na alínea b) do n.º 1, têm como objetivos:
a) Delinear um Plano de Promoção da Saúde Mental nas forças de segurança, incluindo a atualização das medidas previstas no último PPSFS, em observância à recomendação do Grupo de Trabalho Interministerial, previsto na alínea b) do n.º 2;
b) Impulsionar e monitorizar a implementação das medidas definidas no Plano previsto na alínea anterior;
c) Desenvolver ações de análise e partilha de informação entre as várias unidades de saúde mental de cada uma das forças de segurança, Polícia Judiciária, corpo da guarda prisional e técnicos da área da reeducação/reinserção social com o objetivo de criar novos modelos de intervenção;
d) Promover ações de formação junto das forças de segurança;
e) Avaliar e propor soluções, em articulação com as entidades das Regiões Autónomas competentes em matéria de saúde mental, de modo que as medidas previstas na alínea a), na medida do viável, sejam extensíveis aos elementos das forças de segurança, Polícia Judiciária e corpo da guarda prisional e técnicos da área da reeducação/reinserção social, a prestar serviço nas Regiões Autónomas;
f) Efetuar uma sistematização dos normativos e de procedimentos ao nível de medidas preventivas e interventivas adotados pelas forças de segurança do Ministério da Administração Interna e entidades da área da justiça envolvidas no domínio da promoção da saúde mental e da prevenção do suicídio, em particular, propondo, sempre que avaliado como adequado, uma harmonização, tendo em vista a adoção das melhores práticas;
g) Recomendar aos membros do Governo que tutelam as áreas da administração interna e justiça medidas que permitam melhorar a saúde mental dos profissionais das forças de segurança.</v>
      </c>
      <c r="R31" s="3" t="str">
        <v>a) Tem a duração de um ano, a partir da data da publicação do presente despacho;: 2025-08-30 — 2024-08-30 + 1 ano by calendar anniversary, end-of-month capped if necessary.
c) Apresentam, ao Grupo de Trabalho Interministerial, um relatório anual, até ao cessar de funções d: date not derivable — No uniquely dated deadline derivable from this clause; cadence or trigger is preserved.
d) Apresentam, após o prazo decorrido na alínea a) do n.º 5, ao membro do Governo responsável pelas : date not derivable — No uniquely dated deadline derivable from this clause; cadence or trigger is preserved.
e) Reúnem com periodicidade bimestral e as respetivas conclusões são vertidas em memorando sumário, : date not derivable — No uniquely dated deadline derivable from this clause; cadence or trigger is preserved.
Final report / last specified substantive output: 2025-08-30 — First annual report: start simultaneously on 2024-08-30 + one calendar year. Cadence anniversary is an interpretation; the act does not give a specific report day.</v>
      </c>
      <c r="S31" s="20" t="d">
        <v>2025-08-30T00:00:00.000Z</v>
      </c>
      <c r="T31" s="20" t="d">
        <v>2025-08-30T00:00:00.000Z</v>
      </c>
      <c r="U31" s="3" t="str">
        <v>First annual report: start simultaneously on 2024-08-30 + one calendar year. Cadence anniversary is an interpretation; the act does not give a specific report day.</v>
      </c>
      <c r="V31" s="20"/>
      <c r="W31" s="21" t="str">
        <f>IF(AND(C31="Em atraso",ISNUMBER(V31)),MAX(0,Dashboard!$E$4-V31),"")</f>
      </c>
      <c r="X31" s="3" t="str">
        <v>Unpaid group participation; expense/allowance terms are stated in the original clause.</v>
      </c>
      <c r="Y31" s="3" t="str">
        <v>10 - Aos membros dos Grupos de Trabalho referidos no n.º 1 não é devida qualquer remuneração ou abono pelo exercício das suas funções, sem prejuízo de eventuais encargos relativos a despesas de deslocação, que devem ser suportados pelos respetivos serviços de origem, nos termos da legislação em vigor.</v>
      </c>
      <c r="Z31" s="3" t="str">
        <v>Controlling benchmark has passed; no evidence of this output’s delivery identified in the reviewed acts and focused official-source outcome search.</v>
      </c>
      <c r="AA31" s="3" t="str">
        <v>https://diariodarepublica.pt/dr/detalhe/despacho/10294-c-2024-886385435</v>
      </c>
      <c r="AB31" s="22" t="str">
        <v>Open evidence</v>
      </c>
      <c r="AC31" s="20"/>
      <c r="AD31" s="3" t="str">
        <v>No delivery evidence identified.</v>
      </c>
      <c r="AE31" s="3" t="str">
        <v>Not independently verified.</v>
      </c>
      <c r="AF31" s="3" t="str"/>
      <c r="AG31" s="3" t="str"/>
      <c r="AH31" s="3" t="str">
        <v>One of three separately constituted groups in Despacho n.º 10294-C/2024.</v>
      </c>
      <c r="AI31" s="3" t="str">
        <v>DR full-period singular/plural/technical phrase inventories; later acts reviewed. Outcome search: "grupo de trabalho" saúde mental forças segurança prevenção suicídio relatório conclusões after:2024-04-01 before:2026-10-11. Domains: portugal.gov.pt, gov.pt, parlamento.pt, diariodarepublica.pt, justica.gov.pt, dgav.pt, icnf.pt, anac.pt, dgeg.gov.pt. Official evidence/limitations recorded in this row.</v>
      </c>
      <c r="AJ31" s="20" t="d">
        <v>2026-10-10T00:00:00.000Z</v>
      </c>
      <c r="AK31" s="3" t="str">
        <v>2024-08-29</v>
      </c>
      <c r="AL31" s="3" t="str">
        <v>Publication date.</v>
      </c>
      <c r="AM31" s="3" t="str">
        <v>Express name / creating-act summary; descriptive source label where no formal name is assigned.</v>
      </c>
      <c r="AN31" s="3" t="str">
        <v>Justice; Internal affairs; Health</v>
      </c>
      <c r="AO31" s="3" t="str">
        <v>Final report / last specified substantive output</v>
      </c>
      <c r="AP31" s="3" t="str">
        <v>Calendar monitoring benchmark; absence of public evidence is not proof of non-delivery.</v>
      </c>
      <c r="AQ31" s="21" t="n">
        <f>IF(AND(C31="Em atraso",ISNUMBER(D31)),COUNTIFS(Groups!$C$6:$C$127,"Em atraso",Groups!$D$6:$D$127,"&gt;"&amp;D31)+COUNTIFS($C$6:C31,"Em atraso",$D$6:D31,D31),"")</f>
        <v>29</v>
      </c>
      <c r="AR31" s="21" t="n">
        <f>IF(COUNTIF($F$6:F31,F31)=1,1,0)</f>
        <v>0</v>
      </c>
    </row>
    <row r="32" ht="96" customHeight="1">
      <c r="A32" s="3" t="str">
        <v>GT-2024-027</v>
      </c>
      <c r="B32" s="3" t="str">
        <v>Grupo de Trabalho AFIR (GT AFIR) com o objetivo de proceder ao levantamento das necessidades de conformação da ordem jurídica interna com o Regulamento (EU) 2023/1804, do Parlamento Europeu e do Conselho, de 13 de setembro, relativo à criação de uma infraestrutura para combustíveis alternativos que revoga a Diretiva 2014/94/EU</v>
      </c>
      <c r="C32" s="3" t="str">
        <v>Em atraso</v>
      </c>
      <c r="D32" s="21" t="n">
        <f>IF(C32="Em atraso",IF(ISNUMBER(T32),MAX(0,Dashboard!$E$4-T32),""),IF(C32="Concluído com atraso",IF(AND(ISNUMBER(T32),ISNUMBER(AC32)),MAX(0,AC32-T32),""),IF(C32="Concluído no prazo",0,"")))</f>
        <v>283</v>
      </c>
      <c r="E32" s="3" t="str">
        <v>XXIV</v>
      </c>
      <c r="F32" s="3" t="str">
        <v>Despacho n.º 10559/2024</v>
      </c>
      <c r="G32" s="22" t="str">
        <v>Open DR act</v>
      </c>
      <c r="H32" s="20" t="d">
        <v>2024-09-06T00:00:00.000Z</v>
      </c>
      <c r="I32" s="20" t="d">
        <v>2024-08-29T00:00:00.000Z</v>
      </c>
      <c r="J32" s="20" t="d">
        <v>2024-09-07T00:00:00.000Z</v>
      </c>
      <c r="K32" s="3" t="str">
        <v>Infraestruturas e Habitação e Ambiente e Energia - Gabinete do Ministro das Infraestruturas e Habitação e Gabinete da Ministra do Ambiente e Energia</v>
      </c>
      <c r="L32" s="3" t="str">
        <v>One of the two DGEG representatives.</v>
      </c>
      <c r="M32" s="3" t="str">
        <v>3 - O GT-AFIR é composto por:
i) Dois representantes da Direção-Geral de Energia e Geologia (DGEG), um dos dois coordena;
ii) Um representante do Gabinete da Secretária de Estado da Energia;
iii) Um representante do Gabinete da Secretária de Estado da Mobilidade;
iv) Um representante do Gabinete do Secretário de Estado das Infraestruturas;
v) Um representante do IMT - Instituto da Mobilidade e dos Transportes, I. P.;
vi) Um representante da DGRM - Direção-Geral de Recursos Naturais, Segurança e Serviços Marítimos;
vii) Um representante da ERSE - Entidade Reguladora dos Serviços Energéticos;
viii) Um representante da ANAC - Autoridade Nacional da Aviação Civil;
ix) Um representante da MOBI.E, S. A.;
x) Um representante da E-REDES - Distribuição da Eletricidade, S. A.;
xi) Um representante da REN - Redes Energéticas Nacionais, SGPS, S. A.;
xii) Um representante do LNEG - Laboratório Nacional de Energia e Geologia, I. P.;
xiii) Um representante da ENSE - Entidade Nacional para o Setor, Energético, E. P. E.</v>
      </c>
      <c r="N32" s="3" t="str">
        <v>Energy / Transport</v>
      </c>
      <c r="O32" s="3" t="str">
        <v>Prepare the legal framework and national policy framework for EU alternative-fuel infrastructure requirements.</v>
      </c>
      <c r="P32" s="3" t="str">
        <v>1 - É criado o Grupo de Trabalho AFIR (GT AFIR) com o objetivo de proceder ao levantamento das necessidades de conformação da ordem jurídica interna com o Regulamento (EU) 2023/1804, do Parlamento Europeu e do Conselho, de 13 de setembro, relativo à criação de uma infraestrutura para combustíveis alternativos que revoga a Diretiva 2014/94/EU.</v>
      </c>
      <c r="Q32" s="3" t="str">
        <v>1 - É criado o Grupo de Trabalho AFIR (GT AFIR) com o objetivo de proceder ao levantamento das necessidades de conformação da ordem jurídica interna com o Regulamento (EU) 2023/1804, do Parlamento Europeu e do Conselho, de 13 de setembro, relativo à criação de uma infraestrutura para combustíveis alternativos que revoga a Diretiva 2014/94/EU.
2 - São tarefas do GT AFIR:
a) Preparar e apresentar as propostas para a elaboração do Quadro de Ação Nacional (QAN) no âmbito do regulamento;
b) Identificar os elementos necessários a integrar nesse quadro, tendo em conta as necessidades dos diferentes modos de transporte existentes no território;
c) Definir metas e medidas nacionais para promover as infraestruturas para combustíveis alternativos ao longo das redes rodoviárias não incluídas na rede principal da RTE-T, em especial no que diz respeito aos pontos de carregamento acessíveis ao público;
d) Definir medidas nacionais para assegurar que a densidade de infraestruturas acessível ao público tem em conta a densidade populacional;
e) Estabelecer medidas destinadas a garantir a acessibilidade às infraestruturas de carregamento e abastecimento em todo o território, prestando especial atenção às zonas rurais para garantir a sua acessibilidade e a coesão territorial;
f) Estabelecer medidas destinadas a garantir que as infraestruturas são acessíveis a pessoas idosas, a pessoas com mobilidade reduzida, e a pessoas com deficiência;
g) Construção de um QAN para o desenvolvimento do mercado no que se refere aos combustíveis alternativos no setor dos transportes e para a criação das infraestruturas pertinentes, cujo draft deve ser submetido à Comissão Europeia (COM) até dia 31 de dezembro de 2024;
h) Identificar todas as alterações legislativas necessárias para a correta implementação do Regulamento AFIR no ordenamento jurídico nacional.
10 - O GT-AFIR cessa as suas funções a 31 de dezembro de 2025, data de transmissão à Comissão da versão definitiva do QAN.</v>
      </c>
      <c r="R32" s="3" t="str">
        <v>7 - As entidades referidas no n.º 3 indicam os representantes ao coordenador, no prazo de 10 dias ap: 2024-09-17 — 2024-09-07 + 10 calendar days (monitoring convention). If CPA procedural counting applies: 2024-09-20.
Final report / last specified substantive output: 2025-12-31 — Fixed date / explicit year-end in creating act.</v>
      </c>
      <c r="S32" s="20" t="d">
        <v>2025-12-31T00:00:00.000Z</v>
      </c>
      <c r="T32" s="20" t="d">
        <v>2025-12-31T00:00:00.000Z</v>
      </c>
      <c r="U32" s="3" t="str">
        <v>Fixed date / explicit year-end in creating act.</v>
      </c>
      <c r="V32" s="20"/>
      <c r="W32" s="21" t="str">
        <f>IF(AND(C32="Em atraso",ISNUMBER(V32)),MAX(0,Dashboard!$E$4-V32),"")</f>
      </c>
      <c r="X32" s="3" t="str">
        <v>Unpaid; see the original clause for the scope of the exclusion.</v>
      </c>
      <c r="Y32" s="3" t="str">
        <v>9 - Aos membros do GT-AFIR não é devido o pagamento de qualquer remuneração, compensação ou contrapartida ou senha de presença pelo trabalho desenvolvido neste âmbito.</v>
      </c>
      <c r="Z32" s="3" t="str">
        <v>Controlling benchmark has passed; no evidence of this output’s delivery identified in the reviewed acts and focused official-source outcome search.</v>
      </c>
      <c r="AA32" s="3" t="str">
        <v>https://diariodarepublica.pt/dr/detalhe/despacho/10559-2024-887067337</v>
      </c>
      <c r="AB32" s="22" t="str">
        <v>Open evidence</v>
      </c>
      <c r="AC32" s="20"/>
      <c r="AD32" s="3" t="str">
        <v>No delivery evidence identified.</v>
      </c>
      <c r="AE32" s="3" t="str">
        <v>Not independently verified.</v>
      </c>
      <c r="AF32" s="3" t="str"/>
      <c r="AG32" s="3" t="str"/>
      <c r="AH32" s="3" t="str">
        <v> The act has no concise formal name; the label follows its Portuguese creating clause/summary.</v>
      </c>
      <c r="AI32" s="3" t="str">
        <v>DR full-period singular/plural/technical phrase inventories; later acts reviewed. Outcome search: "grupo de trabalho" AFIR combustíveis alternativos relatório conclusões after:2024-04-01 before:2026-10-11. Domains: portugal.gov.pt, gov.pt, parlamento.pt, diariodarepublica.pt, justica.gov.pt, dgav.pt, icnf.pt, anac.pt, dgeg.gov.pt. Official evidence/limitations recorded in this row.</v>
      </c>
      <c r="AJ32" s="20" t="d">
        <v>2026-10-10T00:00:00.000Z</v>
      </c>
      <c r="AK32" s="3" t="str">
        <v>2024-08-29</v>
      </c>
      <c r="AL32" s="3" t="str">
        <v>Day after publication.</v>
      </c>
      <c r="AM32" s="3" t="str">
        <v>Express name / creating-act summary; descriptive source label where no formal name is assigned.</v>
      </c>
      <c r="AN32" s="3" t="str">
        <v>Infrastructure / Housing; Environment / Energy</v>
      </c>
      <c r="AO32" s="3" t="str">
        <v>Final report / last specified substantive output</v>
      </c>
      <c r="AP32" s="3" t="str">
        <v>Calendar monitoring benchmark; absence of public evidence is not proof of non-delivery.</v>
      </c>
      <c r="AQ32" s="21" t="n">
        <f>IF(AND(C32="Em atraso",ISNUMBER(D32)),COUNTIFS(Groups!$C$6:$C$127,"Em atraso",Groups!$D$6:$D$127,"&gt;"&amp;D32)+COUNTIFS($C$6:C32,"Em atraso",$D$6:D32,D32),"")</f>
        <v>37</v>
      </c>
      <c r="AR32" s="21" t="n">
        <f>IF(COUNTIF($F$6:F32,F32)=1,1,0)</f>
        <v>1</v>
      </c>
    </row>
    <row r="33" ht="96" customHeight="1">
      <c r="A33" s="3" t="str">
        <v>GT-2024-028</v>
      </c>
      <c r="B33" s="3" t="str">
        <v>Declara a situação de calamidade em território nacional por ocorrência de grandes incêndios rurais e determina o levantamento de danos e a adoção de medidas de recuperação e apoio às populações, empresas, associações, infraestruturas e património agrícola e natural afetados</v>
      </c>
      <c r="C33" s="3" t="str">
        <v>Sem informação pública</v>
      </c>
      <c r="D33" s="21" t="str">
        <f>IF(C33="Em atraso",IF(ISNUMBER(T33),MAX(0,Dashboard!$E$4-T33),""),IF(C33="Concluído com atraso",IF(AND(ISNUMBER(T33),ISNUMBER(AC33)),MAX(0,AC33-T33),""),IF(C33="Concluído no prazo",0,"")))</f>
      </c>
      <c r="E33" s="3" t="str">
        <v>XXIV</v>
      </c>
      <c r="F33" s="3" t="str">
        <v>Resolução do Conselho de Ministros n.º 126-A/2024</v>
      </c>
      <c r="G33" s="22" t="str">
        <v>Open DR act</v>
      </c>
      <c r="H33" s="20" t="d">
        <v>2024-09-18T00:00:00.000Z</v>
      </c>
      <c r="I33" s="20" t="d">
        <v>2024-09-17T00:00:00.000Z</v>
      </c>
      <c r="J33" s="20" t="d">
        <v>2024-09-18T00:00:00.000Z</v>
      </c>
      <c r="K33" s="3" t="str">
        <v>Presidência do Conselho de Ministros</v>
      </c>
      <c r="L33" s="3" t="str">
        <v>Ministro Adjunto e da Coesão Territorial</v>
      </c>
      <c r="M33" s="3" t="str">
        <v>3 - Determinar a criação de um grupo de trabalho, coordenado pelo Ministro Adjunto e da Coesão Territorial, e com a participação dos membros do Governo responsáveis pelas áreas da proteção civil, da saúde, das infraestruturas e da habitação, da economia, do trabalho e segurança social e da agricultura e das florestas, com o objetivo de identificar e coordenar a execução das medidas excecionais e apoios a atribuir às populações, empresas, associações e municípios afetados pelos incêndios, sem prejuízo da responsabilidade decorrente de contratos de seguro, em conformidade com o disposto no artigo 61.º da Lei de Bases da Proteção Civil, aprovada pela Lei n.º 27/2006, de 3 de julho, na sua redação atual, designadamente:
a) Apoios sociais, monetários ou em espécie, às pessoas que em resultado dos incêndios se encontrem em situação de carência ou perda de rendimento e que necessitem de proceder a despesas necessárias à sua subsistência ou à aquisição de bens imediatos e inadiáveis, incluindo despesas com alojamento temporário;
b) Apoio às famílias das pessoas que perderam a vida ou sofreram lesões incapacitantes;
c) Recuperação de habitações permanentes, próprias ou arrendadas, danificadas ou destruídas pelos incêndios;
d) Apoio à reposição da atividade económica, competitividade e capacidades produtivas das empresas localizadas em territórios afetados pelos incêndios;
e) Apoios extraordinários aos agricultores para o restabelecimento do potencial produtivo agrícola, incluindo máquinas e equipamentos, afetados pelos incêndios;
f) Medidas de reabilitação de povoamentos florestais, reflorestação de áreas afetadas, de recuperação de infraestruturas danificadas pelos incêndios;
g) Medidas de contenção dos impactos ambientais e de restauro do património natural;
h) Reparação e reconstrução de infraestruturas e equipamentos municipais danificados pelos incêndios;
i) Apoios à aquisição de equipamentos de proteção individual, veículos operacionais de socorro, materiais e equipamentos de resposta operacional, podendo incluir a substituição de meios sinistrados.</v>
      </c>
      <c r="N33" s="3" t="str">
        <v>Civil protection</v>
      </c>
      <c r="O33" s="3" t="str">
        <v>Coordinate exceptional assistance to people, businesses and municipalities affected by the September 2024 wildfires.</v>
      </c>
      <c r="P33" s="3" t="str">
        <v>3 - Determinar a criação de um grupo de trabalho, coordenado pelo Ministro Adjunto e da Coesão Territorial, e com a participação dos membros do Governo responsáveis pelas áreas da proteção civil, da saúde, das infraestruturas e da habitação, da economia, do trabalho e segurança social e da agricultura e das florestas, com o objetivo de identificar e coordenar a execução das medidas excecionais e apoios a atribuir às populações, empresas, associações e municípios afetados pelos incêndios, sem prejuízo da responsabilidade decorrente de contratos de seguro, em conformidade com o disposto no artigo 61.º da Lei de Bases da Proteção Civil, aprovada pela Lei n.º 27/2006, de 3 de julho, na sua redação atual, designadamente:
a) Apoios sociais, monetários ou em espécie, às pessoas que em resultado dos incêndios se encontrem em situação de carência ou perda de rendimento e que necessitem de proceder a despesas necessárias à sua subsistência ou à aquisição de bens imediatos e inadiáveis, incluindo despesas com alojamento temporário;
b) Apoio às famílias das pessoas que perderam a vida ou sofreram lesões incapacitantes;
c) Recuperação de habitações permanentes, próprias ou arrendadas, danificadas ou destruídas pelos incêndios;
d) Apoio à reposição da atividade económica, competitividade e capacidades produtivas das empresas localizadas em territórios afetados pelos incêndios;
e) Apoios extraordinários aos agricultores para o restabelecimento do potencial produtivo agrícola, incluindo máquinas e equipamentos, afetados pelos incêndios;
f) Medidas de reabilitação de povoamentos florestais, reflorestação de áreas afetadas, de recuperação de infraestruturas danificadas pelos incêndios;
g) Medidas de contenção dos impactos ambientais e de restauro do património natural;
h) Reparação e reconstrução de infraestruturas e equipamentos municipais danificados pelos incêndios;
i) Apoios à aquisição de equipamentos de proteção individual, veículos operacionais de socorro, materiais e equipamentos de resposta operacional, podendo incluir a substituição de meios sinistrados.</v>
      </c>
      <c r="Q33" s="3" t="str">
        <v>3 - Determinar a criação de um grupo de trabalho, coordenado pelo Ministro Adjunto e da Coesão Territorial, e com a participação dos membros do Governo responsáveis pelas áreas da proteção civil, da saúde, das infraestruturas e da habitação, da economia, do trabalho e segurança social e da agricultura e das florestas, com o objetivo de identificar e coordenar a execução das medidas excecionais e apoios a atribuir às populações, empresas, associações e municípios afetados pelos incêndios, sem prejuízo da responsabilidade decorrente de contratos de seguro, em conformidade com o disposto no artigo 61.º da Lei de Bases da Proteção Civil, aprovada pela Lei n.º 27/2006, de 3 de julho, na sua redação atual, designadamente:
a) Apoios sociais, monetários ou em espécie, às pessoas que em resultado dos incêndios se encontrem em situação de carência ou perda de rendimento e que necessitem de proceder a despesas necessárias à sua subsistência ou à aquisição de bens imediatos e inadiáveis, incluindo despesas com alojamento temporário;
b) Apoio às famílias das pessoas que perderam a vida ou sofreram lesões incapacitantes;
c) Recuperação de habitações permanentes, próprias ou arrendadas, danificadas ou destruídas pelos incêndios;
d) Apoio à reposição da atividade económica, competitividade e capacidades produtivas das empresas localizadas em territórios afetados pelos incêndios;
e) Apoios extraordinários aos agricultores para o restabelecimento do potencial produtivo agrícola, incluindo máquinas e equipamentos, afetados pelos incêndios;
f) Medidas de reabilitação de povoamentos florestais, reflorestação de áreas afetadas, de recuperação de infraestruturas danificadas pelos incêndios;
g) Medidas de contenção dos impactos ambientais e de restauro do património natural;
h) Reparação e reconstrução de infraestruturas e equipamentos municipais danificados pelos incêndios;
i) Apoios à aquisição de equipamentos de proteção individual, veículos operacionais de socorro, materiais e equipamentos de resposta operacional, podendo incluir a substituição de meios sinistrados.</v>
      </c>
      <c r="R33" s="3" t="str">
        <v>3 - Determinar a criação de um grupo de trabalho, coordenado pelo Ministro Adjunto e da Coesão Terri: date not derivable — No uniquely dated deadline derivable from this clause; cadence or trigger is preserved.
7 - Determinar que a presente resolução produz efeitos imediatos, nos termos do n.º 1 do artigo 12.º: date not derivable — No uniquely dated deadline derivable from this clause; cadence or trigger is preserved.</v>
      </c>
      <c r="S33" s="20"/>
      <c r="T33" s="20"/>
      <c r="U33" s="3" t="str"/>
      <c r="V33" s="20"/>
      <c r="W33" s="21" t="str">
        <f>IF(AND(C33="Em atraso",ISNUMBER(V33)),MAX(0,Dashboard!$E$4-V33),"")</f>
      </c>
      <c r="X33" s="3" t="str">
        <v>Not specified in the creating act.</v>
      </c>
      <c r="Y33" s="3" t="str">
        <v>Not specified in act.</v>
      </c>
      <c r="Z33" s="3" t="str">
        <v>No dated final-output deadline / public trigger date, and delivery cannot be verified.</v>
      </c>
      <c r="AA33" s="3" t="str">
        <v>https://diariodarepublica.pt/dr/detalhe/resolucao-conselho-ministros/126-a-2024-888218912</v>
      </c>
      <c r="AB33" s="22" t="str">
        <v>Open evidence</v>
      </c>
      <c r="AC33" s="20"/>
      <c r="AD33" s="3" t="str">
        <v>No delivery evidence identified.</v>
      </c>
      <c r="AE33" s="3" t="str">
        <v>Not independently verified.</v>
      </c>
      <c r="AF33" s="3" t="str"/>
      <c r="AG33" s="3" t="str"/>
      <c r="AH33" s="3" t="str"/>
      <c r="AI33" s="3" t="str">
        <v>DR full-period singular/plural/technical phrase inventories; later acts reviewed. Outcome search: "grupo de trabalho" incêndios setembro 2024 apoio relatório conclusões after:2024-04-01 before:2026-10-11. Domains: portugal.gov.pt, gov.pt, parlamento.pt, diariodarepublica.pt, justica.gov.pt, dgav.pt, icnf.pt, anac.pt, dgeg.gov.pt. Official evidence/limitations recorded in this row.</v>
      </c>
      <c r="AJ33" s="20" t="d">
        <v>2026-10-10T00:00:00.000Z</v>
      </c>
      <c r="AK33" s="3" t="str">
        <v>2024-09-17</v>
      </c>
      <c r="AL33" s="3" t="str">
        <v>Publication date.</v>
      </c>
      <c r="AM33" s="3" t="str">
        <v>Express name / creating-act summary; descriptive source label where no formal name is assigned.</v>
      </c>
      <c r="AN33" s="3" t="str">
        <v>Presidency / Council of Ministers</v>
      </c>
      <c r="AO33" s="3" t="str">
        <v>No dated final output / unknown trigger</v>
      </c>
      <c r="AP33" s="3" t="str"/>
      <c r="AQ33" s="21" t="str">
        <f>IF(AND(C33="Em atraso",ISNUMBER(D33)),COUNTIFS(Groups!$C$6:$C$127,"Em atraso",Groups!$D$6:$D$127,"&gt;"&amp;D33)+COUNTIFS($C$6:C33,"Em atraso",$D$6:D33,D33),"")</f>
      </c>
      <c r="AR33" s="21" t="n">
        <f>IF(COUNTIF($F$6:F33,F33)=1,1,0)</f>
        <v>1</v>
      </c>
    </row>
    <row r="34" ht="96" customHeight="1">
      <c r="A34" s="3" t="str">
        <v>GT-2024-029</v>
      </c>
      <c r="B34" s="3" t="str">
        <v>grupo de trabalho para elaboração de anteprojeto de diploma de revisão da legislação penal e processual penal em matéria de perda das vantagens de atividade criminosa</v>
      </c>
      <c r="C34" s="3" t="str">
        <v>Sem informação pública</v>
      </c>
      <c r="D34" s="21" t="str">
        <f>IF(C34="Em atraso",IF(ISNUMBER(T34),MAX(0,Dashboard!$E$4-T34),""),IF(C34="Concluído com atraso",IF(AND(ISNUMBER(T34),ISNUMBER(AC34)),MAX(0,AC34-T34),""),IF(C34="Concluído no prazo",0,"")))</f>
      </c>
      <c r="E34" s="3" t="str">
        <v>XXIV</v>
      </c>
      <c r="F34" s="3" t="str">
        <v>Despacho n.º 10989/2024</v>
      </c>
      <c r="G34" s="22" t="str">
        <v>Open DR act</v>
      </c>
      <c r="H34" s="20" t="d">
        <v>2024-09-19T00:00:00.000Z</v>
      </c>
      <c r="I34" s="20" t="d">
        <v>2024-09-12T00:00:00.000Z</v>
      </c>
      <c r="J34" s="20"/>
      <c r="K34" s="3" t="str">
        <v>Finanças e Justiça - Gabinete do Ministro de Estado e das Finanças e Gabinete da Ministra da Justiça</v>
      </c>
      <c r="L34" s="3" t="str">
        <v>a) Prof. Doutor Pedro Caeiro, professor associado da Faculdade de Direito da Universidade de Coimbra, que preside;</v>
      </c>
      <c r="M34" s="3" t="str">
        <v>2 - O grupo de trabalho integra os seguintes elementos:
a) Prof. Doutor Pedro Caeiro, professor associado da Faculdade de Direito da Universidade de Coimbra, que preside;
b) Mestre Maria do Carmo Saraiva de Menezes da Silva Dias, juíza conselheira do Supremo Tribunal de Justiça;
c) Doutor João Conde Correia, Procurador-Geral Adjunto e membro do Conselho Consultivo da Procuradoria-Geral da República;
d) Mestre Vânia Costa Ramos, advogada;
e) Doutor António Vaz de Castro, professor auxiliar convidado da Faculdade de Direito da Universidade de Coimbra;
f) Mestre Pedro Almeida, chefe de divisão da Unidade de Cooperação Internacional da Direção-Geral da Política de Justiça;
g) Mestre Francisco Borges, técnico especialista no Gabinete da Ministra da Justiça.</v>
      </c>
      <c r="N34" s="3" t="str">
        <v>Justice</v>
      </c>
      <c r="O34" s="3" t="str">
        <v>Draft criminal-law and procedure reforms for confiscation of criminal proceeds and implement relevant EU rules.</v>
      </c>
      <c r="P34" s="3" t="str">
        <v>1 - É constituído um grupo de trabalho para a elaboração de um anteprojeto de diploma de revisão da legislação penal e processual penal em matéria de perda das vantagens de atividade criminosa.</v>
      </c>
      <c r="Q34" s="3" t="str">
        <v>3 - Compete ao grupo de trabalho apresentar um anteprojeto de diploma que cumpra os seguintes objetivos:
a) No domínio substantivo, assegurar a transposição da Diretiva (UE) 2024/1260, de 24 de abril de 2024, quanto às modalidades de perda alargada de bens em espécie (artigo 14.º), perda de bens não baseada numa condenação (artigo 15.º) e perda de bens identificados numa investigação penal (artigo 16.º);
b) No domínio processual, dotar os mecanismos substantivos de perda de bens de um enquadramento processual adequado;
c) Na medida em que se mostre viável e compatível com o mandato temporal do grupo de trabalho, assegurar a transposição de outros aspetos da Diretiva (UE) 2024/1260 que se revelem carentes de intervenção legislativa, designadamente quanto ao acesso a informações pelo Gabinete de Recuperação de Ativos.
4 - Ressalvados os casos previstos no número seguinte, o exercício de funções no grupo de trabalho não confere o direito a remuneração, sem prejuízo do pagamento de ajudas de custo, nos termos legais em vigor.</v>
      </c>
      <c r="R34" s="3" t="str">
        <v>8 - O grupo de trabalho deve apresentar o anteprojeto à Ministra da Justiça até ao final do mês de j: 2025-01-31 — Explicit month-end: 2025-01-31.
Final report / last specified substantive output: 2025-01-31 — Fixed date / explicit year-end in creating act.</v>
      </c>
      <c r="S34" s="20" t="d">
        <v>2025-01-31T00:00:00.000Z</v>
      </c>
      <c r="T34" s="20" t="d">
        <v>2025-01-31T00:00:00.000Z</v>
      </c>
      <c r="U34" s="3" t="str">
        <v>Fixed date / explicit year-end in creating act.</v>
      </c>
      <c r="V34" s="20"/>
      <c r="W34" s="21" t="str">
        <f>IF(AND(C34="Em atraso",ISNUMBER(V34)),MAX(0,Dashboard!$E$4-V34),"")</f>
      </c>
      <c r="X34" s="3" t="str">
        <v>Unpaid group participation; expense/allowance terms are stated in the original clause.</v>
      </c>
      <c r="Y34" s="3" t="str">
        <v>4 - Ressalvados os casos previstos no número seguinte, o exercício de funções no grupo de trabalho não confere o direito a remuneração, sem prejuízo do pagamento de ajudas de custo, nos termos legais em vigor.
5 - Ao presidente e aos membros do grupo de trabalho não magistrados ou que não se integrem no Ministério da Justiça é devida uma contrapartida financeira pela execução do programa de trabalhos.</v>
      </c>
      <c r="Z34" s="3" t="str">
        <v>Delivery is officially confirmed, but the handover date is not public; timeliness cannot be classified.</v>
      </c>
      <c r="AA34" s="3" t="str">
        <v>https://diariodarepublica.pt/dr/detalhe/despacho/10989-2024-888216496
https://justica.gov.pt/Noticias/Perda-alargada-de-bens-anteprojeto-em-consulta-publica</v>
      </c>
      <c r="AB34" s="22" t="str">
        <v>Open evidence</v>
      </c>
      <c r="AC34" s="20"/>
      <c r="AD34" s="3" t="str">
        <v>Justice Ministry confirms publication of the final report and draft bill for public consultation. Exact handover date not established.</v>
      </c>
      <c r="AE34" s="3" t="str">
        <v>Draft published for consultation; enactment of final legislation not independently verified.</v>
      </c>
      <c r="AF34" s="3" t="str">
        <v>https://www.consultalex.gov.pt/Portal_Consultas_Publicas_UI/ConsultaPublica_Detail.aspx?Consulta_Id=372</v>
      </c>
      <c r="AG34" s="3" t="str"/>
      <c r="AH34" s="3" t="str"/>
      <c r="AI34" s="3" t="str">
        <v>DR full-period singular/plural/technical phrase inventories; later acts reviewed. Outcome search: "grupo de trabalho" perda bens vantagens atividade criminosa relatório conclusões after:2024-04-01 before:2026-10-11. Domains: portugal.gov.pt, gov.pt, parlamento.pt, diariodarepublica.pt, justica.gov.pt, dgav.pt, icnf.pt, anac.pt, dgeg.gov.pt. Official evidence/limitations recorded in this row.</v>
      </c>
      <c r="AJ34" s="20" t="d">
        <v>2026-10-10T00:00:00.000Z</v>
      </c>
      <c r="AK34" s="3" t="str">
        <v>2024-09-09; 2024-09-12</v>
      </c>
      <c r="AL34" s="3" t="str">
        <v>Not specified in act; no statutory default inferred.</v>
      </c>
      <c r="AM34" s="3" t="str">
        <v>Express name / creating-act summary; descriptive source label where no formal name is assigned.</v>
      </c>
      <c r="AN34" s="3" t="str">
        <v>Finance; Justice</v>
      </c>
      <c r="AO34" s="3" t="str">
        <v>Final report / last specified substantive output</v>
      </c>
      <c r="AP34" s="3" t="str"/>
      <c r="AQ34" s="21" t="str">
        <f>IF(AND(C34="Em atraso",ISNUMBER(D34)),COUNTIFS(Groups!$C$6:$C$127,"Em atraso",Groups!$D$6:$D$127,"&gt;"&amp;D34)+COUNTIFS($C$6:C34,"Em atraso",$D$6:D34,D34),"")</f>
      </c>
      <c r="AR34" s="21" t="n">
        <f>IF(COUNTIF($F$6:F34,F34)=1,1,0)</f>
        <v>1</v>
      </c>
    </row>
    <row r="35" ht="96" customHeight="1">
      <c r="A35" s="3" t="str">
        <v>GT-2024-030</v>
      </c>
      <c r="B35" s="3" t="str">
        <v>Grupo de Trabalho de Combate ao Bullying nas Escolas</v>
      </c>
      <c r="C35" s="3" t="str">
        <v>Sem informação pública</v>
      </c>
      <c r="D35" s="21" t="str">
        <f>IF(C35="Em atraso",IF(ISNUMBER(T35),MAX(0,Dashboard!$E$4-T35),""),IF(C35="Concluído com atraso",IF(AND(ISNUMBER(T35),ISNUMBER(AC35)),MAX(0,AC35-T35),""),IF(C35="Concluído no prazo",0,"")))</f>
      </c>
      <c r="E35" s="3" t="str">
        <v>XXIV</v>
      </c>
      <c r="F35" s="3" t="str">
        <v>Despacho n.º 11152/2024</v>
      </c>
      <c r="G35" s="22" t="str">
        <v>Open DR act</v>
      </c>
      <c r="H35" s="20" t="d">
        <v>2024-09-23T00:00:00.000Z</v>
      </c>
      <c r="I35" s="20" t="d">
        <v>2024-09-13T00:00:00.000Z</v>
      </c>
      <c r="J35" s="20" t="d">
        <v>2024-09-14T00:00:00.000Z</v>
      </c>
      <c r="K35" s="3" t="str">
        <v>Educação, Ciência e Inovação e Juventude e Modernização - Gabinete do Ministro da Educação, Ciência e Inovação e Gabinete da Ministra da Juventude e Modernização</v>
      </c>
      <c r="L35" s="3" t="str">
        <v>a) Um/a representante do Ministério da Juventude e Modernização, que coordena;
6 - Podem participar no Grupo de Trabalho, quando tal se afigure necessário, representantes de outras entidades, públicas ou privadas, mediante convite a endereçar pelo/a coordenador/a do Grupo de Trabalho.</v>
      </c>
      <c r="M35" s="3" t="str">
        <v>3 - O Grupo de Trabalho é constituído em permanência por:
a) Um/a representante do Ministério da Juventude e Modernização, que coordena;
b) Um/a representante do Ministério da Educação, Ciência e Inovação;
c) Um/a representante da Direção-Geral de Educação (DGE);
d) Um/a representante da Direção-Geral dos Estabelecimentos Escolares (DGEstE);
e) Uma personalidade de reconhecido mérito na área de investigação e combate à violência nas escolas, a designar por ambas as áreas governativas.</v>
      </c>
      <c r="N35" s="3" t="str">
        <v>Education / Youth</v>
      </c>
      <c r="O35" s="3" t="str">
        <v>Develop coordinated measures to prevent and combat bullying in schools.</v>
      </c>
      <c r="P35" s="3" t="str">
        <v>1 - É criado o Grupo de Trabalho de Combate ao Bullying nas Escolas.</v>
      </c>
      <c r="Q35" s="3" t="str">
        <v>2 - O Grupo de Trabalho de Combate ao Bullying nas Escolas tem como objetivos:
a) Preparar uma campanha de sensibilização de âmbito nacional;
b) Criar um instrumento de diagnóstico que complemente a análise do estado de arte existente;
c) Desenvolver elementos que se constituam como agregadores de instrumentos e informação, tais como:
i) Guião para assistentes operacionais;
ii) Guião para docentes;
iii) Infografia para os/as alunos/as;
d) Elaborar recomendações a implementar no ano letivo de 2025/2026;
e) Propor um mecanismo/canal de denúncias.</v>
      </c>
      <c r="R35" s="3" t="str">
        <v>4 - Os representantes referidos no número anterior são designados no prazo de 10 dias, a contar da d: 2024-10-03 — 2024-09-23 + 10 calendar days (monitoring convention). If CPA procedural counting applies: 2024-10-07.
9 - O Grupo de Trabalho cessa o seu mandato no final do ano de 2024.: 2024-12-31 — Explicit year-end: 31 December 2024.
Mandate end / completed objectives: 2024-12-31 — End of 2024 mandate (clause 9).</v>
      </c>
      <c r="S35" s="20" t="d">
        <v>2024-12-31T00:00:00.000Z</v>
      </c>
      <c r="T35" s="20" t="d">
        <v>2024-12-31T00:00:00.000Z</v>
      </c>
      <c r="U35" s="3" t="str">
        <v>End of 2024 mandate (clause 9).</v>
      </c>
      <c r="V35" s="20"/>
      <c r="W35" s="21" t="str">
        <f>IF(AND(C35="Em atraso",ISNUMBER(V35)),MAX(0,Dashboard!$E$4-V35),"")</f>
      </c>
      <c r="X35" s="3" t="str">
        <v>Unpaid; see the original clause for the scope of the exclusion.</v>
      </c>
      <c r="Y35" s="3" t="str">
        <v>8 - A constituição e funcionamento do Grupo de Trabalho não confere aos seus membros ou a quem com eles colaborar o direito ao pagamento de qualquer remuneração ou compensação.</v>
      </c>
      <c r="Z35" s="3" t="str">
        <v>Delivery is officially confirmed, but the handover date is not public; timeliness cannot be classified.</v>
      </c>
      <c r="AA35" s="3" t="str">
        <v>https://diariodarepublica.pt/dr/detalhe/despacho/11152-2024-888560032
https://portugal.gov.pt/gc24/comunicacao/documentos/relatorio-do-grupo-de-trabalho-sobre-combate-ao-bullying-nas-escolas-</v>
      </c>
      <c r="AB35" s="22" t="str">
        <v>Open evidence</v>
      </c>
      <c r="AC35" s="20"/>
      <c r="AD35" s="3" t="str">
        <v>Final report publicly released 24 February 2025; the mandate ended 31 December 2024. Actual handover date is not stated.</v>
      </c>
      <c r="AE35" s="3" t="str">
        <v>Government announced implementation proposals based on the report; operational launch not verified.</v>
      </c>
      <c r="AF35" s="3" t="str">
        <v>https://portugal.gov.pt/gc24/comunicacao/noticias/governo-vai-criar-linha-de-denuncia-e-apoio-a-alunos-vitimas-de-bullying</v>
      </c>
      <c r="AG35" s="3" t="str"/>
      <c r="AH35" s="3" t="str">
        <v> The 55-day lag between mandate end and public release is not treated as proof of late internal delivery.</v>
      </c>
      <c r="AI35" s="3" t="str">
        <v>DR full-period singular/plural/technical phrase inventories; later acts reviewed. Outcome search: "grupo de trabalho" bullying escolas relatório conclusões after:2024-04-01 before:2026-10-11. Domains: portugal.gov.pt, gov.pt, parlamento.pt, diariodarepublica.pt, justica.gov.pt, dgav.pt, icnf.pt, anac.pt, dgeg.gov.pt. Official evidence/limitations recorded in this row.</v>
      </c>
      <c r="AJ35" s="20" t="d">
        <v>2026-10-10T00:00:00.000Z</v>
      </c>
      <c r="AK35" s="3" t="str">
        <v>2024-09-13</v>
      </c>
      <c r="AL35" s="3" t="str">
        <v>Day after latest signature.</v>
      </c>
      <c r="AM35" s="3" t="str">
        <v>Express name / creating-act summary; descriptive source label where no formal name is assigned.</v>
      </c>
      <c r="AN35" s="3" t="str">
        <v>Education / Science; Youth / Modernisation</v>
      </c>
      <c r="AO35" s="3" t="str">
        <v>Mandate end / completed objectives</v>
      </c>
      <c r="AP35" s="3" t="str"/>
      <c r="AQ35" s="21" t="str">
        <f>IF(AND(C35="Em atraso",ISNUMBER(D35)),COUNTIFS(Groups!$C$6:$C$127,"Em atraso",Groups!$D$6:$D$127,"&gt;"&amp;D35)+COUNTIFS($C$6:C35,"Em atraso",$D$6:D35,D35),"")</f>
      </c>
      <c r="AR35" s="21" t="n">
        <f>IF(COUNTIF($F$6:F35,F35)=1,1,0)</f>
        <v>1</v>
      </c>
    </row>
    <row r="36" ht="96" customHeight="1">
      <c r="A36" s="3" t="str">
        <v>GT-2024-031</v>
      </c>
      <c r="B36" s="3" t="str">
        <v>grupo de trabalho que reúna o conhecimento de excelência existente nas forças de segurança e que numa perspetiva de profunda reflexão possa elaborar uma estratégia pedagógica a adotar pelos estabelecimentos de ensino das forças de segurança</v>
      </c>
      <c r="C36" s="3" t="str">
        <v>Em atraso</v>
      </c>
      <c r="D36" s="21" t="n">
        <f>IF(C36="Em atraso",IF(ISNUMBER(T36),MAX(0,Dashboard!$E$4-T36),""),IF(C36="Concluído com atraso",IF(AND(ISNUMBER(T36),ISNUMBER(AC36)),MAX(0,AC36-T36),""),IF(C36="Concluído no prazo",0,"")))</f>
        <v>467</v>
      </c>
      <c r="E36" s="3" t="str">
        <v>XXIV</v>
      </c>
      <c r="F36" s="3" t="str">
        <v>Despacho n.º 11271/2024</v>
      </c>
      <c r="G36" s="22" t="str">
        <v>Open DR act</v>
      </c>
      <c r="H36" s="20" t="d">
        <v>2024-09-25T00:00:00.000Z</v>
      </c>
      <c r="I36" s="20" t="d">
        <v>2024-09-09T00:00:00.000Z</v>
      </c>
      <c r="J36" s="20"/>
      <c r="K36" s="3" t="str">
        <v>Administração Interna - Gabinete da Ministra da Administração Interna</v>
      </c>
      <c r="L36" s="3" t="str">
        <v>9 - O grupo de trabalho é coordenado pelo Gabinete da Ministra da Administração Interna, coadjuvado pelo respetivo gabinete governamental e secretaria-geral, e constituído, ainda, por membros das seguintes entidades, sob designação das mesmas:</v>
      </c>
      <c r="M36" s="3" t="str">
        <v>9 - O grupo de trabalho é coordenado pelo Gabinete da Ministra da Administração Interna, coadjuvado pelo respetivo gabinete governamental e secretaria-geral, e constituído, ainda, por membros das seguintes entidades, sob designação das mesmas:
a) Instituto Superior de Ciências Policiais e Segurança Interna (ISCPSI);
b) Escola Prática de Polícia (EPP);
c) Academia Militar (AM) - área de formação dos oficiais da GNR;
d) Escola da Guarda (EG);
e) Guarda Nacional Republicana (GNR);
f) Polícia de Segurança Pública (PSP);
g) Inspeção-Geral da Administração Interna (IGAI).
15 - Dê-se conhecimento ao Comandante-Geral da Guarda Nacional Republicana (GNR), a fim de designar os elementos para integrarem o grupo de trabalho constituído por este Despacho, nomeadamente da Academia Militar (AM) - área de formação dos oficiais da GNR, e da Escola da Guarda (EG).
16 - Dê-se conhecimento ao Diretor-Nacional da Polícia de Segurança Pública (PSP), a fim de designar um elemento para integrar o grupo de trabalho constituído por este Despacho.
17 - Dê-se ainda conhecimento ao Diretor do Instituto Superior de Ciências Policiais e Segurança Interna (ISCPSI) e ao Diretor da Escola Prática de Polícia (EPP) a fim de designar um elemento para integrar o grupo de trabalho constituído por este Despacho.
18 - Dê-se igualmente conhecimento à Senhora Inspetora-Geral da Administração Interna, a fim de designar um elemento para integrar o grupo de trabalho constituído por este Despacho.</v>
      </c>
      <c r="N36" s="3" t="str">
        <v>Internal administration</v>
      </c>
      <c r="O36" s="3" t="str">
        <v>Prepare a teaching strategy for security-force schools, including human rights and professional training.</v>
      </c>
      <c r="P36" s="3" t="str">
        <v>8 - Assim, determino a constituição de um grupo de trabalho que reúna o conhecimento de excelência existente nas forças de segurança e que numa perspetiva de profunda reflexão possa elaborar uma estratégia pedagógica a adotar pelos estabelecimentos de ensino das forças de segurança.</v>
      </c>
      <c r="Q36" s="3" t="str">
        <v>4 - Estes objetivos merecem uma especial atenção, para o que importa apostar num correto recrutamento e adequadas formação inicial, contínua e ao longo da vida profissional dos elementos das forças de segurança, bem como estabelecer os estímulos e impulsionar as adequadas motivações profissionais e académicas para todos aqueles que trabalham e querem trabalhar nas forças de segurança.</v>
      </c>
      <c r="R36" s="3" t="str">
        <v>11 - O grupo de trabalho deve concluir os trabalhos até 16 de dezembro de 2024.: 2024-12-16 — Explicit calendar date in the act.
Final report / last specified substantive output: 2024-12-16 — Fixed date / explicit year-end in creating act.
Extended controlling deadline: 2025-06-30 — Formal extension: Despacho n.º 2701/2025, de 27 de fevereiro — https://diariodarepublica.pt/dr/detalhe/despacho/2701-2025-909150575</v>
      </c>
      <c r="S36" s="20" t="d">
        <v>2024-12-16T00:00:00.000Z</v>
      </c>
      <c r="T36" s="20" t="d">
        <v>2025-06-30T00:00:00.000Z</v>
      </c>
      <c r="U36" s="3" t="str">
        <v>Formal extension: Despacho n.º 2701/2025, de 27 de fevereiro — https://diariodarepublica.pt/dr/detalhe/despacho/2701-2025-909150575</v>
      </c>
      <c r="V36" s="20"/>
      <c r="W36" s="21" t="str">
        <f>IF(AND(C36="Em atraso",ISNUMBER(V36)),MAX(0,Dashboard!$E$4-V36),"")</f>
      </c>
      <c r="X36" s="3" t="str">
        <v>Not specified in the creating act.</v>
      </c>
      <c r="Y36" s="3" t="str">
        <v>Not specified in act.</v>
      </c>
      <c r="Z36" s="3" t="str">
        <v>Controlling benchmark has passed; no evidence of this output’s delivery identified in the reviewed acts and focused official-source outcome search.</v>
      </c>
      <c r="AA36" s="3" t="str">
        <v>https://diariodarepublica.pt/dr/detalhe/despacho/11271-2024-888843218
https://diariodarepublica.pt/dr/detalhe/despacho/2701-2025-909150575</v>
      </c>
      <c r="AB36" s="22" t="str">
        <v>Open evidence</v>
      </c>
      <c r="AC36" s="20"/>
      <c r="AD36" s="3" t="str">
        <v>No delivery evidence identified.</v>
      </c>
      <c r="AE36" s="3" t="str">
        <v>Not independently verified.</v>
      </c>
      <c r="AF36" s="3" t="str"/>
      <c r="AG36" s="3" t="str">
        <v>Despacho n.º 2701/2025, de 27 de fevereiro — https://diariodarepublica.pt/dr/detalhe/despacho/2701-2025-909150575</v>
      </c>
      <c r="AH36" s="3" t="str"/>
      <c r="AI36" s="3" t="str">
        <v>DR full-period singular/plural/technical phrase inventories; later acts reviewed. Outcome search: "grupo de trabalho" Estratégia Pedagógica forças segurança relatório conclusões after:2024-04-01 before:2026-10-11. Domains: portugal.gov.pt, gov.pt, parlamento.pt, diariodarepublica.pt, justica.gov.pt, dgav.pt, icnf.pt, anac.pt, dgeg.gov.pt. Official evidence/limitations recorded in this row.</v>
      </c>
      <c r="AJ36" s="20" t="d">
        <v>2026-10-10T00:00:00.000Z</v>
      </c>
      <c r="AK36" s="3" t="str">
        <v>2024-09-09</v>
      </c>
      <c r="AL36" s="3" t="str">
        <v>Not specified in act; no statutory default inferred.</v>
      </c>
      <c r="AM36" s="3" t="str">
        <v>Express name / creating-act summary; descriptive source label where no formal name is assigned.</v>
      </c>
      <c r="AN36" s="3" t="str">
        <v>Internal affairs</v>
      </c>
      <c r="AO36" s="3" t="str">
        <v>Final report / last specified substantive output</v>
      </c>
      <c r="AP36" s="3" t="str">
        <v>Calendar monitoring benchmark; absence of public evidence is not proof of non-delivery.</v>
      </c>
      <c r="AQ36" s="21" t="n">
        <f>IF(AND(C36="Em atraso",ISNUMBER(D36)),COUNTIFS(Groups!$C$6:$C$127,"Em atraso",Groups!$D$6:$D$127,"&gt;"&amp;D36)+COUNTIFS($C$6:C36,"Em atraso",$D$6:D36,D36),"")</f>
        <v>21</v>
      </c>
      <c r="AR36" s="21" t="n">
        <f>IF(COUNTIF($F$6:F36,F36)=1,1,0)</f>
        <v>1</v>
      </c>
    </row>
    <row r="37" ht="96" customHeight="1">
      <c r="A37" s="3" t="str">
        <v>GT-2024-032</v>
      </c>
      <c r="B37" s="3" t="str">
        <v>grupo de trabalho com a missão de preparar, coordenar e assegurar a execução do Plano Nacional de Implementação do Pacto em matéria de Migração e Asilo</v>
      </c>
      <c r="C37" s="3" t="str">
        <v>Em curso – dentro do prazo</v>
      </c>
      <c r="D37" s="21" t="str">
        <f>IF(C37="Em atraso",IF(ISNUMBER(T37),MAX(0,Dashboard!$E$4-T37),""),IF(C37="Concluído com atraso",IF(AND(ISNUMBER(T37),ISNUMBER(AC37)),MAX(0,AC37-T37),""),IF(C37="Concluído no prazo",0,"")))</f>
      </c>
      <c r="E37" s="3" t="str">
        <v>XXIV</v>
      </c>
      <c r="F37" s="3" t="str">
        <v>Despacho n.º 11856-A/2024</v>
      </c>
      <c r="G37" s="22" t="str">
        <v>Open DR act</v>
      </c>
      <c r="H37" s="20" t="d">
        <v>2024-10-07T00:00:00.000Z</v>
      </c>
      <c r="I37" s="20" t="d">
        <v>2024-10-07T00:00:00.000Z</v>
      </c>
      <c r="J37" s="20" t="d">
        <v>2024-10-08T00:00:00.000Z</v>
      </c>
      <c r="K37" s="3" t="str">
        <v>Presidência do Conselho de Ministros, Negócios Estrangeiros, Justiça e Administração Interna - Gabinete do Ministro de Estado e dos Negócios Estrangeiros, Gabinete do Ministro da Presidência, Gabinete da Ministra da Justiça e Gabinete da Ministra da Administração Interna</v>
      </c>
      <c r="L37" s="3" t="str">
        <v>i) Manuel Jarmela Palos, oficial de ligação de imigração no Reino de Espanha, que coordena;
7 - A competência para a convocação das reuniões do grupo de trabalho cabe ao coordenador, tendo em conta a disponibilidade dos restantes membros do grupo e dos representantes das entidades mencionadas nos n.os 5 e 6, quando for solicitada a sua participação.</v>
      </c>
      <c r="M37" s="3" t="str">
        <v>3 - O grupo de trabalho é constituído por:
a) Uma comissão coordenadora:
i) Manuel Jarmela Palos, oficial de ligação de imigração no Reino de Espanha, que coordena;
ii) Mário Luís Magalhães Pedro, vogal do conselho diretivo da AIMA, I. P., que assume funções de subcoordenador;
iii) António Manuel Martins Fialho, coordenador superior de investigação criminal da Polícia Judiciária, que assume funções de subcoordenador;
iv) Pedro Manuel Rodrigues Ramos, diretor de serviços de Justiça e Assuntos Internos, da Direção-Geral dos Assuntos Europeus, do Ministério dos Negócios Estrangeiros, que assume funções de subcoordenador;
v) Ricardo Alberto Gasiba Carrilho, secretário-geral adjunto para as Relações Internacionais e Gestão de Fundos Comunitários da Secretaria-Geral do Ministério da Administração Interna, que assume funções de subcoordenador;
b) Comissão de acompanhamento, composta por um representante dos Gabinetes dos seguintes membros do Governo:
i) Ministro de Estado e dos Negócios Estrangeiros;
ii) Ministro da Presidência;
iii) Ministra da Justiça;
iv) Ministra da Administração Interna.
5 - O grupo de trabalho pode, sempre que entender necessário e nos termos que considerar adequados, solicitar o envolvimento, cooperação e participação das seguintes entidades e serviços:
a) Sistema de Segurança Interna;
b) Direção-Geral dos Assuntos Consulares e Comunidades Portuguesas;
c) Representação Permanente de Portugal junto da União Europeia;
d) Agência para a Integração, Migrações e Asilo;
e) Polícia Judiciária;
f) Polícia de Segurança Pública;
g) Guarda Nacional Republicana;
h) Secretaria-Geral do Ministério da Administração Interna;
i) Secretaria-Geral do Ministério do Trabalho, Solidariedade e Segurança Social;
j) Inspeção-Geral da Administração Interna;
k) Instituto dos Registos e do Notariado.</v>
      </c>
      <c r="N37" s="3" t="str">
        <v>Migration</v>
      </c>
      <c r="O37" s="3" t="str">
        <v>Prepare, coordinate and implement Portugal’s national implementation plan for the EU Migration and Asylum Pact.</v>
      </c>
      <c r="P37" s="3" t="str">
        <v>1 - É criado, na dependência do membro do Governo responsável pela área das migrações, um grupo de trabalho com a missão de preparar, coordenar e assegurar a execução do Plano Nacional de Implementação do Pacto (doravante designado apenas por "Plano").</v>
      </c>
      <c r="Q37" s="3" t="str">
        <v>1 - É criado, na dependência do membro do Governo responsável pela área das migrações, um grupo de trabalho com a missão de preparar, coordenar e assegurar a execução do Plano Nacional de Implementação do Pacto (doravante designado apenas por "Plano").
2 - O grupo de trabalho prossegue os seguintes objetivos:
a) Promover a articulação entre todas as entidades e serviços que sejam necessários ou convenientes à análise, transposição e execução dos atos da União Europeia aprovados no âmbito do Pacto;
b) Elaborar o projeto de Plano Nacional de Implementação do Pacto, em articulação com todas as entidades e serviços que sejam considerados necessários ou convenientes;
c) Elaborar todas as propostas de atos normativos necessários à execução do Plano;
d) Elaborar proposta de novo modelo de organização e gestão dos serviços e entidades com relevância na matéria;
e) Planear, preparar e acompanhar a execução de todas as medidas necessárias ao Plano, designadamente:
i) Rever as configurações organizacionais, incluindo as estruturas de coordenação nos serviços, a fim de assegurar que são ajustadas à finalidade do Plano (incluindo identificar e planear a criação de novas estruturas, reorganização dos serviços ou ponderar a implementação de sistemas integrados de gestão de processos);
ii) Rever os fluxos de trabalho administrativo, os procedimentos operacionais em curso e os protocolos (incluindo identificação dos procedimentos atuais e o desenvolvimento de novos instrumentos);
iii) Rever as capacidades existentes em termos de recursos técnicos e humanos;
iv) Identificar e, se necessário, coordenar as atividades a realizar por partes interessadas ou organizações pertinentes;
v) Rever as capacidades existentes e identificar as necessidades em termos de infraestruturas, equipamentos e eventuais requisitos logísticos;
f) Realizar reuniões periódicas tendentes à elaboração do projeto do Plano e dos relatórios de situação, a apresentar ao membro do Governo responsável pela área das migrações;
g) Realizar, em articulação com a Direção-Geral dos Assuntos Europeus e com a Representação Permanente de Portugal junto da União Europeia, as diligências e interações com a Comissão Europeia que se mostrem necessárias para a boa execução do Plano, designadamente:
i) Participar em grupos de trabalho da Comissão Europeia em matérias relacionadas com o Plano, articulando com as entidades competentes;
ii) Realizar reuniões bilaterais com a Comissão Europeia, para a discussão do programa de acompanhamento a Portugal;
iii) Preparar, acompanhar e coordenar as missões de avaliação aos locais definidos;
iv) Organizar a logística das visitas dos avaliadores europeus;
v) Acompanhar a equipa de avaliação aos diversos locais visitados/avaliados;
vi) Acompanhar a preparação dos relatórios das missões de avaliação;
vii) Acompanhar e implementar as recomendações que vierem a ser formuladas.
4 - Para a operacionalização dos trabalhos, o coordenador nomeia uma comissão executiva, composta por trabalhadores em funções públicas, exercendo as suas funções pelo período de duração do mandato do grupo de trabalho, mantendo a natureza funcional e remuneração devida na situação jurídico-funcional de origem, bem como todos os direitos inerentes aos respetivos postos ou lugares de origem.
8 - Os relatórios periódicos ou outros elementos da mesma natureza, relacionados com o Plano, que venham a ser calendarizados pela Comissão Europeia, devem ser enviados previamente, pela comissão coordenadora, ao membro do Governo responsável pela área das migrações.
9 - Os membros do grupo de trabalho a que se refere o n.º 3 que possuam vínculo de emprego público exercem as suas funções em acumulação com as funções públicas atualmente exercidas nos respetivos serviços de origem, nos termos do disposto no n.º 1 do artigo 21.º da Lei Geral do Trabalho em Funções Públicas (LTFP), aprovada pela Lei n.º 35/2014, de 20 de junho, na sua redação atual, não sendo devida remuneração ou abonos acrescidos.
10 - A participação no grupo de trabalho não confere o direito a qualquer prestação, independentemente da respetiva natureza, designadamente a título de remuneração, abono, compensação, subsídio ou senhas de presença, sem prejuízo do disposto nos n.os 4, 9 e 11 e do direito a ajudas de custo nos termos do regime legal geral aplicável aos trabalhadores que exercem funções públicas.
11 - O apoio administrativo, logístico e orçamental do grupo de trabalho é assegurado pela AIMA, I. P., incluindo a contratação de bens e serviços que sejam considerados necessários para o exercício das suas atividades, mediante solicitação fundamentada da comissão coordenadora.</v>
      </c>
      <c r="R37" s="3" t="str">
        <v>Mandate end: 2026-12-31 — Fixed date / explicit year-end in creating act.</v>
      </c>
      <c r="S37" s="20" t="d">
        <v>2026-12-31T00:00:00.000Z</v>
      </c>
      <c r="T37" s="20" t="d">
        <v>2026-12-31T00:00:00.000Z</v>
      </c>
      <c r="U37" s="3" t="str">
        <v>Fixed date / explicit year-end in creating act.</v>
      </c>
      <c r="V37" s="20"/>
      <c r="W37" s="21" t="str">
        <f>IF(AND(C37="Em atraso",ISNUMBER(V37)),MAX(0,Dashboard!$E$4-V37),"")</f>
      </c>
      <c r="X37" s="3" t="str">
        <v>Unpaid group participation; expense/allowance terms are stated in the original clause.</v>
      </c>
      <c r="Y37" s="3" t="str">
        <v>4 - Para a operacionalização dos trabalhos, o coordenador nomeia uma comissão executiva, composta por trabalhadores em funções públicas, exercendo as suas funções pelo período de duração do mandato do grupo de trabalho, mantendo a natureza funcional e remuneração devida na situação jurídico-funcional de origem, bem como todos os direitos inerentes aos respetivos postos ou lugares de origem.
9 - Os membros do grupo de trabalho a que se refere o n.º 3 que possuam vínculo de emprego público exercem as suas funções em acumulação com as funções públicas atualmente exercidas nos respetivos serviços de origem, nos termos do disposto no n.º 1 do artigo 21.º da Lei Geral do Trabalho em Funções Públicas (LTFP), aprovada pela Lei n.º 35/2014, de 20 de junho, na sua redação atual, não sendo devida remuneração ou abonos acrescidos.
10 - A participação no grupo de trabalho não confere o direito a qualquer prestação, independentemente da respetiva natureza, designadamente a título de remuneração, abono, compensação, subsídio ou senhas de presença, sem prejuízo do disposto nos n.os 4, 9 e 11 e do direito a ajudas de custo nos termos do regime legal geral aplicável aos trabalhadores que exercem funções públicas.</v>
      </c>
      <c r="Z37" s="3" t="str">
        <v>Current controlling deadline has not passed; delivery not independently verified.</v>
      </c>
      <c r="AA37" s="3" t="str">
        <v>https://diariodarepublica.pt/dr/detalhe/despacho/11856-a-2024-890194538</v>
      </c>
      <c r="AB37" s="22" t="str">
        <v>Open evidence</v>
      </c>
      <c r="AC37" s="20"/>
      <c r="AD37" s="3" t="str">
        <v>No delivery evidence identified.</v>
      </c>
      <c r="AE37" s="3" t="str">
        <v>Not independently verified.</v>
      </c>
      <c r="AF37" s="3" t="str"/>
      <c r="AG37" s="3" t="str"/>
      <c r="AH37" s="3" t="str"/>
      <c r="AI37" s="3" t="str">
        <v>DR full-period singular/plural/technical phrase inventories; later acts reviewed. Outcome search: "grupo de trabalho" Pacto Migração Asilo relatório conclusões after:2024-04-01 before:2026-10-11. Domains: portugal.gov.pt, gov.pt, parlamento.pt, diariodarepublica.pt, justica.gov.pt, dgav.pt, icnf.pt, anac.pt, dgeg.gov.pt. Official evidence/limitations recorded in this row.</v>
      </c>
      <c r="AJ37" s="20" t="d">
        <v>2026-10-10T00:00:00.000Z</v>
      </c>
      <c r="AK37" s="3" t="str">
        <v>2024-10-01; 2024-10-02; 2024-10-03; 2024-10-07</v>
      </c>
      <c r="AL37" s="3" t="str">
        <v>Day after publication.</v>
      </c>
      <c r="AM37" s="3" t="str">
        <v>Express name / creating-act summary; descriptive source label where no formal name is assigned.</v>
      </c>
      <c r="AN37" s="3" t="str">
        <v>Presidency / Council of Ministers; Foreign affairs; Justice; Internal affairs</v>
      </c>
      <c r="AO37" s="3" t="str">
        <v>Mandate end</v>
      </c>
      <c r="AP37" s="3" t="str"/>
      <c r="AQ37" s="21" t="str">
        <f>IF(AND(C37="Em atraso",ISNUMBER(D37)),COUNTIFS(Groups!$C$6:$C$127,"Em atraso",Groups!$D$6:$D$127,"&gt;"&amp;D37)+COUNTIFS($C$6:C37,"Em atraso",$D$6:D37,D37),"")</f>
      </c>
      <c r="AR37" s="21" t="n">
        <f>IF(COUNTIF($F$6:F37,F37)=1,1,0)</f>
        <v>1</v>
      </c>
    </row>
    <row r="38" ht="96" customHeight="1">
      <c r="A38" s="3" t="str">
        <v>GT-2024-033</v>
      </c>
      <c r="B38" s="3" t="str">
        <v>Grupo de trabalho técnico — reprocessamento de dispositivos médicos</v>
      </c>
      <c r="C38" s="3" t="str">
        <v>Em atraso</v>
      </c>
      <c r="D38" s="21" t="n">
        <f>IF(C38="Em atraso",IF(ISNUMBER(T38),MAX(0,Dashboard!$E$4-T38),""),IF(C38="Concluído com atraso",IF(AND(ISNUMBER(T38),ISNUMBER(AC38)),MAX(0,AC38-T38),""),IF(C38="Concluído no prazo",0,"")))</f>
        <v>665</v>
      </c>
      <c r="E38" s="3" t="str">
        <v>XXIV</v>
      </c>
      <c r="F38" s="3" t="str">
        <v>Despacho n.º 12071/2024</v>
      </c>
      <c r="G38" s="22" t="str">
        <v>Open DR act</v>
      </c>
      <c r="H38" s="20" t="d">
        <v>2024-10-14T00:00:00.000Z</v>
      </c>
      <c r="I38" s="20" t="d">
        <v>2024-10-07T00:00:00.000Z</v>
      </c>
      <c r="J38" s="20" t="d">
        <v>2024-10-15T00:00:00.000Z</v>
      </c>
      <c r="K38" s="3" t="str">
        <v>Saúde - Gabinete da Secretária de Estado da Saúde</v>
      </c>
      <c r="L38" s="3" t="str">
        <v>Not specified; administrative/logistical support is provided by DGS (clause 8).</v>
      </c>
      <c r="M38" s="3" t="str">
        <v>3 - O grupo de trabalho tem natureza temporária e integra:
a) Inspetor Francisco Rei, em representação da Inspeção-Geral de Atividades em Saúde;
b) Enf. Vítor Freire, que integra o Programa Nacional para a Prevenção e Controlo de Infeções e de Resistência aos Antimicrobianos (PPCIRA), em representação da Direção-Geral da Saúde (DGS);
c) Dr.ª Lília Marina Guerreiro Louzeiro, em representação do INFARMED - Autoridade Nacional do Medicamento e Produtos de Saúde, I. P.;
d) Eng.ª Sara Pena, em representação do SUCH - Serviço de Utilização Comum dos Hospitais;
e) Enf.ª Flora Maria Vila Santa Moura Carvalho, em representação da Ordem dos Enfermeiros;
f) Em representação das unidades locais de saúde da região de Lisboa e Vale do Tejo:
i) Enf.ª Dina Clemente, em representação da Unidade Local de Saúde Arco Ribeirinho;
ii) Enf.ª Helena Marmelo, em representação da Unidade Local de Saúde Arrábida;
iii) Enf.ª Graça Teixeira, em representação da Unidade Local de Saúde da Lezíria, E. P. E.;
iv) Enf.ª Leonor Castanho, em representação da Unidade Local de Saúde de Amadora/Sintra, E. P. E.;
v) Enf.ª Élia Isabel Aparício dos Santos, em representação da Unidade Local de Saúde de Almada-Seixal, E. P. E.;
vi) Dr. Alexandre Duarte, em representação da Unidade Local de Saúde de Lisboa Ocidental, E. P. E.;
vii) Enf.ª Ana Catarina Rodrigues, em representação da Unidade Local de Saúde de Loures-Odivelas, E. P. E.;
viii) Dr. José Girão, em representação da Unidade Local de Saúde de Santa Maria, E. P. E.;
ix) Enf.ª Maria Fátima Santos Estevão Lourenço, em representação da Unidade Local de Saúde de São José, E. P. E.;
x) Dr.ª Carla Ferrer, em representação da Unidade Local de Saúde do Estuário do Tejo, E. P. E.;
xi) Enf.ª Maria Teresa Barbosa Leal, em representação da Unidade Local de Saúde do Oeste, E. P. E.;
xii) Eng.ª Nélia Silva, em representação da Unidade Local de Saúde Médio Tejo.</v>
      </c>
      <c r="N38" s="3" t="str">
        <v>Health</v>
      </c>
      <c r="O38" s="3" t="str">
        <v>Assess the reprocessing of medical devices and recommend changes needed to comply with EU safety rules.</v>
      </c>
      <c r="P38" s="3" t="str">
        <v>1 - É criado um grupo de trabalho técnico com o objetivo de avaliar os procedimentos de reprocessamento dos dispositivos médicos, em especial os utilizados em cirurgias.</v>
      </c>
      <c r="Q38" s="3" t="str">
        <v>1 - É criado um grupo de trabalho técnico com o objetivo de avaliar os procedimentos de reprocessamento dos dispositivos médicos, em especial os utilizados em cirurgias.
5 - O grupo de trabalho pode solicitar a colaboração e o apoio técnico de outros elementos para o desempenho da sua missão, devendo os serviços e organismos do Ministério da Saúde prestar, no âmbito das suas respetivas atribuições, todo o apoio que lhes for solicitado.
7 - Os membros do grupo de trabalho não auferem qualquer remuneração ou abono pelo exercício das suas funções, ressalvadas as ajudas de custo a que haja lugar nos termos legais.</v>
      </c>
      <c r="R38" s="3" t="str">
        <v>6 - No prazo máximo de 60 dias após a entrada em vigor do presente despacho, o grupo de trabalho rem: 2024-12-14 — 2024-10-15 + 60 calendar days (monitoring convention). If CPA procedural counting applies: 2025-01-10.
Final report / last specified substantive output: 2024-12-14 — effective 2024-10-15 + 60 calendar days; plain “dias” benchmark. Alternative working-day date: 2025-01-10.</v>
      </c>
      <c r="S38" s="20" t="d">
        <v>2024-12-14T00:00:00.000Z</v>
      </c>
      <c r="T38" s="20" t="d">
        <v>2024-12-14T00:00:00.000Z</v>
      </c>
      <c r="U38" s="3" t="str">
        <v>effective 2024-10-15 + 60 calendar days; plain “dias” benchmark. Alternative working-day date: 2025-01-10.</v>
      </c>
      <c r="V38" s="20" t="d">
        <v>2025-01-10T00:00:00.000Z</v>
      </c>
      <c r="W38" s="21" t="n">
        <f>IF(AND(C38="Em atraso",ISNUMBER(V38)),MAX(0,Dashboard!$E$4-V38),"")</f>
        <v>638</v>
      </c>
      <c r="X38" s="3" t="str">
        <v>Unpaid group participation; expense/allowance terms are stated in the original clause.</v>
      </c>
      <c r="Y38" s="3" t="str">
        <v>7 - Os membros do grupo de trabalho não auferem qualquer remuneração ou abono pelo exercício das suas funções, ressalvadas as ajudas de custo a que haja lugar nos termos legais.</v>
      </c>
      <c r="Z38" s="3" t="str">
        <v>Controlling benchmark has passed; no evidence of this output’s delivery identified in the reviewed acts and focused official-source outcome search.</v>
      </c>
      <c r="AA38" s="3" t="str">
        <v>https://diariodarepublica.pt/dr/detalhe/despacho/12071-2024-890791825</v>
      </c>
      <c r="AB38" s="22" t="str">
        <v>Open evidence</v>
      </c>
      <c r="AC38" s="20"/>
      <c r="AD38" s="3" t="str">
        <v>No delivery evidence identified.</v>
      </c>
      <c r="AE38" s="3" t="str">
        <v>Not independently verified.</v>
      </c>
      <c r="AF38" s="3" t="str"/>
      <c r="AG38" s="3" t="str"/>
      <c r="AH38" s="3" t="str"/>
      <c r="AI38" s="3" t="str">
        <v>DR full-period singular/plural/technical phrase inventories; later acts reviewed. Outcome search: "grupo de trabalho" reprocessamento dispositivos médicos relatório conclusões after:2024-04-01 before:2026-10-11. Domains: portugal.gov.pt, gov.pt, parlamento.pt, diariodarepublica.pt, justica.gov.pt, dgav.pt, icnf.pt, anac.pt, dgeg.gov.pt. Official evidence/limitations recorded in this row.</v>
      </c>
      <c r="AJ38" s="20" t="d">
        <v>2026-10-10T00:00:00.000Z</v>
      </c>
      <c r="AK38" s="3" t="str">
        <v>2024-10-07</v>
      </c>
      <c r="AL38" s="3" t="str">
        <v>Day after publication.</v>
      </c>
      <c r="AM38" s="3" t="str">
        <v>Express name / creating-act summary; descriptive source label where no formal name is assigned.</v>
      </c>
      <c r="AN38" s="3" t="str">
        <v>Health</v>
      </c>
      <c r="AO38" s="3" t="str">
        <v>Final report / last specified substantive output</v>
      </c>
      <c r="AP38" s="3" t="str">
        <v>Calendar monitoring benchmark; absence of public evidence is not proof of non-delivery.</v>
      </c>
      <c r="AQ38" s="21" t="n">
        <f>IF(AND(C38="Em atraso",ISNUMBER(D38)),COUNTIFS(Groups!$C$6:$C$127,"Em atraso",Groups!$D$6:$D$127,"&gt;"&amp;D38)+COUNTIFS($C$6:C38,"Em atraso",$D$6:D38,D38),"")</f>
        <v>4</v>
      </c>
      <c r="AR38" s="21" t="n">
        <f>IF(COUNTIF($F$6:F38,F38)=1,1,0)</f>
        <v>1</v>
      </c>
    </row>
    <row r="39" ht="96" customHeight="1">
      <c r="A39" s="3" t="str">
        <v>GT-2024-034</v>
      </c>
      <c r="B39" s="3" t="str">
        <v>Grupo de trabalho técnico — funcionamento e acesso aos serviços de urgência</v>
      </c>
      <c r="C39" s="3" t="str">
        <v>Em atraso</v>
      </c>
      <c r="D39" s="21" t="n">
        <f>IF(C39="Em atraso",IF(ISNUMBER(T39),MAX(0,Dashboard!$E$4-T39),""),IF(C39="Concluído com atraso",IF(AND(ISNUMBER(T39),ISNUMBER(AC39)),MAX(0,AC39-T39),""),IF(C39="Concluído no prazo",0,"")))</f>
        <v>635</v>
      </c>
      <c r="E39" s="3" t="str">
        <v>XXIV</v>
      </c>
      <c r="F39" s="3" t="str">
        <v>Despacho n.º 12072/2024</v>
      </c>
      <c r="G39" s="22" t="str">
        <v>Open DR act</v>
      </c>
      <c r="H39" s="20" t="d">
        <v>2024-10-14T00:00:00.000Z</v>
      </c>
      <c r="I39" s="20" t="d">
        <v>2024-10-07T00:00:00.000Z</v>
      </c>
      <c r="J39" s="20" t="d">
        <v>2024-10-15T00:00:00.000Z</v>
      </c>
      <c r="K39" s="3" t="str">
        <v>Saúde - Gabinete da Secretária de Estado da Saúde</v>
      </c>
      <c r="L39" s="3" t="str">
        <v>Not specified / selected at first meeting; see act.</v>
      </c>
      <c r="M39" s="3" t="str">
        <v>2 - O grupo de trabalho tem natureza temporária e integra:
a) Dr. Lucindo Palminha do Couto Ormonde, licenciado em Medicina pela Faculdade de Ciências Médicas da Universidade de Lisboa, especialista em anestesiologia. Trabalhou no Hospital Distrital de Vila Franca de Xira, no Hospital de Santa Maria, na Maternidade Alfredo da Costa, no Hospital Fernando da Fonseca e atualmente exerce funções na Unidade Local de Saúde de Santa Maria, E. P. E. Foi diretor do Serviço de Anestesiologia, Dor e Cuidados Intensivos do Hospital Fernando da Fonseca entre 2007 e 2009, bem como diretor do bloco operatório do mesmo Hospital. É atualmente diretor do Serviço de Anestesiologia da Unidade Local de Saúde de Santa Maria, E. P. E., diretor do bloco operatório central do Hospital de Santa Maria e do Hospital Pulido Valente e adjunto da Direção Clínica do Centro Hospitalar Universitário de Lisboa Norte, E. P. E. É ainda professor convidado de Clínica na Faculdade de Medicina da Universidade de Lisboa, desde 2009;
b) Dr. Francisco Lucas Maria de Matos, licenciado em Medicina pela Universidade Nova de Lisboa, especialista em anestesiologia e assistente graduado sénior de anestesiologia, adjunto do conselho de administração para o Polo do Hospital de São José e diretor da Área de Urgência Geral Polivalente e Cuidados Intensivos da Unidade Local de Saúde de São José, E. P. E.;
c) Prof. Dr. Humberto José da Silva Machado, assistente graduado sénior de anestesiologia, foi diretor do Serviço de Urgência Hospitalar de Santo António entre 2002 e 2012, sendo desde essa data diretor do Serviço de Anestesiologia do Centro Hospitalar Universitário de Santo António e chefe de equipa do Serviço de Urgência do Centro Hospitalar de Santo António. Foi adjunto do diretor clínico do Centro Hospitalar de Santo António e, até 2022, membro do colégio da competência em emergência médica da Ordem dos Médicos. É ainda presidente do Comité Europeu de Acreditação do Ensino e Treino em Anestesiologia e Cuidados Intensivos, da Sociedade Europeia de Anestesiologia e Cuidados Intensivos. É mestre em Gestão de Saúde pela Escola Nacional de Saúde Pública e doutorado em Ciências Médicas pela Universidade do Porto, com grau de agregação pela mesma Universidade. É professor catedrático convidado do Instituto de Ciências Biomédicas Abel Salazar;
d) Dr. João Gouveia, licenciado em Medicina pela Faculdade de Medicina da Universidade de Lisboa, consultor de medicina intensiva e de medicina interna. É diretor de serviço de Urgência Central da Unidade Local de Saúde de Santa Maria, E. P. E., e titular do diploma europeu de Medicina Intensiva. Foi coordenador da Comissão de Acompanhamento da Resposta Nacional de Medicina Intensiva à Covid-19 e membro da equipa de planeamento do combate ao novo coronavírus e à doença Covid-19 da Administração Central do Sistema de Saúde, I. P. Foi presidente da Sociedade Portuguesa de Cuidados Intensivos e representante português no Council da European Society of Intensive Care Medicine;
e) Dr. Nelson José Fernandes de Sousa Pereira, médico especialista de medicina interna, diretor clínico dos Cuidados de Saúde Hospitalares da Unidade Local de Saúde do Tâmega e Sousa, E. P. E., e presidente da Direção do Colégio da Competência em Emergência Médica da Ordem dos Médicos;
f) Dr. Paulo Manuel de Valle-Flôr Telles de Freitas, especialista em medicina intensiva pela Ordem dos Médicos, com competência em emergência médica, assistente livre da Faculdade de Medicina da Universidade de Lisboa da cadeira de Medicina Intensiva. Foi diretor da Urgência Geral do Hospital Professor Doutor Fernando da Fonseca até 2020 e é, desde junho de 2023, diretor clínico adjunto, desde 1996, diretor da Unidade de Cuidados Intensivos Polivalente e, desde 2003, chefe de Serviço de Medicina Interna da Carreira Médica do mesmo Hospital. Foi eleito pelos pares para o colégio de competência de emergência médica da Ordem dos Médicos.</v>
      </c>
      <c r="N39" s="3" t="str">
        <v>Health</v>
      </c>
      <c r="O39" s="3" t="str">
        <v>Review emergency-department access and operations and propose improvements for acute care.</v>
      </c>
      <c r="P39" s="3" t="str">
        <v>1 - É criado um grupo de trabalho técnico com o objetivo de avaliar o funcionamento e, em particular as regras de acesso aos serviços de urgência, no sentido de poder apresentar a proposta de soluções de melhoria que entenda indispensáveis para assegurar que tais serviços sejam capazes de responder às necessidades das pessoas com doença aguda.</v>
      </c>
      <c r="Q39" s="3" t="str">
        <v>1 - É criado um grupo de trabalho técnico com o objetivo de avaliar o funcionamento e, em particular as regras de acesso aos serviços de urgência, no sentido de poder apresentar a proposta de soluções de melhoria que entenda indispensáveis para assegurar que tais serviços sejam capazes de responder às necessidades das pessoas com doença aguda.
3 - O grupo de trabalho pode solicitar a colaboração e o apoio técnico de outros elementos para o desempenho da sua missão, devendo os serviços e organismos do Ministério da Saúde prestar, no âmbito das suas respetivas atribuições, todo o apoio que lhes for solicitado.
6 - Os membros do grupo de trabalho não auferem qualquer remuneração ou abono pelo exercício das suas funções, ressalvadas as ajudas de custo a que haja lugar nos termos legais.</v>
      </c>
      <c r="R39" s="3" t="str">
        <v>c) Prof. Dr. Humberto José da Silva Machado, assistente graduado sénior de anestesiologia, foi diret: date not derivable — No uniquely dated deadline derivable from this clause; cadence or trigger is preserved.
f) Dr. Paulo Manuel de Valle-Flôr Telles de Freitas, especialista em medicina intensiva pela Ordem d: date not derivable — No uniquely dated deadline derivable from this clause; cadence or trigger is preserved.
4 - No prazo máximo de 90 dias após a entrada em vigor do presente despacho, o grupo de trabalho rem: 2025-01-13 — 2024-10-15 + 90 calendar days (monitoring convention). If CPA procedural counting applies: 2025-02-21.
Final report / last specified substantive output: 2025-01-13 — effective 2024-10-15 + 90 calendar days; plain “dias” benchmark. Alternative working-day date: 2025-02-21.</v>
      </c>
      <c r="S39" s="20" t="d">
        <v>2025-01-13T00:00:00.000Z</v>
      </c>
      <c r="T39" s="20" t="d">
        <v>2025-01-13T00:00:00.000Z</v>
      </c>
      <c r="U39" s="3" t="str">
        <v>effective 2024-10-15 + 90 calendar days; plain “dias” benchmark. Alternative working-day date: 2025-02-21.</v>
      </c>
      <c r="V39" s="20" t="d">
        <v>2025-02-21T00:00:00.000Z</v>
      </c>
      <c r="W39" s="21" t="n">
        <f>IF(AND(C39="Em atraso",ISNUMBER(V39)),MAX(0,Dashboard!$E$4-V39),"")</f>
        <v>596</v>
      </c>
      <c r="X39" s="3" t="str">
        <v>Unpaid group participation; expense/allowance terms are stated in the original clause.</v>
      </c>
      <c r="Y39" s="3" t="str">
        <v>6 - Os membros do grupo de trabalho não auferem qualquer remuneração ou abono pelo exercício das suas funções, ressalvadas as ajudas de custo a que haja lugar nos termos legais.</v>
      </c>
      <c r="Z39" s="3" t="str">
        <v>Controlling benchmark has passed; no evidence of this output’s delivery identified in the reviewed acts and focused official-source outcome search.</v>
      </c>
      <c r="AA39" s="3" t="str">
        <v>https://diariodarepublica.pt/dr/detalhe/despacho/12072-2024-890791826</v>
      </c>
      <c r="AB39" s="22" t="str">
        <v>Open evidence</v>
      </c>
      <c r="AC39" s="20"/>
      <c r="AD39" s="3" t="str">
        <v>No delivery evidence identified.</v>
      </c>
      <c r="AE39" s="3" t="str">
        <v>Not independently verified.</v>
      </c>
      <c r="AF39" s="3" t="str"/>
      <c r="AG39" s="3" t="str"/>
      <c r="AH39" s="3" t="str"/>
      <c r="AI39" s="3" t="str">
        <v>DR full-period singular/plural/technical phrase inventories; later acts reviewed. Outcome search: "grupo de trabalho" acesso serviços urgência aguda relatório conclusões after:2024-04-01 before:2026-10-11. Domains: portugal.gov.pt, gov.pt, parlamento.pt, diariodarepublica.pt, justica.gov.pt, dgav.pt, icnf.pt, anac.pt, dgeg.gov.pt. Official evidence/limitations recorded in this row.</v>
      </c>
      <c r="AJ39" s="20" t="d">
        <v>2026-10-10T00:00:00.000Z</v>
      </c>
      <c r="AK39" s="3" t="str">
        <v>2024-10-07</v>
      </c>
      <c r="AL39" s="3" t="str">
        <v>Day after publication.</v>
      </c>
      <c r="AM39" s="3" t="str">
        <v>Express name / creating-act summary; descriptive source label where no formal name is assigned.</v>
      </c>
      <c r="AN39" s="3" t="str">
        <v>Health</v>
      </c>
      <c r="AO39" s="3" t="str">
        <v>Final report / last specified substantive output</v>
      </c>
      <c r="AP39" s="3" t="str">
        <v>Calendar monitoring benchmark; absence of public evidence is not proof of non-delivery.</v>
      </c>
      <c r="AQ39" s="21" t="n">
        <f>IF(AND(C39="Em atraso",ISNUMBER(D39)),COUNTIFS(Groups!$C$6:$C$127,"Em atraso",Groups!$D$6:$D$127,"&gt;"&amp;D39)+COUNTIFS($C$6:C39,"Em atraso",$D$6:D39,D39),"")</f>
        <v>7</v>
      </c>
      <c r="AR39" s="21" t="n">
        <f>IF(COUNTIF($F$6:F39,F39)=1,1,0)</f>
        <v>1</v>
      </c>
    </row>
    <row r="40" ht="96" customHeight="1">
      <c r="A40" s="3" t="str">
        <v>GT-2024-035</v>
      </c>
      <c r="B40" s="3" t="str">
        <v>grupo de trabalho para o estudo e a apresentação de proposta de plano relativo ao acesso à profissionalização em serviço por parte dos docentes sem habilitação profissional para a docência</v>
      </c>
      <c r="C40" s="3" t="str">
        <v>Em atraso</v>
      </c>
      <c r="D40" s="21" t="n">
        <f>IF(C40="Em atraso",IF(ISNUMBER(T40),MAX(0,Dashboard!$E$4-T40),""),IF(C40="Concluído com atraso",IF(AND(ISNUMBER(T40),ISNUMBER(AC40)),MAX(0,AC40-T40),""),IF(C40="Concluído no prazo",0,"")))</f>
        <v>640</v>
      </c>
      <c r="E40" s="3" t="str">
        <v>XXIV</v>
      </c>
      <c r="F40" s="3" t="str">
        <v>Despacho n.º 12293/2024</v>
      </c>
      <c r="G40" s="22" t="str">
        <v>Open DR act</v>
      </c>
      <c r="H40" s="20" t="d">
        <v>2024-10-17T00:00:00.000Z</v>
      </c>
      <c r="I40" s="20" t="d">
        <v>2024-10-12T00:00:00.000Z</v>
      </c>
      <c r="J40" s="20" t="d">
        <v>2024-10-18T00:00:00.000Z</v>
      </c>
      <c r="K40" s="3" t="str">
        <v>Educação, Ciência e Inovação - Gabinete do Ministro da Educação, Ciência e Inovação</v>
      </c>
      <c r="L40" s="3" t="str">
        <v>2 - O grupo de trabalho tem natureza temporária e é coordenado por um representante do Gabinete do Secretário de Estado da Administração e Inovação Educativa.</v>
      </c>
      <c r="M40" s="3" t="str">
        <v>3 - Para além do coordenador, o grupo de trabalho é constituído por:
a) Um representante do Gabinete do Ministro da Educação, Ciência e Inovação;
b) Um representante indicado pelo Conselho de Reitores das Universidades Portuguesas;
c) Um representante indicado pelo Conselho Coordenador dos Institutos Politécnicos;
d) Um representante indicado pela Associação Portuguesa do Ensino Superior Privado;
e) Um representante indicado pelo Conselho das Escolas;
f) Um representante indicado pela Associação de Estabelecimentos de Ensino Particular e Cooperativo;
g) Um representante indicado pela Direção-Geral da Administração Escolar.</v>
      </c>
      <c r="N40" s="3" t="str">
        <v>Education</v>
      </c>
      <c r="O40" s="3" t="str">
        <v>Develop a flexible training plan enabling teachers with subject qualifications to obtain professional teaching qualifications.</v>
      </c>
      <c r="P40" s="3" t="str">
        <v>1 - É criado um grupo de trabalho com o objetivo de submeter ao membro do Governo responsável pela área da educação, ciência e inovação um plano de formação flexível, eficiente e eficaz, suscetível de proporcionar o acesso à frequência de mestrados em ensino aos docentes detentores de habilitação própria para a docência em estabelecimentos de educação e ensino não superior, num período não superior a seis anos letivos.</v>
      </c>
      <c r="Q40" s="3" t="str">
        <v>1 - É criado um grupo de trabalho com o objetivo de submeter ao membro do Governo responsável pela área da educação, ciência e inovação um plano de formação flexível, eficiente e eficaz, suscetível de proporcionar o acesso à frequência de mestrados em ensino aos docentes detentores de habilitação própria para a docência em estabelecimentos de educação e ensino não superior, num período não superior a seis anos letivos.
6 - Os membros do grupo de trabalho, bem como as individualidades ou os representantes das entidades convidadas a nele participar nos termos do número anterior, não auferem qualquer remuneração ou abono pelo exercício de funções.</v>
      </c>
      <c r="R40" s="3" t="str">
        <v>5 - Os representantes das entidades referidas nos n.os 2 e 3 são designados no prazo máximo de cinco: 2024-10-25 — 2024-10-18 + 5 working days; anchor excluded, weekends and national statutory holidays excluded.
7 - O grupo de trabalho apresenta o plano a que se refere o n.º 1 até ao dia 8 de janeiro de 2025.: 2025-01-08 — Explicit calendar date in the act.
Final report / last specified substantive output: 2025-01-08 — Fixed date / explicit year-end in creating act.</v>
      </c>
      <c r="S40" s="20" t="d">
        <v>2025-01-08T00:00:00.000Z</v>
      </c>
      <c r="T40" s="20" t="d">
        <v>2025-01-08T00:00:00.000Z</v>
      </c>
      <c r="U40" s="3" t="str">
        <v>Fixed date / explicit year-end in creating act.</v>
      </c>
      <c r="V40" s="20"/>
      <c r="W40" s="21" t="str">
        <f>IF(AND(C40="Em atraso",ISNUMBER(V40)),MAX(0,Dashboard!$E$4-V40),"")</f>
      </c>
      <c r="X40" s="3" t="str">
        <v>Unpaid; see the original clause for the scope of the exclusion.</v>
      </c>
      <c r="Y40" s="3" t="str">
        <v>6 - Os membros do grupo de trabalho, bem como as individualidades ou os representantes das entidades convidadas a nele participar nos termos do número anterior, não auferem qualquer remuneração ou abono pelo exercício de funções.</v>
      </c>
      <c r="Z40" s="3" t="str">
        <v>Controlling benchmark has passed; no evidence of this output’s delivery identified in the reviewed acts and focused official-source outcome search.</v>
      </c>
      <c r="AA40" s="3" t="str">
        <v>https://diariodarepublica.pt/dr/detalhe/despacho/12293-2024-891174394</v>
      </c>
      <c r="AB40" s="22" t="str">
        <v>Open evidence</v>
      </c>
      <c r="AC40" s="20"/>
      <c r="AD40" s="3" t="str">
        <v>No delivery evidence identified.</v>
      </c>
      <c r="AE40" s="3" t="str">
        <v>Not independently verified.</v>
      </c>
      <c r="AF40" s="3" t="str"/>
      <c r="AG40" s="3" t="str"/>
      <c r="AH40" s="3" t="str"/>
      <c r="AI40" s="3" t="str">
        <v>DR full-period singular/plural/technical phrase inventories; later acts reviewed. Outcome search: "grupo de trabalho" formação profissionalização docentes relatório conclusões after:2024-04-01 before:2026-10-11. Domains: portugal.gov.pt, gov.pt, parlamento.pt, diariodarepublica.pt, justica.gov.pt, dgav.pt, icnf.pt, anac.pt, dgeg.gov.pt. Official evidence/limitations recorded in this row.</v>
      </c>
      <c r="AJ40" s="20" t="d">
        <v>2026-10-10T00:00:00.000Z</v>
      </c>
      <c r="AK40" s="3" t="str">
        <v>2024-10-12</v>
      </c>
      <c r="AL40" s="3" t="str">
        <v>Day after publication.</v>
      </c>
      <c r="AM40" s="3" t="str">
        <v>Express name / creating-act summary; descriptive source label where no formal name is assigned.</v>
      </c>
      <c r="AN40" s="3" t="str">
        <v>Education / Science</v>
      </c>
      <c r="AO40" s="3" t="str">
        <v>Final report / last specified substantive output</v>
      </c>
      <c r="AP40" s="3" t="str">
        <v>Calendar monitoring benchmark; absence of public evidence is not proof of non-delivery.</v>
      </c>
      <c r="AQ40" s="21" t="n">
        <f>IF(AND(C40="Em atraso",ISNUMBER(D40)),COUNTIFS(Groups!$C$6:$C$127,"Em atraso",Groups!$D$6:$D$127,"&gt;"&amp;D40)+COUNTIFS($C$6:C40,"Em atraso",$D$6:D40,D40),"")</f>
        <v>5</v>
      </c>
      <c r="AR40" s="21" t="n">
        <f>IF(COUNTIF($F$6:F40,F40)=1,1,0)</f>
        <v>1</v>
      </c>
    </row>
    <row r="41" ht="96" customHeight="1">
      <c r="A41" s="3" t="str">
        <v>GT-2024-036</v>
      </c>
      <c r="B41" s="3" t="str">
        <v>Grupo de trabalho — revisão do regime do subsídio de educação especial</v>
      </c>
      <c r="C41" s="3" t="str">
        <v>Em atraso</v>
      </c>
      <c r="D41" s="21" t="n">
        <f>IF(C41="Em atraso",IF(ISNUMBER(T41),MAX(0,Dashboard!$E$4-T41),""),IF(C41="Concluído com atraso",IF(AND(ISNUMBER(T41),ISNUMBER(AC41)),MAX(0,AC41-T41),""),IF(C41="Concluído no prazo",0,"")))</f>
        <v>617</v>
      </c>
      <c r="E41" s="3" t="str">
        <v>XXIV</v>
      </c>
      <c r="F41" s="3" t="str">
        <v>Despacho n.º 12645/2024</v>
      </c>
      <c r="G41" s="22" t="str">
        <v>Open DR act</v>
      </c>
      <c r="H41" s="20" t="d">
        <v>2024-10-23T00:00:00.000Z</v>
      </c>
      <c r="I41" s="20" t="d">
        <v>2024-10-16T00:00:00.000Z</v>
      </c>
      <c r="J41" s="20" t="d">
        <v>2024-10-23T00:00:00.000Z</v>
      </c>
      <c r="K41" s="3" t="str">
        <v>Trabalho, Solidariedade e Segurança Social - Gabinete da Secretária de Estado da Ação Social e da Inclusão</v>
      </c>
      <c r="L41" s="3" t="str">
        <v>3 - Os representantes designados no número anterior escolherão na primeira reunião, entre si, o coordenador, bem como o relator das conclusões e recomendações que venham a sair do estudo a elaborar.</v>
      </c>
      <c r="M41" s="3" t="str">
        <v>2 - O grupo de trabalho é constituído por:
a) Dois representantes da Secretaria de Estado da Ação Social e da Inclusão;
b) Um representante do Ministério da Educação, Ciência e Inovação; e
c) Um representante do Ministério da Saúde.</v>
      </c>
      <c r="N41" s="3" t="str">
        <v>Social protection / Education</v>
      </c>
      <c r="O41" s="3" t="str">
        <v>Review special-education benefit rules and recommend changes to improve access and effectiveness.</v>
      </c>
      <c r="P41" s="3" t="str">
        <v>1 - É criado um grupo de trabalho com o objetivo de, até 31 de janeiro de 2025, apresentar conclusões e recomendações de alteração ao Decreto Regulamentar n.º 3/2016, de 23 de agosto, com vista a obter-se uma maior eficácia na concessão do subsídio de educação especial.</v>
      </c>
      <c r="Q41" s="3" t="str">
        <v>1 - É criado um grupo de trabalho com o objetivo de, até 31 de janeiro de 2025, apresentar conclusões e recomendações de alteração ao Decreto Regulamentar n.º 3/2016, de 23 de agosto, com vista a obter-se uma maior eficácia na concessão do subsídio de educação especial.
4 - O grupo de trabalho pode, em qualquer altura, proceder à consulta de outros ministérios, de outras entidades, públicas e privadas, cujo contributo seja considerado relevante para prossecução dos trabalhos e objetivos propostos.
5 - Os membros do grupo de trabalho, bem como os representantes das entidades convidadas a nele participar nos termos do número anterior, não auferem qualquer remuneração ou abono pelo exercício de funções.</v>
      </c>
      <c r="R41" s="3" t="str">
        <v>1 - É criado um grupo de trabalho com o objetivo de, até 31 de janeiro de 2025, apresentar conclusõe: 2025-01-31 — Explicit calendar date in the act.
3 - Os representantes designados no número anterior escolherão na primeira reunião, entre si, o coor: date not derivable — No uniquely dated deadline derivable from this clause; cadence or trigger is preserved.
6 - Os representantes das entidades referidas no n.º 2 são designados no prazo máximo de 10 dias apó: 2024-11-02 — 2024-10-23 + 10 calendar days (monitoring convention). If CPA procedural counting applies: 2024-11-07.
Final report / last specified substantive output: 2025-01-31 — Fixed date / explicit year-end in creating act.</v>
      </c>
      <c r="S41" s="20" t="d">
        <v>2025-01-31T00:00:00.000Z</v>
      </c>
      <c r="T41" s="20" t="d">
        <v>2025-01-31T00:00:00.000Z</v>
      </c>
      <c r="U41" s="3" t="str">
        <v>Fixed date / explicit year-end in creating act.</v>
      </c>
      <c r="V41" s="20"/>
      <c r="W41" s="21" t="str">
        <f>IF(AND(C41="Em atraso",ISNUMBER(V41)),MAX(0,Dashboard!$E$4-V41),"")</f>
      </c>
      <c r="X41" s="3" t="str">
        <v>Unpaid; see the original clause for the scope of the exclusion.</v>
      </c>
      <c r="Y41" s="3" t="str">
        <v>5 - Os membros do grupo de trabalho, bem como os representantes das entidades convidadas a nele participar nos termos do número anterior, não auferem qualquer remuneração ou abono pelo exercício de funções.</v>
      </c>
      <c r="Z41" s="3" t="str">
        <v>Controlling benchmark has passed; no evidence of this output’s delivery identified in the reviewed acts and focused official-source outcome search.</v>
      </c>
      <c r="AA41" s="3" t="str">
        <v>https://diariodarepublica.pt/dr/detalhe/despacho/12645-2024-892306790</v>
      </c>
      <c r="AB41" s="22" t="str">
        <v>Open evidence</v>
      </c>
      <c r="AC41" s="20"/>
      <c r="AD41" s="3" t="str">
        <v>No delivery evidence identified.</v>
      </c>
      <c r="AE41" s="3" t="str">
        <v>Not independently verified.</v>
      </c>
      <c r="AF41" s="3" t="str"/>
      <c r="AG41" s="3" t="str"/>
      <c r="AH41" s="3" t="str">
        <v> Descriptive label follows the Portuguese creating clause; the full act title and exact mandate are retained separately.</v>
      </c>
      <c r="AI41" s="3" t="str">
        <v>DR full-period singular/plural/technical phrase inventories; later acts reviewed. Outcome search: "grupo de trabalho" subsídio educação especial relatório conclusões after:2024-04-01 before:2026-10-11. Domains: portugal.gov.pt, gov.pt, parlamento.pt, diariodarepublica.pt, justica.gov.pt, dgav.pt, icnf.pt, anac.pt, dgeg.gov.pt. Official evidence/limitations recorded in this row.</v>
      </c>
      <c r="AJ41" s="20" t="d">
        <v>2026-10-10T00:00:00.000Z</v>
      </c>
      <c r="AK41" s="3" t="str">
        <v>2024-10-16</v>
      </c>
      <c r="AL41" s="3" t="str">
        <v>Publication date.</v>
      </c>
      <c r="AM41" s="3" t="str">
        <v>Express name / creating-act summary; descriptive source label where no formal name is assigned.</v>
      </c>
      <c r="AN41" s="3" t="str">
        <v>Labour / Social security</v>
      </c>
      <c r="AO41" s="3" t="str">
        <v>Final report / last specified substantive output</v>
      </c>
      <c r="AP41" s="3" t="str">
        <v>Calendar monitoring benchmark; absence of public evidence is not proof of non-delivery.</v>
      </c>
      <c r="AQ41" s="21" t="n">
        <f>IF(AND(C41="Em atraso",ISNUMBER(D41)),COUNTIFS(Groups!$C$6:$C$127,"Em atraso",Groups!$D$6:$D$127,"&gt;"&amp;D41)+COUNTIFS($C$6:C41,"Em atraso",$D$6:D41,D41),"")</f>
        <v>8</v>
      </c>
      <c r="AR41" s="21" t="n">
        <f>IF(COUNTIF($F$6:F41,F41)=1,1,0)</f>
        <v>1</v>
      </c>
    </row>
    <row r="42" ht="96" customHeight="1">
      <c r="A42" s="3" t="str">
        <v>GT-2024-037</v>
      </c>
      <c r="B42" s="3" t="str">
        <v>Grupo de Trabalho para o Restauro da Natureza (GT-RN)</v>
      </c>
      <c r="C42" s="3" t="str">
        <v>Concluído com atraso</v>
      </c>
      <c r="D42" s="21" t="n">
        <f>IF(C42="Em atraso",IF(ISNUMBER(T42),MAX(0,Dashboard!$E$4-T42),""),IF(C42="Concluído com atraso",IF(AND(ISNUMBER(T42),ISNUMBER(AC42)),MAX(0,AC42-T42),""),IF(C42="Concluído no prazo",0,"")))</f>
        <v>10</v>
      </c>
      <c r="E42" s="3" t="str">
        <v>XXIV</v>
      </c>
      <c r="F42" s="3" t="str">
        <v>Despacho n.º 12734/2024</v>
      </c>
      <c r="G42" s="22" t="str">
        <v>Open DR act</v>
      </c>
      <c r="H42" s="20" t="d">
        <v>2024-10-25T00:00:00.000Z</v>
      </c>
      <c r="I42" s="20" t="d">
        <v>2024-10-18T00:00:00.000Z</v>
      </c>
      <c r="J42" s="20" t="d">
        <v>2024-10-18T00:00:00.000Z</v>
      </c>
      <c r="K42"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L42" s="3" t="str">
        <v>Instituto da Conservação da Natureza e das Florestas (ICNF)</v>
      </c>
      <c r="M42" s="3" t="str">
        <v>3 - O GT-RN terá a seguinte constituição:
a) Instituto de Conservação da Natureza e das Florestas, que coordena;
b) Agência Portuguesa do Ambiente;
c) Direção Geral do Território;
d) Direção-Geral de Recursos Naturais, Segurança e Serviços Marítimos;
e) Gabinete de Planeamento, Políticas e Administração Geral;
f) Direção-Geral de Agricultura e Desenvolvimento Rural;
g) Agência para a Gestão Integrada de Fogos Rurais;
h) Associação Nacional de Municípios Portugueses;
i) Representante da Rede de Conhecimento para o Restauro da Natureza;
j) Especialista em finanças e/ou economia ligada ao ambiente;
k) Representante da Região Autónoma dos Açores;
l) Representante da Região Autónoma da Madeira;
m) Membros de gabinetes ministeriais que tutelam as respetivas áreas governativas.</v>
      </c>
      <c r="N42" s="3" t="str">
        <v>Environment / Nature</v>
      </c>
      <c r="O42" s="3" t="str">
        <v>Prepare Portugal’s National Nature Restoration Plan under the EU Nature Restoration Regulation.</v>
      </c>
      <c r="P42" s="3" t="str">
        <v>2 - A criação do Grupo de Trabalho para o Restauro da Natureza (GT-RN) com a missão de preparar o projeto de Plano Nacional de Restauro da Natureza, em conformidade com o Regulamento (UE) 2024/1991 do Parlamento Europeu e do Conselho de 24 de junho de 2024.</v>
      </c>
      <c r="Q42" s="3" t="str">
        <v>2 - A criação do Grupo de Trabalho para o Restauro da Natureza (GT-RN) com a missão de preparar o projeto de Plano Nacional de Restauro da Natureza, em conformidade com o Regulamento (UE) 2024/1991 do Parlamento Europeu e do Conselho de 24 de junho de 2024.
9 - O Plano Nacional de Restauro será elaborado em articulação com as Regiões Autónomas dos Açores e da Madeira, respeitando a autonomia política e administrativa, bem como as respetivas decisões sobre a organização e a condução técnica dos trabalhos nas várias ilhas, assegurando o diálogo e a cooperação institucional.
12 - O projeto de Plano Nacional de Restauro deve ser submetido à Comissão Europeia dentro do prazo regulamentar definido, ou seja, até 18 de agosto de 2026.
15 - O Grupo de Trabalho definirá através de um cronograma os principais eixos de ações e medidas concretas, com estimativas orçamentais associadas e respetivas fontes de financiamento [i.e., Orçamento de Estado ou Fundo Europeu Estrutural de Investimento (FEEI)].</v>
      </c>
      <c r="R42" s="3" t="str">
        <v>8 - No prazo de 30 dias após entrada em vigor deste despacho será publicado o regulamento de funcion: 2024-11-17 — 2024-10-18 + 30 calendar days (monitoring convention). If CPA procedural counting applies: 2024-12-02.
12 - O projeto de Plano Nacional de Restauro deve ser submetido à Comissão Europeia dentro do prazo : 2026-08-18 — Explicit calendar date in the act.
Final report / last specified substantive output: 2026-08-18 — Fixed date / explicit year-end in creating act.</v>
      </c>
      <c r="S42" s="20" t="d">
        <v>2026-08-18T00:00:00.000Z</v>
      </c>
      <c r="T42" s="20" t="d">
        <v>2026-08-18T00:00:00.000Z</v>
      </c>
      <c r="U42" s="3" t="str">
        <v>Fixed date / explicit year-end in creating act.</v>
      </c>
      <c r="V42" s="20"/>
      <c r="W42" s="21" t="str">
        <f>IF(AND(C42="Em atraso",ISNUMBER(V42)),MAX(0,Dashboard!$E$4-V42),"")</f>
      </c>
      <c r="X42" s="3" t="str">
        <v>Unpaid; see the original clause for the scope of the exclusion.</v>
      </c>
      <c r="Y42" s="3" t="str">
        <v>11 - Aos membros do Grupo de Trabalho e às pessoas que com ele colaboram não é devido o pagamento de qualquer remuneração ou abono pelo trabalho desenvolvido.</v>
      </c>
      <c r="Z42" s="3" t="str">
        <v>Clause 12 requires submission to the European Commission by 18 August 2026; the official submission on 28 August was 10 days later.</v>
      </c>
      <c r="AA42" s="3" t="str">
        <v>https://diariodarepublica.pt/dr/detalhe/despacho/12734-2024-892664373
https://portugal.gov.pt/gc25/comunicacao/comunicados/-portugal-entrega-a-bruxelas-dentro-do-prazo-plano-nacional-de-restauro-da-natureza-</v>
      </c>
      <c r="AB42" s="22" t="str">
        <v>Open evidence</v>
      </c>
      <c r="AC42" s="20" t="d">
        <v>2026-08-28T00:00:00.000Z</v>
      </c>
      <c r="AD42" s="3" t="str">
        <v>Official government communiqué dates submission of the national plan to the European Commission on 28 August 2026.</v>
      </c>
      <c r="AE42" s="3" t="str">
        <v>Plan submitted to the Commission; implementation and Commission approval not verified.</v>
      </c>
      <c r="AF42" s="3" t="str">
        <v>https://portugal.gov.pt/gc25/comunicacao/comunicados/-portugal-entrega-a-bruxelas-dentro-do-prazo-plano-nacional-de-restauro-da-natureza-</v>
      </c>
      <c r="AG42" s="3" t="str"/>
      <c r="AH42" s="3" t="str">
        <v>The government describes compliance with the separate EU deadline of 31 August 2026. No formal correction of the creating act’s earlier 18 August date was found. Internal report handover is unknown; the measured delay concerns the expressly mandated external submission. The group continues until Commission approval. Related coordinating and monitoring commissions are listed separately.</v>
      </c>
      <c r="AI42" s="3" t="str">
        <v>DR full-period singular/plural/technical phrase inventories; later acts reviewed. Outcome search: "grupo de trabalho" Plano Nacional Restauro Natureza relatório conclusões after:2024-04-01 before:2026-10-11. Domains: portugal.gov.pt, gov.pt, parlamento.pt, diariodarepublica.pt, justica.gov.pt, dgav.pt, icnf.pt, anac.pt, dgeg.gov.pt. Official evidence/limitations recorded in this row.</v>
      </c>
      <c r="AJ42" s="20" t="d">
        <v>2026-10-10T00:00:00.000Z</v>
      </c>
      <c r="AK42" s="3" t="str">
        <v>2024-10-15; 2024-10-16; 2024-10-18</v>
      </c>
      <c r="AL42" s="3" t="str">
        <v>Latest signature used where multiple signatures occur.</v>
      </c>
      <c r="AM42" s="3" t="str">
        <v>Express name / creating-act summary; descriptive source label where no formal name is assigned.</v>
      </c>
      <c r="AN42" s="3" t="str">
        <v>Presidency / Council of Ministers; Economy; Environment / Energy; Agriculture / Fisheries / Sea; Territorial cohesion</v>
      </c>
      <c r="AO42" s="3" t="str">
        <v>Final report / last specified substantive output</v>
      </c>
      <c r="AP42" s="3" t="str">
        <v>External plan-submission benchmark; internal handover timing unknown.</v>
      </c>
      <c r="AQ42" s="21" t="str">
        <f>IF(AND(C42="Em atraso",ISNUMBER(D42)),COUNTIFS(Groups!$C$6:$C$127,"Em atraso",Groups!$D$6:$D$127,"&gt;"&amp;D42)+COUNTIFS($C$6:C42,"Em atraso",$D$6:D42,D42),"")</f>
      </c>
      <c r="AR42" s="21" t="n">
        <f>IF(COUNTIF($F$6:F42,F42)=1,1,0)</f>
        <v>1</v>
      </c>
    </row>
    <row r="43" ht="96" customHeight="1">
      <c r="A43" s="3" t="str">
        <v>GT-2024-038</v>
      </c>
      <c r="B43" s="3" t="str">
        <v>Grupo de trabalho — aplicação do Regulamento (UE) 2024/1938 (SoHO)</v>
      </c>
      <c r="C43" s="3" t="str">
        <v>Em atraso</v>
      </c>
      <c r="D43" s="21" t="n">
        <f>IF(C43="Em atraso",IF(ISNUMBER(T43),MAX(0,Dashboard!$E$4-T43),""),IF(C43="Concluído com atraso",IF(AND(ISNUMBER(T43),ISNUMBER(AC43)),MAX(0,AC43-T43),""),IF(C43="Concluído no prazo",0,"")))</f>
        <v>528</v>
      </c>
      <c r="E43" s="3" t="str">
        <v>XXIV</v>
      </c>
      <c r="F43" s="3" t="str">
        <v>Despacho n.º 12964/2024</v>
      </c>
      <c r="G43" s="22" t="str">
        <v>Open DR act</v>
      </c>
      <c r="H43" s="20" t="d">
        <v>2024-10-31T00:00:00.000Z</v>
      </c>
      <c r="I43" s="20" t="d">
        <v>2024-10-24T00:00:00.000Z</v>
      </c>
      <c r="J43" s="20" t="d">
        <v>2024-11-01T00:00:00.000Z</v>
      </c>
      <c r="K43" s="3" t="str">
        <v>Saúde - Gabinete da Secretária de Estado da Saúde</v>
      </c>
      <c r="L43" s="3" t="str">
        <v>a) Fernando Serra Leal da Costa, do Instituto Português de Oncologia de Lisboa Francisco Gentil, E. P. E., que coordena;</v>
      </c>
      <c r="M43" s="3" t="str">
        <v>2 - O grupo de trabalho referido no número anterior é constituído pelos seguintes elementos:
a) Fernando Serra Leal da Costa, do Instituto Português de Oncologia de Lisboa Francisco Gentil, E. P. E., que coordena;
b) Victor Manuel da Conceição Marques, do Instituto Português do Sangue e da Transplantação, I. P.;
c) Ana Maria Pires Silva, do Instituto Português do Sangue e da Transplantação, I. P.;
d) Paulo Filipe Severino, da Direção-Geral da Saúde;
e) João Miguel Maldonado de Matos Nunes Correia, da Direção-Geral da Saúde;
f) Carlos Eugénio Plancha dos Santos, do Conselho Nacional de Procriação Medicamente Assistida.
3 - O grupo de trabalho constituído pelo presente despacho, deve, no cumprimento dos seus objetivos, e no prazo de 180 dias após a entrada em vigor do presente despacho, produzir documento(s) que reflita(m) a análise desenvolvida e as conclusões alcançadas, bem como propostas concretas de alterações legislativas que considere necessárias, incluindo a identificação da entidade ou das entidades, a designar como autoridade ou autoridades competentes SoHO.</v>
      </c>
      <c r="N43" s="3" t="str">
        <v>Health</v>
      </c>
      <c r="O43" s="3" t="str">
        <v>Review Portuguese blood, tissue and cell legislation against the new EU substances-of-human-origin regulation.</v>
      </c>
      <c r="P43" s="3" t="str">
        <v>1 - É constituído um grupo de trabalho que tem como objetivo a avaliação e análise da legislação nacional em vigor, no que respeita às normas de qualidade e segurança para o sangue humano e para os componentes sanguíneos e normas de qualidade e segurança para os tecidos e células de origem humana destinados a aplicações em seres humanos, tendo em vista assegurar a sua compatibilidade com o direito da União, concretamente com o Regulamento (UE) 2024/1938, do Parlamento Europeu e do Conselho, de 13 de junho de 2024, que define medidas que fixam normas elevadas de qualidade e segurança para todas as substâncias de origem humana (SoHO) destinadas a aplicação no ser humano e para as atividades relacionadas com essas substâncias, e que revoga, com efeitos a partir de 7 de agosto de 2027, as Diretivas 2002/98/CE e 2004/23/CE.</v>
      </c>
      <c r="Q43" s="3" t="str">
        <v>1 - É constituído um grupo de trabalho que tem como objetivo a avaliação e análise da legislação nacional em vigor, no que respeita às normas de qualidade e segurança para o sangue humano e para os componentes sanguíneos e normas de qualidade e segurança para os tecidos e células de origem humana destinados a aplicações em seres humanos, tendo em vista assegurar a sua compatibilidade com o direito da União, concretamente com o Regulamento (UE) 2024/1938, do Parlamento Europeu e do Conselho, de 13 de junho de 2024, que define medidas que fixam normas elevadas de qualidade e segurança para todas as substâncias de origem humana (SoHO) destinadas a aplicação no ser humano e para as atividades relacionadas com essas substâncias, e que revoga, com efeitos a partir de 7 de agosto de 2027, as Diretivas 2002/98/CE e 2004/23/CE.</v>
      </c>
      <c r="R43" s="3" t="str">
        <v>3 - O grupo de trabalho constituído pelo presente despacho, deve, no cumprimento dos seus objetivos,: 2025-04-30 — 2024-11-01 + 180 calendar days (monitoring convention). If CPA procedural counting applies: 2025-07-22.
Final report / last specified substantive output: 2025-04-30 — effective 2024-11-01 + 180 calendar days; plain “dias” benchmark. Alternative working-day date: 2025-07-22.</v>
      </c>
      <c r="S43" s="20" t="d">
        <v>2025-04-30T00:00:00.000Z</v>
      </c>
      <c r="T43" s="20" t="d">
        <v>2025-04-30T00:00:00.000Z</v>
      </c>
      <c r="U43" s="3" t="str">
        <v>effective 2024-11-01 + 180 calendar days; plain “dias” benchmark. Alternative working-day date: 2025-07-22.</v>
      </c>
      <c r="V43" s="20" t="d">
        <v>2025-07-22T00:00:00.000Z</v>
      </c>
      <c r="W43" s="21" t="n">
        <f>IF(AND(C43="Em atraso",ISNUMBER(V43)),MAX(0,Dashboard!$E$4-V43),"")</f>
        <v>445</v>
      </c>
      <c r="X43" s="3" t="str">
        <v>Unpaid group participation; expense/allowance terms are stated in the original clause.</v>
      </c>
      <c r="Y43" s="3" t="str">
        <v>6 - Os elementos que integram o grupo de trabalho têm direito à afetação de tempo específico para a realização dos trabalhos, não lhes sendo devida remuneração adicional.
7 - A participação no grupo de trabalho não confere direito a qualquer remuneração adicional, independentemente da respetiva natureza, designadamente a título de remuneração, abono, compensação, subsídio ou senhas de presença, ressalvadas, nos termos legais, as ajudas de custo a que haja lugar, e o pagamento de despesas de transporte pelas deslocações realizadas, cujo encargo será suportado pelas instituições a que pertencem os membros do grupo de trabalho.</v>
      </c>
      <c r="Z43" s="3" t="str">
        <v>Controlling benchmark has passed; no evidence of this output’s delivery identified in the reviewed acts and focused official-source outcome search.</v>
      </c>
      <c r="AA43" s="3" t="str">
        <v>https://diariodarepublica.pt/dr/detalhe/despacho/12964-2024-894207815</v>
      </c>
      <c r="AB43" s="22" t="str">
        <v>Open evidence</v>
      </c>
      <c r="AC43" s="20"/>
      <c r="AD43" s="3" t="str">
        <v>No delivery evidence identified.</v>
      </c>
      <c r="AE43" s="3" t="str">
        <v>Not independently verified.</v>
      </c>
      <c r="AF43" s="3" t="str"/>
      <c r="AG43" s="3" t="str"/>
      <c r="AH43" s="3" t="str">
        <v> Descriptive label follows the Portuguese creating clause; the full act title and exact mandate are retained separately.</v>
      </c>
      <c r="AI43" s="3" t="str">
        <v>DR full-period singular/plural/technical phrase inventories; later acts reviewed. Outcome search: "grupo de trabalho" SoHO substâncias origem humana relatório conclusões after:2024-04-01 before:2026-10-11. Domains: portugal.gov.pt, gov.pt, parlamento.pt, diariodarepublica.pt, justica.gov.pt, dgav.pt, icnf.pt, anac.pt, dgeg.gov.pt. Official evidence/limitations recorded in this row.</v>
      </c>
      <c r="AJ43" s="20" t="d">
        <v>2026-10-10T00:00:00.000Z</v>
      </c>
      <c r="AK43" s="3" t="str">
        <v>2024-10-24</v>
      </c>
      <c r="AL43" s="3" t="str">
        <v>Day after publication.</v>
      </c>
      <c r="AM43" s="3" t="str">
        <v>Express name / creating-act summary; descriptive source label where no formal name is assigned.</v>
      </c>
      <c r="AN43" s="3" t="str">
        <v>Health</v>
      </c>
      <c r="AO43" s="3" t="str">
        <v>Final report / last specified substantive output</v>
      </c>
      <c r="AP43" s="3" t="str">
        <v>Calendar monitoring benchmark; absence of public evidence is not proof of non-delivery.</v>
      </c>
      <c r="AQ43" s="21" t="n">
        <f>IF(AND(C43="Em atraso",ISNUMBER(D43)),COUNTIFS(Groups!$C$6:$C$127,"Em atraso",Groups!$D$6:$D$127,"&gt;"&amp;D43)+COUNTIFS($C$6:C43,"Em atraso",$D$6:D43,D43),"")</f>
        <v>13</v>
      </c>
      <c r="AR43" s="21" t="n">
        <f>IF(COUNTIF($F$6:F43,F43)=1,1,0)</f>
        <v>1</v>
      </c>
    </row>
    <row r="44" ht="96" customHeight="1">
      <c r="A44" s="3" t="str">
        <v>GT-2024-039</v>
      </c>
      <c r="B44" s="3" t="str">
        <v>grupo de trabalho visando a promoção da saúde, a prevenção da doença e o acesso a cuidados de saúde por parte das pessoas privadas da liberdade nos estabelecimentos prisionais, nos estabelecimentos destinados a inimputáveis e nos centros educativos</v>
      </c>
      <c r="C44" s="3" t="str">
        <v>Prorrogado</v>
      </c>
      <c r="D44" s="21" t="str">
        <f>IF(C44="Em atraso",IF(ISNUMBER(T44),MAX(0,Dashboard!$E$4-T44),""),IF(C44="Concluído com atraso",IF(AND(ISNUMBER(T44),ISNUMBER(AC44)),MAX(0,AC44-T44),""),IF(C44="Concluído no prazo",0,"")))</f>
      </c>
      <c r="E44" s="3" t="str">
        <v>XXIV</v>
      </c>
      <c r="F44" s="3" t="str">
        <v>Despacho n.º 13345/2024</v>
      </c>
      <c r="G44" s="22" t="str">
        <v>Open DR act</v>
      </c>
      <c r="H44" s="20" t="d">
        <v>2024-11-11T00:00:00.000Z</v>
      </c>
      <c r="I44" s="20" t="d">
        <v>2024-11-03T00:00:00.000Z</v>
      </c>
      <c r="J44" s="20" t="d">
        <v>2024-11-12T00:00:00.000Z</v>
      </c>
      <c r="K44" s="3" t="str">
        <v>Justiça e Saúde - Gabinete da Secretária de Estado Adjunta e da Justiça e Gabinete da Secretária de Estado da Saúde</v>
      </c>
      <c r="L44" s="3" t="str">
        <v>10 - O grupo de trabalho é cocoordenado pelos membros indicados nas alíneas a) a c) do n.º 3 e o apoio logístico e administrativo necessário ao funcionamento do grupo de trabalho é providenciado pelas Secretarias-Gerais do Ministério da Justiça e do Ministério da Saúde.</v>
      </c>
      <c r="M44" s="3" t="str">
        <v>1 - É constituído um grupo de trabalho que integra representantes das áreas governativas da justiça e da saúde, visando a promoção da saúde, a prevenção da doença e o acesso a cuidados de saúde por parte das pessoas privadas da liberdade nos estabelecimentos prisionais, nos estabelecimentos destinados a inimputáveis e nos centros educativos.
3 - O grupo de trabalho tem a seguinte composição:
a) Um representante do Gabinete da Secretária de Estado Adjunta e da Justiça;
b) Um representante do Gabinete da Secretária de Estado da Saúde;
c) Um representante do Gabinete da Secretária de Estado da Gestão da Saúde;
d) Três representantes da Direção-Geral de Reinserção e Serviços Prisionais (DGRSP), nomeadamente do Centro de Competências para a Gestão dos Cuidados de Saúde, da Direção de Enfermagem e da área da Justiça Juvenil;
e) Um representante da Direção-Geral da Saúde (DGS);
f) Um representante do Instituto para os Comportamentos Aditivos e as Dependências (ICAD, I. P.);
g) Um representante da Direção Executiva do Serviço Nacional de Saúde, I. P. (DE-SNS, I. P.);
h) Um representante da Administração Central do Sistema de Saúde, I. P. (ACSS, I. P.);
i) Um representante do Instituto Nacional de Saúde Doutor Ricardo Jorge, I. P. (INSA, I. P.);
j) Um representante do Instituto Nacional de Emergência Médica, I. P. (INEM, I. P.);
k) Um representante dos Serviços Partilhados do Ministério da Saúde, E. P. E. (SPMS, E. P. E.);
l) Um representante da Coordenação Nacional das Políticas de Saúde Mental (CNPSM).</v>
      </c>
      <c r="N44" s="3" t="str">
        <v>Justice / Health</v>
      </c>
      <c r="O44" s="3" t="str">
        <v>Improve prevention, health promotion and access to healthcare in prisons, forensic settings and youth education centres.</v>
      </c>
      <c r="P44" s="3" t="str">
        <v>1 - É constituído um grupo de trabalho que integra representantes das áreas governativas da justiça e da saúde, visando a promoção da saúde, a prevenção da doença e o acesso a cuidados de saúde por parte das pessoas privadas da liberdade nos estabelecimentos prisionais, nos estabelecimentos destinados a inimputáveis e nos centros educativos.</v>
      </c>
      <c r="Q44" s="3" t="str">
        <v>5 - Podem ser chamados a colaborar nos trabalhos a desenvolver pelo grupo de trabalho outros especialistas ou organismos cujo contributo seja considerado relevante para a prossecução dos seus objetivos, podendo igualmente ser levadas a cabo consultas com representantes da sociedade civil.
6 - Os organismos e serviços do Ministério da Saúde, do Serviço Nacional de Saúde e do Ministério da Justiça devem fornecer ao grupo de trabalho a informação necessária para o cumprimento dos seus objetivos.
11 - O grupo de trabalho mantém-se em funções durante o mandato do XXIV Governo Constitucional, salvo se vier a ser extinto por despacho dos membros do Governo responsáveis pelas áreas da justiça e da saúde.</v>
      </c>
      <c r="R44" s="3" t="str"/>
      <c r="S44" s="20"/>
      <c r="T44" s="20"/>
      <c r="U44" s="3" t="str"/>
      <c r="V44" s="20"/>
      <c r="W44" s="21" t="str">
        <f>IF(AND(C44="Em atraso",ISNUMBER(V44)),MAX(0,Dashboard!$E$4-V44),"")</f>
      </c>
      <c r="X44" s="3" t="str">
        <v>Unpaid group participation; expense/allowance terms are stated in the original clause.</v>
      </c>
      <c r="Y44" s="3" t="str">
        <v>8 - Os elementos que integram o grupo de trabalho têm direito à afetação de tempo específico para a realização dos trabalhos, não lhes sendo devida remuneração adicional.
9 - A participação no grupo de trabalho não confere o direito a qualquer prestação, independentemente da respetiva natureza, designadamente a título de remuneração, abono, compensação, subsídio ou senhas de presença, ressalvadas as ajudas de custo a que haja lugar nos termos legais.</v>
      </c>
      <c r="Z44" s="3" t="str">
        <v>Mandate formally renewed; no independently verified delivery date.</v>
      </c>
      <c r="AA44" s="3" t="str">
        <v>https://diariodarepublica.pt/dr/detalhe/despacho/13345-2024-896165032
https://diariodarepublica.pt/dr/detalhe/despacho/12550-2025-942405334</v>
      </c>
      <c r="AB44" s="22" t="str">
        <v>Open evidence</v>
      </c>
      <c r="AC44" s="20"/>
      <c r="AD44" s="3" t="str">
        <v>No delivery evidence identified.</v>
      </c>
      <c r="AE44" s="3" t="str">
        <v>Not independently verified.</v>
      </c>
      <c r="AF44" s="3" t="str"/>
      <c r="AG44" s="3" t="str">
        <v>Despacho n.º 12550/2025, de 27 de outubro — https://diariodarepublica.pt/dr/detalhe/despacho/12550-2025-942405334</v>
      </c>
      <c r="AH44" s="3" t="str"/>
      <c r="AI44" s="3" t="str">
        <v>DR full-period singular/plural/technical phrase inventories; later acts reviewed. Outcome search: "grupo de trabalho" saúde prisões centros educativos relatório conclusões after:2024-04-01 before:2026-10-11. Domains: portugal.gov.pt, gov.pt, parlamento.pt, diariodarepublica.pt, justica.gov.pt, dgav.pt, icnf.pt, anac.pt, dgeg.gov.pt. Official evidence/limitations recorded in this row.</v>
      </c>
      <c r="AJ44" s="20" t="d">
        <v>2026-10-10T00:00:00.000Z</v>
      </c>
      <c r="AK44" s="3" t="str">
        <v>2024-10-30; 2024-11-03</v>
      </c>
      <c r="AL44" s="3" t="str">
        <v>Day after publication.</v>
      </c>
      <c r="AM44" s="3" t="str">
        <v>Express name / creating-act summary; descriptive source label where no formal name is assigned.</v>
      </c>
      <c r="AN44" s="3" t="str">
        <v>Justice; Health</v>
      </c>
      <c r="AO44" s="3" t="str">
        <v>No dated final output / unknown trigger</v>
      </c>
      <c r="AP44" s="3" t="str"/>
      <c r="AQ44" s="21" t="str">
        <f>IF(AND(C44="Em atraso",ISNUMBER(D44)),COUNTIFS(Groups!$C$6:$C$127,"Em atraso",Groups!$D$6:$D$127,"&gt;"&amp;D44)+COUNTIFS($C$6:C44,"Em atraso",$D$6:D44,D44),"")</f>
      </c>
      <c r="AR44" s="21" t="n">
        <f>IF(COUNTIF($F$6:F44,F44)=1,1,0)</f>
        <v>1</v>
      </c>
    </row>
    <row r="45" ht="96" customHeight="1">
      <c r="A45" s="3" t="str">
        <v>GT-2024-040</v>
      </c>
      <c r="B45" s="3" t="str">
        <v>grupo de trabalho destinado à análise e revisão dos índices e indicadores de desempenho das unidades de cuidados de saúde primários</v>
      </c>
      <c r="C45" s="3" t="str">
        <v>Em atraso</v>
      </c>
      <c r="D45" s="21" t="n">
        <f>IF(C45="Em atraso",IF(ISNUMBER(T45),MAX(0,Dashboard!$E$4-T45),""),IF(C45="Concluído com atraso",IF(AND(ISNUMBER(T45),ISNUMBER(AC45)),MAX(0,AC45-T45),""),IF(C45="Concluído no prazo",0,"")))</f>
        <v>638</v>
      </c>
      <c r="E45" s="3" t="str">
        <v>XXIV</v>
      </c>
      <c r="F45" s="3" t="str">
        <v>Despacho n.º 13355/2024</v>
      </c>
      <c r="G45" s="22" t="str">
        <v>Open DR act</v>
      </c>
      <c r="H45" s="20" t="d">
        <v>2024-11-11T00:00:00.000Z</v>
      </c>
      <c r="I45" s="20" t="d">
        <v>2024-11-04T00:00:00.000Z</v>
      </c>
      <c r="J45" s="20" t="d">
        <v>2024-11-04T00:00:00.000Z</v>
      </c>
      <c r="K45" s="3" t="str">
        <v>Saúde - Gabinete da Secretária de Estado da Gestão da Saúde</v>
      </c>
      <c r="L45" s="3" t="str">
        <v>a) Catarina Sofia Fraga Alves dos Reis, técnica especialista do meu Gabinete, que o coordena;</v>
      </c>
      <c r="M45" s="3" t="str">
        <v>2 - O grupo de trabalho é constituído por:
a) Catarina Sofia Fraga Alves dos Reis, técnica especialista do meu Gabinete, que o coordena;
b) Daniel Jorge Ferreira Dias Salazar, técnico especialista do meu Gabinete;
c) Ana Sofia Nunes Pereira de Sousa e Silva Fernandes, assistente graduada da carreira médica em Medicina Geral e Familiar, colaboradora do Departamento de Gestão e Financiamento de Prestações de Saúde da Administração Central do Sistema de Saúde, I. P., para a área dos cuidados de saúde primários;
d) Tito Manuel Vara Fernandes, enfermeiro na USF Horizonte da ULS Matosinhos, E. P. E., consultor no Núcleo de Cuidados de Saúde Primários, do Departamento de Gestão e Financiamento de Prestações de Saúde da Administração Central do Sistema de Saúde, I. P.;
e) Nuno Miguel de Almeida Sousa, assistente graduado da carreira médica em Medicina Geral e Familiar, consultor da SPMS - Serviços Partilhados do Ministério da Saúde, E. P. E., e da Administração Central do Sistema de Saúde, I. P.;
f) Ana Margarida Ribeiro Correia de Oliveira, vogal do Conselho de Gestão da Direção Executiva do Serviço Nacional de Saúde, I. P., e assistente graduada da carreira médica em Medicina Geral e Familiar;
g) António da Luz Pereira, Professor, doutorado em Investigação Clínica e em Serviços de Saúde, assistente graduado da carreira médica em Medicina Geral e Familiar, coordenador da USF Prelada da ULS Santo António, E. P. E., membro do Departamento de Contratualização da Administração Regional de Saúde do Norte, I. P., e vice-presidente da Associação Portuguesa em Medicina Geral e Familiar;
h) Maria do Céu Faia Galvão Pinto, enfermeira na ULS Alto Minho, E. P. E., e membro do Departamento de Contratualização da Administração Regional de Saúde do Norte, I. P.;
i) Maria Manuela Henriques Pereira Ferreira, Professora, doutorada em Ciências e Tecnologias da Saúde, e enfermeira na Unidade de Saúde Pública da ULS Região de Aveiro, E. P. E.;
j) Sissi Ferreira Martins, enfermeira na ULS Lisboa Ocidental, E. P. E., especialista em Reabilitação, e com experiência em contratualização de cuidados de saúde primários.</v>
      </c>
      <c r="N45" s="3" t="str">
        <v>Health</v>
      </c>
      <c r="O45" s="3" t="str">
        <v>Review primary-care performance indicators and family-health-unit team performance measures.</v>
      </c>
      <c r="P45" s="3" t="str">
        <v>1 - É criado um grupo de trabalho, que funciona na dependência do meu Gabinete, ao qual compete:
a) Analisar e rever índices e indicadores de desempenho das unidades de cuidados de saúde primários, incluindo o índice de desempenho da equipa (IDE) das unidades de saúde familiar e respetivos indicadores, previsto no artigo 34.º do regime jurídico da organização e do funcionamento das USF, aprovado no anexo i ao Decreto-Lei n.º 103/2023, de 7 de novembro, na sua redação atual, e regulado pela Portaria n.º 411-A/2023, de 5 de dezembro;
b) Recomendar e avaliar novas metodologias e propor os termos, as condições e a calendarização conducentes à implementação do estabelecido na alínea anterior.</v>
      </c>
      <c r="Q45" s="3" t="str">
        <v>1 - É criado um grupo de trabalho, que funciona na dependência do meu Gabinete, ao qual compete:
a) Analisar e rever índices e indicadores de desempenho das unidades de cuidados de saúde primários, incluindo o índice de desempenho da equipa (IDE) das unidades de saúde familiar e respetivos indicadores, previsto no artigo 34.º do regime jurídico da organização e do funcionamento das USF, aprovado no anexo i ao Decreto-Lei n.º 103/2023, de 7 de novembro, na sua redação atual, e regulado pela Portaria n.º 411-A/2023, de 5 de dezembro;
b) Recomendar e avaliar novas metodologias e propor os termos, as condições e a calendarização conducentes à implementação do estabelecido na alínea anterior.</v>
      </c>
      <c r="R45" s="3" t="str">
        <v>5 - O grupo de trabalho deve apresentar um relatório no prazo de 60 dias contados a partir da data d: 2025-01-10 — 2024-11-11 + 60 calendar days (monitoring convention). If CPA procedural counting applies: 2025-02-05.
6 - O prazo do número anterior pode ser prorrogado sob proposta fundamentada da coordenadora do grup: date not derivable — No uniquely dated deadline derivable from this clause; cadence or trigger is preserved.
Final report / last specified substantive output: 2025-01-10 — published 2024-11-11 + 60 calendar days; plain “dias” benchmark. Alternative working-day date: 2025-02-05.</v>
      </c>
      <c r="S45" s="20" t="d">
        <v>2025-01-10T00:00:00.000Z</v>
      </c>
      <c r="T45" s="20" t="d">
        <v>2025-01-10T00:00:00.000Z</v>
      </c>
      <c r="U45" s="3" t="str">
        <v>published 2024-11-11 + 60 calendar days; plain “dias” benchmark. Alternative working-day date: 2025-02-05.</v>
      </c>
      <c r="V45" s="20" t="d">
        <v>2025-02-05T00:00:00.000Z</v>
      </c>
      <c r="W45" s="21" t="n">
        <f>IF(AND(C45="Em atraso",ISNUMBER(V45)),MAX(0,Dashboard!$E$4-V45),"")</f>
        <v>612</v>
      </c>
      <c r="X45" s="3" t="str">
        <v>Unpaid; see the original clause for the scope of the exclusion.</v>
      </c>
      <c r="Y45" s="3" t="str">
        <v>4 - Os elementos que constituem o grupo de trabalho não auferem qualquer remuneração pela participação neste grupo de trabalho.</v>
      </c>
      <c r="Z45" s="3" t="str">
        <v>Controlling benchmark has passed; no evidence of this output’s delivery identified in the reviewed acts and focused official-source outcome search.</v>
      </c>
      <c r="AA45" s="3" t="str">
        <v>https://diariodarepublica.pt/dr/detalhe/despacho/13355-2024-896165054</v>
      </c>
      <c r="AB45" s="22" t="str">
        <v>Open evidence</v>
      </c>
      <c r="AC45" s="20"/>
      <c r="AD45" s="3" t="str">
        <v>No delivery evidence identified.</v>
      </c>
      <c r="AE45" s="3" t="str">
        <v>Not independently verified.</v>
      </c>
      <c r="AF45" s="3" t="str"/>
      <c r="AG45" s="3" t="str"/>
      <c r="AH45" s="3" t="str"/>
      <c r="AI45" s="3" t="str">
        <v>DR full-period singular/plural/technical phrase inventories; later acts reviewed. Outcome search: "grupo de trabalho" índice desempenho equipas USF relatório conclusões after:2024-04-01 before:2026-10-11. Domains: portugal.gov.pt, gov.pt, parlamento.pt, diariodarepublica.pt, justica.gov.pt, dgav.pt, icnf.pt, anac.pt, dgeg.gov.pt. Official evidence/limitations recorded in this row.</v>
      </c>
      <c r="AJ45" s="20" t="d">
        <v>2026-10-10T00:00:00.000Z</v>
      </c>
      <c r="AK45" s="3" t="str">
        <v>2024-11-04</v>
      </c>
      <c r="AL45" s="3" t="str">
        <v>Latest signature used where multiple signatures occur.</v>
      </c>
      <c r="AM45" s="3" t="str">
        <v>Express name / creating-act summary; descriptive source label where no formal name is assigned.</v>
      </c>
      <c r="AN45" s="3" t="str">
        <v>Health</v>
      </c>
      <c r="AO45" s="3" t="str">
        <v>Final report / last specified substantive output</v>
      </c>
      <c r="AP45" s="3" t="str">
        <v>Calendar monitoring benchmark; absence of public evidence is not proof of non-delivery.</v>
      </c>
      <c r="AQ45" s="21" t="n">
        <f>IF(AND(C45="Em atraso",ISNUMBER(D45)),COUNTIFS(Groups!$C$6:$C$127,"Em atraso",Groups!$D$6:$D$127,"&gt;"&amp;D45)+COUNTIFS($C$6:C45,"Em atraso",$D$6:D45,D45),"")</f>
        <v>6</v>
      </c>
      <c r="AR45" s="21" t="n">
        <f>IF(COUNTIF($F$6:F45,F45)=1,1,0)</f>
        <v>1</v>
      </c>
    </row>
    <row r="46" ht="96" customHeight="1">
      <c r="A46" s="3" t="str">
        <v>GT-2024-041</v>
      </c>
      <c r="B46" s="3" t="str">
        <v>Grupo de Trabalho da Gestão de Mudança e Comunicação para a Reforma da Administração Pública (abreviadamente designado por grupo de trabalho), dedicado a conceber, analisar, propor, implementar e avaliar a melhor abordagem e as iniciativas em termos da gestão de mudança e comunicação no âmbito da Reforma AP, na dependência da Secretária de Estado da Administração Pública;</v>
      </c>
      <c r="C46" s="3" t="str">
        <v>Extinto / substituído</v>
      </c>
      <c r="D46" s="21" t="str">
        <f>IF(C46="Em atraso",IF(ISNUMBER(T46),MAX(0,Dashboard!$E$4-T46),""),IF(C46="Concluído com atraso",IF(AND(ISNUMBER(T46),ISNUMBER(AC46)),MAX(0,AC46-T46),""),IF(C46="Concluído no prazo",0,"")))</f>
      </c>
      <c r="E46" s="3" t="str">
        <v>XXIV</v>
      </c>
      <c r="F46" s="3" t="str">
        <v>Despacho n.º 13583/2024</v>
      </c>
      <c r="G46" s="22" t="str">
        <v>Open DR act</v>
      </c>
      <c r="H46" s="20" t="d">
        <v>2024-11-18T00:00:00.000Z</v>
      </c>
      <c r="I46" s="20" t="d">
        <v>2024-11-11T00:00:00.000Z</v>
      </c>
      <c r="J46" s="20" t="d">
        <v>2024-11-11T00:00:00.000Z</v>
      </c>
      <c r="K46" s="3" t="str">
        <v>Presidência do Conselho de Ministros e Finanças - Gabinete do Ministro de Estado e das Finanças e Gabinete do Ministro da Presidência</v>
      </c>
      <c r="L46" s="3" t="str">
        <v>4 - A coordenação do grupo de trabalho é da responsabilidade da Secretária de Estado da Administração Pública, coadjuvada por Nelson Coelho, para a área tecnológica, e por Matilde Mello Cabral, na especialização da gestão da comunicação.</v>
      </c>
      <c r="M46" s="3" t="str">
        <v>3 - O grupo de trabalho é constituído pelos seguintes elementos:
a) Nelson Coelho (adjunto no Gabinete do Ministro de Estado e das Finanças);
b) Matilde Mello Cabral (técnica especialista do Gabinete do Ministro de Estado e das Finanças);
c) António Capela (adjunto no Gabinete do Ministro da Presidência);
d) Manuel Salema Garção (técnico especialista no Gabinete do Ministro da Presidência);
e) Paula Arsénio Baptista (adjunta do Gabinete da Secretária de Estado da Administração Pública);
f) André Soares (Adjunto do Gabinete da Secretária de Estado da Administração Pública);
g) Sofia Paiva Ferreira (técnica especialista do Gabinete da Secretária de Estado da Administração Pública);
h) Guilherme Azambuja (técnico especialista do Gabinete da Secretária de Estado da Administração Pública);
i) João Miguel Costa (técnico especialista do Gabinete da Secretária de Estado da Administração Pública);
j) João Tomé Pilão (técnico especialista no Gabinete do Secretário de Presidência do Conselho de Ministros).
k) Armanda Fonseca (diretora-geral da DGAEP);
l) Bruno Santos (subdiretor-geral da DGAEP);
m) Bruno Fialho (chefe da Divisão de Comunicação e Gestão da Mudança da DGAEP);
n) Elisabete Yee Camões (técnica superior da DGAEP);
o) Ana Ribas (técnica superior da DGAEP);
p) Carla Costa Pereira (técnica superior da DGAEP);
q) Hugo Reis (técnico superior da DGAEP);
r) Sandra Henriques (técnica superior da DGAEP);
s) Eugénio Antunes (vogal do conselho diretivo da ESPAP, I. P.);
t) Ana Barão (técnica superior na ESPAP, I. P.);
u) Mónica Angelino (técnica superior na ESPAP, I. P.).</v>
      </c>
      <c r="N46" s="3" t="str">
        <v>State reform</v>
      </c>
      <c r="O46" s="3" t="str">
        <v>Design and implement change-management and communication measures for public-administration reform.</v>
      </c>
      <c r="P46" s="3" t="str">
        <v>1 - É criado o Grupo de Trabalho da Gestão de Mudança e Comunicação para a Reforma da Administração Pública (abreviadamente designado por grupo de trabalho), dedicado a conceber, analisar, propor, implementar e avaliar a melhor abordagem e as iniciativas em termos da gestão de mudança e comunicação no âmbito da Reforma AP, na dependência da Secretária de Estado da Administração Pública;</v>
      </c>
      <c r="Q46" s="3" t="str">
        <v>2 - No âmbito da missão prevista no número anterior, compete ao grupo de trabalho, nomeadamente:
Conceber as principais iniciativas de apoio efetivo aos processos de mudança previstos no âmbito da Reforma AP com vista garantir a continuidade da atividade sem disrupção e o envolvimento, foco e informação de todas as partes interessadas envolvidas, especialmente os trabalhadores e os dirigentes;
Propor e implementar o plano de ações no âmbito de gestão da mudança e comunicação, com especial enfoque numa narrativa inclusiva e contínua, de forma a assegurar a coordenação transversal da Reforma AP junto de todas as partes interessadas envolvidas, especialmente os trabalhadores e os dirigentes;
Identificar e propor medidas para reforçar uma cultura de serviço na Administração Pública, de pessoas e de liderança junto dos trabalhadores e dos dirigentes com o objetivo de melhorar a imagem e reputação da própria Administração Pública;
Identificar riscos e impactos na implementação da Reforma AP, bem como no nível de serviço público, em virtude e no contexto da mudança decorrente da Reforma AP;
Identificar e propor medidas para minimizar os constrangimentos ao regular funcionamento dos serviços durante o processo de implementação da Reforma AP.
10 - Os representantes que integram o grupo de trabalho exercem as suas funções durante o período normal de trabalho a que estão sujeitos nas respetivas entidades empregadoras, as quais devem assegurar as condições para a realização dos trabalhos decorrentes da sua participação.</v>
      </c>
      <c r="R46" s="3" t="str">
        <v>5 - O grupo de trabalho reúne com periodicidade semanal e, extraordinariamente, sempre que seja cons: date not derivable — No uniquely dated deadline derivable from this clause; cadence or trigger is preserved.</v>
      </c>
      <c r="S46" s="20"/>
      <c r="T46" s="20"/>
      <c r="U46" s="3" t="str"/>
      <c r="V46" s="20"/>
      <c r="W46" s="21" t="str">
        <f>IF(AND(C46="Em atraso",ISNUMBER(V46)),MAX(0,Dashboard!$E$4-V46),"")</f>
      </c>
      <c r="X46" s="3" t="str">
        <v>Unpaid; see the original clause for the scope of the exclusion.</v>
      </c>
      <c r="Y46" s="3" t="str">
        <v>11 - Não é devido o pagamento de qualquer remuneração ou outro tipo de abono aos membros do grupo de trabalho como contrapartida da atividade desenvolvida no seu âmbito.</v>
      </c>
      <c r="Z46" s="3" t="str">
        <v>Creating act expressly revoked by Despacho n.º 3407/2025, de 18 de março.</v>
      </c>
      <c r="AA46" s="3" t="str">
        <v>https://diariodarepublica.pt/dr/detalhe/despacho/13583-2024-896828793
https://diariodarepublica.pt/dr/detalhe/despacho/3407-2025-911315599</v>
      </c>
      <c r="AB46" s="22" t="str">
        <v>Open evidence</v>
      </c>
      <c r="AC46" s="20"/>
      <c r="AD46" s="3" t="str">
        <v>No delivery evidence identified.</v>
      </c>
      <c r="AE46" s="3" t="str">
        <v>Not independently verified.</v>
      </c>
      <c r="AF46" s="3" t="str"/>
      <c r="AG46" s="3" t="str">
        <v>Despacho n.º 3407/2025, de 18 de março — https://diariodarepublica.pt/dr/detalhe/despacho/3407-2025-911315599</v>
      </c>
      <c r="AH46" s="3" t="str">
        <v> The act has no concise formal name; the label follows its Portuguese creating clause/summary.</v>
      </c>
      <c r="AI46" s="3" t="str">
        <v>DR full-period singular/plural/technical phrase inventories; later acts reviewed. Outcome search: "grupo de trabalho" gestão mudança comunicação Administração Pública relatório conclusões after:2024-04-01 before:2026-10-11. Domains: portugal.gov.pt, gov.pt, parlamento.pt, diariodarepublica.pt, justica.gov.pt, dgav.pt, icnf.pt, anac.pt, dgeg.gov.pt. Official evidence/limitations recorded in this row.</v>
      </c>
      <c r="AJ46" s="20" t="d">
        <v>2026-10-10T00:00:00.000Z</v>
      </c>
      <c r="AK46" s="3" t="str">
        <v>2024-10-24; 2024-11-11</v>
      </c>
      <c r="AL46" s="3" t="str">
        <v>Latest signature used where multiple signatures occur.</v>
      </c>
      <c r="AM46" s="3" t="str">
        <v>Express name / creating-act summary; descriptive source label where no formal name is assigned.</v>
      </c>
      <c r="AN46" s="3" t="str">
        <v>Presidency / Council of Ministers; Finance</v>
      </c>
      <c r="AO46" s="3" t="str">
        <v>No dated final output / unknown trigger</v>
      </c>
      <c r="AP46" s="3" t="str"/>
      <c r="AQ46" s="21" t="str">
        <f>IF(AND(C46="Em atraso",ISNUMBER(D46)),COUNTIFS(Groups!$C$6:$C$127,"Em atraso",Groups!$D$6:$D$127,"&gt;"&amp;D46)+COUNTIFS($C$6:C46,"Em atraso",$D$6:D46,D46),"")</f>
      </c>
      <c r="AR46" s="21" t="n">
        <f>IF(COUNTIF($F$6:F46,F46)=1,1,0)</f>
        <v>1</v>
      </c>
    </row>
    <row r="47" ht="96" customHeight="1">
      <c r="A47" s="3" t="str">
        <v>GT-2024-042</v>
      </c>
      <c r="B47" s="3" t="str">
        <v>Grupo de Trabalho com o objetivo de definir um Plano Estratégico de saída dos serviços</v>
      </c>
      <c r="C47" s="3" t="str">
        <v>Em atraso</v>
      </c>
      <c r="D47" s="21" t="n">
        <f>IF(C47="Em atraso",IF(ISNUMBER(T47),MAX(0,Dashboard!$E$4-T47),""),IF(C47="Concluído com atraso",IF(AND(ISNUMBER(T47),ISNUMBER(AC47)),MAX(0,AC47-T47),""),IF(C47="Concluído no prazo",0,"")))</f>
        <v>558</v>
      </c>
      <c r="E47" s="3" t="str">
        <v>XXIV</v>
      </c>
      <c r="F47" s="3" t="str">
        <v>Despacho n.º 13786/2024</v>
      </c>
      <c r="G47" s="22" t="str">
        <v>Open DR act</v>
      </c>
      <c r="H47" s="20" t="d">
        <v>2024-11-21T00:00:00.000Z</v>
      </c>
      <c r="I47" s="20" t="d">
        <v>2024-11-18T00:00:00.000Z</v>
      </c>
      <c r="J47" s="20" t="d">
        <v>2024-11-22T00:00:00.000Z</v>
      </c>
      <c r="K47" s="3" t="str">
        <v>Justiça - Gabinete da Secretária de Estado da Justiça</v>
      </c>
      <c r="L47" s="3" t="str">
        <v>8 - A coordenação do Grupo de Trabalho é da responsabilidade do conselho diretivo do IGFEJ, sendo o IGFEJ a atuar como relator do Grupo de Trabalho.</v>
      </c>
      <c r="M47" s="3" t="str">
        <v>6 - Que o Grupo de Trabalho seja constituído por:
a) Representante(s) do Ministério da Justiça;
b) Representante(s) do Ministério das Finanças;
c) Representante(s) da ESTAMO - Participações Imobiliárias, S. A.;
d) Representante(s) da Câmara Municipal de Lisboa;
e) Representante(s) do conselho diretivo do IGFEJ;
f) Representante(s) da Direção-Geral da Administração da Justiça (DGAJ);
g) Representante(s) do Instituto de Registos e Notariado (IRN);
h) Representante(s) da Direção-Geral de Reinserção e Serviços Prisionais (DGRSP);
i) Representante(s) do Conselho Superior da Magistratura (CSM);
j) Representante(s) do Conselho Superior dos Tribunais Administrativos e Fiscais (CSTAF);
k) Representante(s) da Polícia Judiciária;
l) Representante(s) do Ministério Público (MP) - nomeadamente, da Procuradoria-Geral da República (PGR);
m) Representante(s) do Conselho Regional de Lisboa da Ordem dos Advogados (CRL OA).</v>
      </c>
      <c r="N47" s="3" t="str">
        <v>Justice / Infrastructure</v>
      </c>
      <c r="O47" s="3" t="str">
        <v>Prepare a strategic plan for relocating services and courts from the Lisbon Justice Campus.</v>
      </c>
      <c r="P47" s="3" t="str">
        <v>1 - A constituição de um Grupo de Trabalho com o objetivo de definir um Plano Estratégico de saída dos serviços, tribunais e organismos do Campus da Justiça de Lisboa;</v>
      </c>
      <c r="Q47" s="3" t="str">
        <v>1 - A constituição de um Grupo de Trabalho com o objetivo de definir um Plano Estratégico de saída dos serviços, tribunais e organismos do Campus da Justiça de Lisboa;</v>
      </c>
      <c r="R47" s="3" t="str">
        <v>2 - Que o presente Grupo de Trabalho deverá apresentar, até ao dia 31 de janeiro de 2025, o referido: 2025-01-31 — Explicit calendar date in the act.
9 - Na primeira reunião, o conselho diretivo do IGFEJ proporá ao Grupo de Trabalho, para decisão, a : date not derivable — No uniquely dated deadline derivable from this clause; cadence or trigger is preserved.
Final report / last specified substantive output: 2025-01-31 — Fixed date / explicit year-end in creating act.
Extended controlling deadline: 2025-03-31 — Formal extension: Despacho n.º 35/2025, de 2 de janeiro — https://diariodarepublica.pt/dr/detalhe/despacho/35-2025-901693477</v>
      </c>
      <c r="S47" s="20" t="d">
        <v>2025-01-31T00:00:00.000Z</v>
      </c>
      <c r="T47" s="20" t="d">
        <v>2025-03-31T00:00:00.000Z</v>
      </c>
      <c r="U47" s="3" t="str">
        <v>Formal extension: Despacho n.º 35/2025, de 2 de janeiro — https://diariodarepublica.pt/dr/detalhe/despacho/35-2025-901693477</v>
      </c>
      <c r="V47" s="20"/>
      <c r="W47" s="21" t="str">
        <f>IF(AND(C47="Em atraso",ISNUMBER(V47)),MAX(0,Dashboard!$E$4-V47),"")</f>
      </c>
      <c r="X47" s="3" t="str">
        <v>Unpaid; see the original clause for the scope of the exclusion.</v>
      </c>
      <c r="Y47" s="3" t="str">
        <v>11 - Os membros do Grupo de Trabalho não auferem remuneração.</v>
      </c>
      <c r="Z47" s="3" t="str">
        <v>Controlling benchmark has passed; no evidence of this output’s delivery identified in the reviewed acts and focused official-source outcome search.</v>
      </c>
      <c r="AA47" s="3" t="str">
        <v>https://diariodarepublica.pt/dr/detalhe/despacho/13786-2024-897217652
https://diariodarepublica.pt/dr/detalhe/despacho/35-2025-901693477</v>
      </c>
      <c r="AB47" s="22" t="str">
        <v>Open evidence</v>
      </c>
      <c r="AC47" s="20"/>
      <c r="AD47" s="3" t="str">
        <v>No delivery evidence identified.</v>
      </c>
      <c r="AE47" s="3" t="str">
        <v>Not independently verified.</v>
      </c>
      <c r="AF47" s="3" t="str"/>
      <c r="AG47" s="3" t="str">
        <v>Despacho n.º 35/2025, de 2 de janeiro — https://diariodarepublica.pt/dr/detalhe/despacho/35-2025-901693477</v>
      </c>
      <c r="AH47" s="3" t="str"/>
      <c r="AI47" s="3" t="str">
        <v>DR full-period singular/plural/technical phrase inventories; later acts reviewed. Outcome search: "grupo de trabalho" Campus Justiça Lisboa relatório conclusões after:2024-04-01 before:2026-10-11. Domains: portugal.gov.pt, gov.pt, parlamento.pt, diariodarepublica.pt, justica.gov.pt, dgav.pt, icnf.pt, anac.pt, dgeg.gov.pt. Official evidence/limitations recorded in this row.</v>
      </c>
      <c r="AJ47" s="20" t="d">
        <v>2026-10-10T00:00:00.000Z</v>
      </c>
      <c r="AK47" s="3" t="str">
        <v>2024-11-18</v>
      </c>
      <c r="AL47" s="3" t="str">
        <v>Day after publication.</v>
      </c>
      <c r="AM47" s="3" t="str">
        <v>Express name / creating-act summary; descriptive source label where no formal name is assigned.</v>
      </c>
      <c r="AN47" s="3" t="str">
        <v>Justice</v>
      </c>
      <c r="AO47" s="3" t="str">
        <v>Final report / last specified substantive output</v>
      </c>
      <c r="AP47" s="3" t="str">
        <v>Calendar monitoring benchmark; absence of public evidence is not proof of non-delivery.</v>
      </c>
      <c r="AQ47" s="21" t="n">
        <f>IF(AND(C47="Em atraso",ISNUMBER(D47)),COUNTIFS(Groups!$C$6:$C$127,"Em atraso",Groups!$D$6:$D$127,"&gt;"&amp;D47)+COUNTIFS($C$6:C47,"Em atraso",$D$6:D47,D47),"")</f>
        <v>11</v>
      </c>
      <c r="AR47" s="21" t="n">
        <f>IF(COUNTIF($F$6:F47,F47)=1,1,0)</f>
        <v>1</v>
      </c>
    </row>
    <row r="48" ht="96" customHeight="1">
      <c r="A48" s="3" t="str">
        <v>GT-2024-043</v>
      </c>
      <c r="B48" s="3" t="str">
        <v>grupo de trabalho para a elaboração de diploma que regule a relação jurídica especial de trabalho de reclusos em unidades produtivas</v>
      </c>
      <c r="C48" s="3" t="str">
        <v>Em atraso</v>
      </c>
      <c r="D48" s="21" t="n">
        <f>IF(C48="Em atraso",IF(ISNUMBER(T48),MAX(0,Dashboard!$E$4-T48),""),IF(C48="Concluído com atraso",IF(AND(ISNUMBER(T48),ISNUMBER(AC48)),MAX(0,AC48-T48),""),IF(C48="Concluído no prazo",0,"")))</f>
        <v>329</v>
      </c>
      <c r="E48" s="3" t="str">
        <v>XXIV</v>
      </c>
      <c r="F48" s="3" t="str">
        <v>Despacho n.º 13890/2024</v>
      </c>
      <c r="G48" s="22" t="str">
        <v>Open DR act</v>
      </c>
      <c r="H48" s="20" t="d">
        <v>2024-11-25T00:00:00.000Z</v>
      </c>
      <c r="I48" s="20" t="d">
        <v>2024-11-18T00:00:00.000Z</v>
      </c>
      <c r="J48" s="20" t="d">
        <v>2024-11-15T00:00:00.000Z</v>
      </c>
      <c r="K48" s="3" t="str">
        <v>Justiça e Trabalho, Solidariedade e Segurança Social - Gabinete da Secretária de Estado Adjunta e da Justiça, Gabinete do Secretário de Estado do Trabalho e Gabinete do Secretário de Estado da Segurança Social</v>
      </c>
      <c r="L48" s="3" t="str">
        <v>a) Em representação do Gabinete da Secretária de Estado Adjunta e da Justiça, a técnica especialista Inês Horta Pinto, que coordena;</v>
      </c>
      <c r="M48" s="3" t="str">
        <v>2 - O grupo de trabalho tem a seguinte composição:
a) Em representação do Gabinete da Secretária de Estado Adjunta e da Justiça, a técnica especialista Inês Horta Pinto, que coordena;
b) Em representação do Gabinete do Secretário de Estado do Trabalho, a técnica especialista Maria de Fátima Mestre;
c) Em representação do Gabinete do Secretário de Estado da Segurança Social, o técnico especialista António André Ribeiro;
d) Em representação da Direção-Geral de Reinserção e Serviços Prisionais, Nuno Salvador, chefe de divisão do Gabinete Jurídico e Contencioso, e Lígia Rebelo, diretora do Estabelecimento Prisional de Tires;
e) A consultora da Direção-Geral da Política de Justiça, Ana Catarina Oliveira.</v>
      </c>
      <c r="N48" s="3" t="str">
        <v>Justice / Labour</v>
      </c>
      <c r="O48" s="3" t="str">
        <v>Draft legislation governing work by people serving custodial sentences.</v>
      </c>
      <c r="P48" s="3" t="str">
        <v>1 - É constituído um grupo de trabalho com representantes das áreas governativas da justiça e do trabalho, solidariedade e segurança social, encarregado da elaboração de anteprojeto do diploma previsto no artigo 43.º do Código da Execução das Penas e Medidas Privativas da Liberdade.</v>
      </c>
      <c r="Q48" s="3" t="str">
        <v>3 - Podem ser chamados a colaborar nos trabalhos a desenvolver pelo grupo de trabalho outros organismos cujo contributo seja considerado relevante para a prossecução dos seus objetivos, designadamente a Autoridade para as Condições do Trabalho, a Direção-Geral do Emprego e das Relações de Trabalho e a Direção-Geral da Segurança Social, podendo igualmente ser levadas a cabo consultas com especialistas e com representantes da sociedade civil.</v>
      </c>
      <c r="R48" s="3" t="str">
        <v>6 - O grupo de trabalho tem a duração de 12 meses, devendo, no termo desse prazo, apresentar aos mem: date not derivable — 12 meses after trigger: anchor not expressly specified; exact date cannot be verified.
Final report / last specified substantive output: 2025-11-15 — effective 2024-11-15 + 12 calendar months (anniversary rule).</v>
      </c>
      <c r="S48" s="20" t="d">
        <v>2025-11-15T00:00:00.000Z</v>
      </c>
      <c r="T48" s="20" t="d">
        <v>2025-11-15T00:00:00.000Z</v>
      </c>
      <c r="U48" s="3" t="str">
        <v>effective 2024-11-15 + 12 calendar months (anniversary rule).</v>
      </c>
      <c r="V48" s="20"/>
      <c r="W48" s="21" t="str">
        <f>IF(AND(C48="Em atraso",ISNUMBER(V48)),MAX(0,Dashboard!$E$4-V48),"")</f>
      </c>
      <c r="X48" s="3" t="str">
        <v>Unpaid group participation; expense/allowance terms are stated in the original clause.</v>
      </c>
      <c r="Y48" s="3" t="str">
        <v>4 - A participação no grupo de trabalho não confere o direito a qualquer prestação, independentemente da respetiva natureza, designadamente a título de remuneração, abono, compensação, subsídio ou senhas de presença, ressalvadas as ajudas de custo a que haja lugar nos termos legais.</v>
      </c>
      <c r="Z48" s="3" t="str">
        <v>Controlling benchmark has passed; no evidence of this output’s delivery identified in the reviewed acts and focused official-source outcome search.</v>
      </c>
      <c r="AA48" s="3" t="str">
        <v>https://diariodarepublica.pt/dr/detalhe/despacho/13890-2024-897660800</v>
      </c>
      <c r="AB48" s="22" t="str">
        <v>Open evidence</v>
      </c>
      <c r="AC48" s="20"/>
      <c r="AD48" s="3" t="str">
        <v>No delivery evidence identified.</v>
      </c>
      <c r="AE48" s="3" t="str">
        <v>Not independently verified.</v>
      </c>
      <c r="AF48" s="3" t="str"/>
      <c r="AG48" s="3" t="str"/>
      <c r="AH48" s="3" t="str"/>
      <c r="AI48" s="3" t="str">
        <v>DR full-period singular/plural/technical phrase inventories; later acts reviewed. Outcome search: "grupo de trabalho" trabalho reclusos relatório conclusões after:2024-04-01 before:2026-10-11. Domains: portugal.gov.pt, gov.pt, parlamento.pt, diariodarepublica.pt, justica.gov.pt, dgav.pt, icnf.pt, anac.pt, dgeg.gov.pt. Official evidence/limitations recorded in this row.</v>
      </c>
      <c r="AJ48" s="20" t="d">
        <v>2026-10-10T00:00:00.000Z</v>
      </c>
      <c r="AK48" s="3" t="str">
        <v>2024-11-12; 2024-11-14; 2024-11-18</v>
      </c>
      <c r="AL48" s="3" t="str">
        <v>Explicit retrospective or future date.</v>
      </c>
      <c r="AM48" s="3" t="str">
        <v>Express name / creating-act summary; descriptive source label where no formal name is assigned.</v>
      </c>
      <c r="AN48" s="3" t="str">
        <v>Justice; Labour / Social security</v>
      </c>
      <c r="AO48" s="3" t="str">
        <v>Final report / last specified substantive output</v>
      </c>
      <c r="AP48" s="3" t="str">
        <v>Calendar monitoring benchmark; absence of public evidence is not proof of non-delivery.</v>
      </c>
      <c r="AQ48" s="21" t="n">
        <f>IF(AND(C48="Em atraso",ISNUMBER(D48)),COUNTIFS(Groups!$C$6:$C$127,"Em atraso",Groups!$D$6:$D$127,"&gt;"&amp;D48)+COUNTIFS($C$6:C48,"Em atraso",$D$6:D48,D48),"")</f>
        <v>33</v>
      </c>
      <c r="AR48" s="21" t="n">
        <f>IF(COUNTIF($F$6:F48,F48)=1,1,0)</f>
        <v>1</v>
      </c>
    </row>
    <row r="49" ht="96" customHeight="1">
      <c r="A49" s="3" t="str">
        <v>GT-2024-044</v>
      </c>
      <c r="B49" s="3" t="str">
        <v>grupo de trabalho com o objetivo de relançar a discussão sobre os ­desafios e oportunidades dos meios de resolução alternativa de litígios (RAL)</v>
      </c>
      <c r="C49" s="3" t="str">
        <v>Em atraso</v>
      </c>
      <c r="D49" s="21" t="n">
        <f>IF(C49="Em atraso",IF(ISNUMBER(T49),MAX(0,Dashboard!$E$4-T49),""),IF(C49="Concluído com atraso",IF(AND(ISNUMBER(T49),ISNUMBER(AC49)),MAX(0,AC49-T49),""),IF(C49="Concluído no prazo",0,"")))</f>
        <v>571</v>
      </c>
      <c r="E49" s="3" t="str">
        <v>XXIV</v>
      </c>
      <c r="F49" s="3" t="str">
        <v>Despacho n.º 13946/2024</v>
      </c>
      <c r="G49" s="22" t="str">
        <v>Open DR act</v>
      </c>
      <c r="H49" s="20" t="d">
        <v>2024-11-26T00:00:00.000Z</v>
      </c>
      <c r="I49" s="20" t="d">
        <v>2024-11-18T00:00:00.000Z</v>
      </c>
      <c r="J49" s="20" t="d">
        <v>2024-11-26T00:00:00.000Z</v>
      </c>
      <c r="K49" s="3" t="str">
        <v>Justiça - Gabinete da Secretária de Estado da Justiça</v>
      </c>
      <c r="L49" s="3" t="str">
        <v>Not specified / selected at first meeting; see act.</v>
      </c>
      <c r="M49" s="3" t="str">
        <v>8 - A participação no grupo de trabalho não confere àqueles que o integram, ou que com ele colaboram, o direito ao pagamento de qualquer remuneração ou abono, sem prejuízo do pagamento de ajudas de custo e de transporte, nos termos legais em vigor, a suportar pela Secretaria-Geral do Ministério da Justiça.</v>
      </c>
      <c r="N49" s="3" t="str">
        <v>Justice</v>
      </c>
      <c r="O49" s="3" t="str">
        <v>Review alternative dispute-resolution mechanisms through seven thematic sessions and recommend reforms.</v>
      </c>
      <c r="P49" s="3" t="str">
        <v>1 - É criado um grupo de trabalho com o objetivo de relançar a discussão sobre os desafios e oportunidades dos meios RAL, contando, para esse efeito, com o envolvimento da sociedade civil, organizada em grupos temáticos.</v>
      </c>
      <c r="Q49" s="3" t="str">
        <v>1 - É criado um grupo de trabalho com o objetivo de relançar a discussão sobre os desafios e oportunidades dos meios RAL, contando, para esse efeito, com o envolvimento da sociedade civil, organizada em grupos temáticos.
6 - O grupo de trabalho, nas pessoas dos seus membros permanentes, terá como objetivo submeter à Secretária de Estado, no prazo de 4 meses a contar da data do presente despacho, um relatório final, contendo:
a) Levantamento dos principais obstáculos e/ou desafios à utilização e expansão dos meios RAL;
b) Identificação das principais oportunidades e sinergias entre a área governativa da justiça e os demais atores deste mercado;
c) Formulação de eventuais propostas, incluindo de alteração legislativa, para concretização e implementação da estratégia nacional dos meios RAL.</v>
      </c>
      <c r="R49" s="3" t="str">
        <v>6 - O grupo de trabalho, nas pessoas dos seus membros permanentes, terá como objetivo submeter à Sec: date not derivable — 4 meses after trigger: anchor not expressly specified; exact date cannot be verified.
Final report / last specified substantive output: 2025-03-18 — signed 2024-11-18 + 4 calendar months (anniversary rule).</v>
      </c>
      <c r="S49" s="20" t="d">
        <v>2025-03-18T00:00:00.000Z</v>
      </c>
      <c r="T49" s="20" t="d">
        <v>2025-03-18T00:00:00.000Z</v>
      </c>
      <c r="U49" s="3" t="str">
        <v>signed 2024-11-18 + 4 calendar months (anniversary rule).</v>
      </c>
      <c r="V49" s="20"/>
      <c r="W49" s="21" t="str">
        <f>IF(AND(C49="Em atraso",ISNUMBER(V49)),MAX(0,Dashboard!$E$4-V49),"")</f>
      </c>
      <c r="X49" s="3" t="str">
        <v>Unpaid group participation; expense/allowance terms are stated in the original clause.</v>
      </c>
      <c r="Y49" s="3" t="str">
        <v>8 - A participação no grupo de trabalho não confere àqueles que o integram, ou que com ele colaboram, o direito ao pagamento de qualquer remuneração ou abono, sem prejuízo do pagamento de ajudas de custo e de transporte, nos termos legais em vigor, a suportar pela Secretaria-Geral do Ministério da Justiça.</v>
      </c>
      <c r="Z49" s="3" t="str">
        <v>Controlling benchmark has passed; no evidence of this output’s delivery identified in the reviewed acts and focused official-source outcome search.</v>
      </c>
      <c r="AA49" s="3" t="str">
        <v>https://diariodarepublica.pt/dr/detalhe/despacho/13946-2024-897796652</v>
      </c>
      <c r="AB49" s="22" t="str">
        <v>Open evidence</v>
      </c>
      <c r="AC49" s="20"/>
      <c r="AD49" s="3" t="str">
        <v>No delivery evidence identified.</v>
      </c>
      <c r="AE49" s="3" t="str">
        <v>Not independently verified.</v>
      </c>
      <c r="AF49" s="3" t="str"/>
      <c r="AG49" s="3" t="str"/>
      <c r="AH49" s="3" t="str"/>
      <c r="AI49" s="3" t="str">
        <v>DR full-period singular/plural/technical phrase inventories; later acts reviewed. Outcome search: "grupo de trabalho" resolução alternativa litígios relatório conclusões after:2024-04-01 before:2026-10-11. Domains: portugal.gov.pt, gov.pt, parlamento.pt, diariodarepublica.pt, justica.gov.pt, dgav.pt, icnf.pt, anac.pt, dgeg.gov.pt. Official evidence/limitations recorded in this row.</v>
      </c>
      <c r="AJ49" s="20" t="d">
        <v>2026-10-10T00:00:00.000Z</v>
      </c>
      <c r="AK49" s="3" t="str">
        <v>2024-11-18</v>
      </c>
      <c r="AL49" s="3" t="str">
        <v>Publication date.</v>
      </c>
      <c r="AM49" s="3" t="str">
        <v>Express name / creating-act summary; descriptive source label where no formal name is assigned.</v>
      </c>
      <c r="AN49" s="3" t="str">
        <v>Justice</v>
      </c>
      <c r="AO49" s="3" t="str">
        <v>Final report / last specified substantive output</v>
      </c>
      <c r="AP49" s="3" t="str">
        <v>Calendar monitoring benchmark; absence of public evidence is not proof of non-delivery.</v>
      </c>
      <c r="AQ49" s="21" t="n">
        <f>IF(AND(C49="Em atraso",ISNUMBER(D49)),COUNTIFS(Groups!$C$6:$C$127,"Em atraso",Groups!$D$6:$D$127,"&gt;"&amp;D49)+COUNTIFS($C$6:C49,"Em atraso",$D$6:D49,D49),"")</f>
        <v>10</v>
      </c>
      <c r="AR49" s="21" t="n">
        <f>IF(COUNTIF($F$6:F49,F49)=1,1,0)</f>
        <v>1</v>
      </c>
    </row>
    <row r="50" ht="96" customHeight="1">
      <c r="A50" s="3" t="str">
        <v>GT-2024-045</v>
      </c>
      <c r="B50" s="3" t="str">
        <v>Grupo de Trabalho para os Resíduos</v>
      </c>
      <c r="C50" s="3" t="str">
        <v>Sem informação pública</v>
      </c>
      <c r="D50" s="21" t="str">
        <f>IF(C50="Em atraso",IF(ISNUMBER(T50),MAX(0,Dashboard!$E$4-T50),""),IF(C50="Concluído com atraso",IF(AND(ISNUMBER(T50),ISNUMBER(AC50)),MAX(0,AC50-T50),""),IF(C50="Concluído no prazo",0,"")))</f>
      </c>
      <c r="E50" s="3" t="str">
        <v>XXIV</v>
      </c>
      <c r="F50" s="3" t="str">
        <v>Despacho n.º 14013-A/2024</v>
      </c>
      <c r="G50" s="22" t="str">
        <v>Open DR act</v>
      </c>
      <c r="H50" s="20" t="d">
        <v>2024-11-26T00:00:00.000Z</v>
      </c>
      <c r="I50" s="20" t="d">
        <v>2024-11-22T00:00:00.000Z</v>
      </c>
      <c r="J50" s="20" t="d">
        <v>2024-11-27T00:00:00.000Z</v>
      </c>
      <c r="K50" s="3" t="str">
        <v>Presidência do Conselho de Ministros e Ambiente e Energia - Gabinete do Ministro Adjunto e da Coesão Territorial, Gabinete do Secretário de Estado do Ambiente e Gabinete da Secretária de Estado da Energia</v>
      </c>
      <c r="L50" s="3" t="str">
        <v>6 - O Grupo de Trabalho é coordenado pelo Gabinete do Secretário de Estado do Ambiente, que assegura o apoio logístico e administrativo necessário.</v>
      </c>
      <c r="M50" s="3" t="str">
        <v>3 - O Grupo de Trabalho é composto:
a) Por um representante do Gabinete do Secretário de Estado do Ambiente;
b) Por um representante do Gabinete da Secretária de Estado da Energia;
c) Por um representante da Agência Portuguesa do Ambiente, I. P. (APA, I. P.);
d) Por um representante da associação ESGRA - Associação para a Gestão de Resíduos (ESGRA);
e) Por um representante da empresa Environmental Global Facilities (EGF);
f) Por um representante da Associação Portuguesa de Empresas de Resíduos e Ambiente (APERA);
g) Por um representante da Associação Nacional de Municípios Portugueses (ANMP);
h) Por um representante da Comissão de Coordenação e Desenvolvimento Regional do Norte, I. P. (CCDR Norte);
i) Por um representante da Comissão de Coordenação e Desenvolvimento Regional do Centro, I. P. (CCDR Centro);
j) Por um representante da Comissão de Coordenação e Desenvolvimento Regional de Lisboa e Vale do Tejo, I. P. (CCDR LVT);
k) Por um representante da Comissão de Coordenação e Desenvolvimento Regional do Alentejo, I. P. (CCDR Alentejo);
l) Por um representante da Comissão de Coordenação e Desenvolvimento Regional do Algarve I. P. (CCDR Algarve);
m) Por um representante do Laboratório Nacional de Energia e Geologia, I. P. (LNEG)</v>
      </c>
      <c r="N50" s="3" t="str">
        <v>Environment / Waste</v>
      </c>
      <c r="O50" s="3" t="str">
        <v>Develop an emergency landfill plan and a medium-term strategy for municipal and other waste.</v>
      </c>
      <c r="P50" s="3" t="str">
        <v>1 - É criado o grupo de trabalho multidisciplinar denominado «Grupo de Trabalho para os Resíduos», doravante Grupo de Trabalho, com a missão de desenvolver o Plano de Emergência de Aterros e a estratégia a médio prazo no que diz respeito à gestão dos resíduos urbanos e não urbanos.</v>
      </c>
      <c r="Q50" s="3" t="str">
        <v>1 - É criado o grupo de trabalho multidisciplinar denominado «Grupo de Trabalho para os Resíduos», doravante Grupo de Trabalho, com a missão de desenvolver o Plano de Emergência de Aterros e a estratégia a médio prazo no que diz respeito à gestão dos resíduos urbanos e não urbanos.
2 - São fixados os seguintes objetivos para o Grupo de Trabalho:
a) Acompanhar os processos de licenciamento de operações de aumento e otimização da capacidade de aterros, incluindo soluções de reengenharia (e.g., aumento de cotas, reperfilamentos de taludes), construção de novas células e construção de novos aterros;
b) Avaliar, propor e desenvolver um modelo de sistema de benefícios destinados aos municípios que acolham no seu território aterros (urbanos e não urbanos) ou outras infraestruturas de tratamento de resíduos (triagens, valorizações orgânicas, unidades de tratamento mecânico e biológico, unidades de produção de combustível derivados de resíduos - CDR, novas linhas de valorização energética);
c) Avaliar, propor e desenvolver um modelo de partilha de infraestruturas a nível regional e/ou nacional, tendo em vista a maximização da utilização da capacidade disponível para tratamento da fração residual de resíduos urbanos;
d) Identificar os investimentos estratégicos para serviços «em alta» e «em baixa» de gestão de resíduos;
e) Identificar outros instrumentos económico-financeiros de apoio ao investimento no setor dos resíduos;
f) Desenvolver a estratégia a médio prazo de gestão da fração residual de resíduos urbanos («fração resto»), para garantir o desvio de resíduos a confinar em aterro, através de soluções de produção de combustível derivado de resíduos (CDR) e de linhas valorização energética (VE);
g) Identificar apoios a financiamento de projetos bandeira para o uso de novas tecnologias (pilotos com tecnologias de gaseificação, pirólise ou outras tecnologias que venham a ser propostas), de modo a aferir a sua adequabilidade no tratamento de resíduos com características de resíduo urbano.</v>
      </c>
      <c r="R50" s="3" t="str">
        <v>1 - É criado o grupo de trabalho multidisciplinar denominado «Grupo de Trabalho para os Resíduos», d: date not derivable — No uniquely dated deadline derivable from this clause; cadence or trigger is preserved.
f) Desenvolver a estratégia a médio prazo de gestão da fração residual de resíduos urbanos («fração : date not derivable — No uniquely dated deadline derivable from this clause; cadence or trigger is preserved.
7 - O Grupo de Trabalho apresenta as suas conclusões e propostas ao membro do Governo responsável pe: 2025-01-31 — Explicit calendar date in the act.
8 - Os representantes das entidades referidas no n.º 3 indicam os seus representantes (efetivo e sup: 2024-12-07 — 2024-11-27 + 10 calendar days (monitoring convention). If CPA procedural counting applies: 2024-12-11.
Final report / last specified substantive output: 2025-01-31 — Fixed date / explicit year-end in creating act.</v>
      </c>
      <c r="S50" s="20" t="d">
        <v>2025-01-31T00:00:00.000Z</v>
      </c>
      <c r="T50" s="20" t="d">
        <v>2025-01-31T00:00:00.000Z</v>
      </c>
      <c r="U50" s="3" t="str">
        <v>Fixed date / explicit year-end in creating act.</v>
      </c>
      <c r="V50" s="20"/>
      <c r="W50" s="21" t="str">
        <f>IF(AND(C50="Em atraso",ISNUMBER(V50)),MAX(0,Dashboard!$E$4-V50),"")</f>
      </c>
      <c r="X50" s="3" t="str">
        <v>Unpaid; see the original clause for the scope of the exclusion.</v>
      </c>
      <c r="Y50" s="3" t="str">
        <v>9 - A participação dos membros do Grupo de Trabalho ou daqueles que com este colaborem, não confere o direito ao pagamento de qualquer remuneração, compensação ou assunção de encargos adicionais.</v>
      </c>
      <c r="Z50" s="3" t="str">
        <v>Delivery is officially confirmed, but the handover date is not public; timeliness cannot be classified.</v>
      </c>
      <c r="AA50" s="3" t="str">
        <v>https://diariodarepublica.pt/dr/detalhe/despacho/14013-a-2024-897796612
https://diariodarepublica.pt/dr/detalhe/resolucao-conselho-ministros/181-2026-1171535220</v>
      </c>
      <c r="AB50" s="22" t="str">
        <v>Open evidence</v>
      </c>
      <c r="AC50" s="20"/>
      <c r="AD50" s="3" t="str">
        <v>RCM 181/2026 expressly acknowledges presentation of the group’s Plano TERRA; handover date not stated.</v>
      </c>
      <c r="AE50" s="3" t="str">
        <v>Waste-management governance strategy approved by RCM 181/2026.</v>
      </c>
      <c r="AF50" s="3" t="str">
        <v>https://diariodarepublica.pt/dr/detalhe/resolucao-conselho-ministros/181-2026-1171535220</v>
      </c>
      <c r="AG50" s="3" t="str"/>
      <c r="AH50" s="3" t="str"/>
      <c r="AI50" s="3" t="str">
        <v>DR full-period singular/plural/technical phrase inventories; later acts reviewed. Outcome search: "grupo de trabalho" plano emergência aterros resíduos relatório conclusões after:2024-04-01 before:2026-10-11. Domains: portugal.gov.pt, gov.pt, parlamento.pt, diariodarepublica.pt, justica.gov.pt, dgav.pt, icnf.pt, anac.pt, dgeg.gov.pt. Official evidence/limitations recorded in this row.</v>
      </c>
      <c r="AJ50" s="20" t="d">
        <v>2026-10-10T00:00:00.000Z</v>
      </c>
      <c r="AK50" s="3" t="str">
        <v>2024-11-18; 2024-11-22</v>
      </c>
      <c r="AL50" s="3" t="str">
        <v>Day after publication.</v>
      </c>
      <c r="AM50" s="3" t="str">
        <v>Express name / creating-act summary; descriptive source label where no formal name is assigned.</v>
      </c>
      <c r="AN50" s="3" t="str">
        <v>Presidency / Council of Ministers; Environment / Energy; Territorial cohesion</v>
      </c>
      <c r="AO50" s="3" t="str">
        <v>Final report / last specified substantive output</v>
      </c>
      <c r="AP50" s="3" t="str"/>
      <c r="AQ50" s="21" t="str">
        <f>IF(AND(C50="Em atraso",ISNUMBER(D50)),COUNTIFS(Groups!$C$6:$C$127,"Em atraso",Groups!$D$6:$D$127,"&gt;"&amp;D50)+COUNTIFS($C$6:C50,"Em atraso",$D$6:D50,D50),"")</f>
      </c>
      <c r="AR50" s="21" t="n">
        <f>IF(COUNTIF($F$6:F50,F50)=1,1,0)</f>
        <v>1</v>
      </c>
    </row>
    <row r="51" ht="96" customHeight="1">
      <c r="A51" s="3" t="str">
        <v>GT-2024-046</v>
      </c>
      <c r="B51" s="3" t="str">
        <v>Grupo de Trabalho para a coordenação do processo de desenvolvimento do novo modelo de passaporte português</v>
      </c>
      <c r="C51" s="3" t="str">
        <v>Em atraso</v>
      </c>
      <c r="D51" s="21" t="n">
        <f>IF(C51="Em atraso",IF(ISNUMBER(T51),MAX(0,Dashboard!$E$4-T51),""),IF(C51="Concluído com atraso",IF(AND(ISNUMBER(T51),ISNUMBER(AC51)),MAX(0,AC51-T51),""),IF(C51="Concluído no prazo",0,"")))</f>
        <v>102</v>
      </c>
      <c r="E51" s="3" t="str">
        <v>XXIV</v>
      </c>
      <c r="F51" s="3" t="str">
        <v>Despacho n.º 14284/2024</v>
      </c>
      <c r="G51" s="22" t="str">
        <v>Open DR act</v>
      </c>
      <c r="H51" s="20" t="d">
        <v>2024-12-03T00:00:00.000Z</v>
      </c>
      <c r="I51" s="20" t="d">
        <v>2024-11-25T00:00:00.000Z</v>
      </c>
      <c r="J51" s="20" t="d">
        <v>2024-12-04T00:00:00.000Z</v>
      </c>
      <c r="K51" s="3" t="str">
        <v>Presidência do Conselho de Ministros, Negócios Estrangeiros e Justiça - Gabinete do Secretário de Estado das Comunidades Portuguesas, Gabinete do Secretário de Estado da Presidência do Conselho de Ministros e Gabinete da Secretária de Estado da Justiça</v>
      </c>
      <c r="L51" s="3" t="str">
        <v>Secretaria de Estado da Justiça</v>
      </c>
      <c r="M51" s="3" t="str">
        <v>3 - O Grupo de Trabalho, coordenado pela Secretaria de Estado da Justiça, é constituído por:
a) Um representante do membro do Governo responsável pela área da justiça;
b) Um representante do membro do Governo responsável pela área dos negócios estrangeiros;
c) Um representante do membro do Governo responsável pela área da presidência do conselho de ministros;
d) Um representante do Governo Regional dos Açores;
e) Um representante do Governo Regional da Madeira;
f) Um representante do Instituto dos Registos e do Notariado, I. P.;
g) Um representante da Imprensa Nacional-Casa da Moeda, S. A.;
h) Um representante da Direção-Geral dos Assuntos Consulares e das Comunidades Portuguesas;
i) Um representante da Unidade de Coordenação de Fronteiras e Estrangeiros;
j) Um representante da Polícia Judiciária;
k) Um representante do Gabinete Nacional de Segurança;
l) Um representante do Instituto de Gestão Financeira e Equipamentos da Justiça, I. P.
9 - A participação no Grupo de Trabalho e as atividades desenvolvidas pelo mesmo não conferem aqueles que o integram, ou que com ele colaborem, o direito ao pagamento de qualquer remuneração.</v>
      </c>
      <c r="N51" s="3" t="str">
        <v>Justice / Identity</v>
      </c>
      <c r="O51" s="3" t="str">
        <v>Design, develop and implement a more secure Portuguese passport and integrated issuing system, supporting the proposed move from five- to ten-year validity.</v>
      </c>
      <c r="P51" s="3" t="str">
        <v>1 - É criado um grupo de trabalho que tem como missão conceber, desenvolver e implementar o novo modelo do passaporte português, designado por «Grupo de Trabalho para a coordenação do processo de desenvolvimento do novo modelo de passaporte português» (Grupo de Trabalho).</v>
      </c>
      <c r="Q51" s="3" t="str">
        <v>1 - É criado um grupo de trabalho que tem como missão conceber, desenvolver e implementar o novo modelo do passaporte português, designado por «Grupo de Trabalho para a coordenação do processo de desenvolvimento do novo modelo de passaporte português» (Grupo de Trabalho).
2 - No âmbito da respetiva missão, o Grupo de Trabalho tem como objetivos:
a) Conceber o design e especificações técnicas e de segurança de um novo modelo de passaporte português;
b) Elaborar uma análise de impacto financeiro;
c) Rever e definir os processos de trabalho e controlo para a requisição, concessão, emissão, entrega, recolha e destruição do passaporte português;
d) Desenvolver, implementar e disponibilizar um sistema integrado de atendimento, gestão e controlo do passaporte português, que, por via eletrónica, permita a consulta e recolha de informação proveniente dos sistemas e das bases de dados da identificação civil e do registo civil, bem como a reutilização dos dados de identificação biográficos e biométricos do cartão de cidadão, indispensáveis à concessão e emissão do passaporte português;
e) Propor as alterações normativas que se reputem necessárias e adequadas, nomeadamente no que respeita a interconexão dos dados entre os diversos sistemas de informação e bases de dados implicados no processo de concessão e emissão do cartão de cidadão e do passaporte português e a desmaterialização e simplificação de procedimentos;
f) Definir um plano de comunicação e divulgação do novo passaporte português, nas suas diversas vertentes.</v>
      </c>
      <c r="R51" s="3" t="str">
        <v>4 - A indicação dos representantes referidos no número anterior, assim como os respetivos suplentes,: 2024-12-08 — 2024-12-03 + 5 calendar days (monitoring convention). If CPA procedural counting applies: 2024-12-10.
10 - O Grupo de Trabalho deve apresentar o planeamento das atividades no prazo máxima de 30 dias úte: 2025-01-16 — 2024-12-03 + 30 working days; anchor excluded, weekends and national statutory holidays excluded.
11 - O Grupo de Trabalho deve apresentar, trimestralmente, um relatório sobre o estado de execução d: date not derivable — No uniquely dated deadline derivable from this clause; cadence or trigger is preserved.
12 - O Grupo de Trabalho deve orientar as suas atividades de modo a ser possível disponibilizar o no: 2026-06-30 — End-of-quarter monitoring benchmark: 2026-06-30; the act specifies a window rather than an exact day.
Final report / last specified substantive output: 2026-06-30 — Fixed date / explicit year-end in creating act.
Activity plan — 30 working days: 2025-01-16 — 2024-12-03 excluded; weekends, 25 December and 1 January excluded. 30th working day = 2025-01-16.
Quarterly progress reports: date not derivable — Quarterly cadence; no first-quarter reporting anchor or due day fixed in the act.</v>
      </c>
      <c r="S51" s="20" t="d">
        <v>2026-06-30T00:00:00.000Z</v>
      </c>
      <c r="T51" s="20" t="d">
        <v>2026-06-30T00:00:00.000Z</v>
      </c>
      <c r="U51" s="3" t="str">
        <v>Fixed date / explicit year-end in creating act.</v>
      </c>
      <c r="V51" s="20"/>
      <c r="W51" s="21" t="str">
        <f>IF(AND(C51="Em atraso",ISNUMBER(V51)),MAX(0,Dashboard!$E$4-V51),"")</f>
      </c>
      <c r="X51" s="3" t="str">
        <v>Unpaid; see the original clause for the scope of the exclusion.</v>
      </c>
      <c r="Y51" s="3" t="str">
        <v>9 - A participação no Grupo de Trabalho e as atividades desenvolvidas pelo mesmo não conferem aqueles que o integram, ou que com ele colaborem, o direito ao pagamento de qualquer remuneração.</v>
      </c>
      <c r="Z51" s="3" t="str">
        <v>No official launch confirmation found; Q2 2026 availability target has passed. 102 days after the conservative end-of-quarter benchmark (30 June). Five-year validity remains in the current consolidated law.</v>
      </c>
      <c r="AA51" s="3" t="str">
        <v>https://diariodarepublica.pt/dr/detalhe/despacho/14284-2024-898695314
https://diariodarepublica.pt/dr/legislacao-consolidada/decreto-lei/2000-34461675-43510175</v>
      </c>
      <c r="AB51" s="22" t="str">
        <v>Open evidence</v>
      </c>
      <c r="AC51" s="20"/>
      <c r="AD51" s="3" t="str">
        <v>No delivery evidence identified.</v>
      </c>
      <c r="AE51" s="3" t="str">
        <v>As checked 10 October 2026, consolidated Article 24 still sets common-passport validity at five years. No official confirmation of launch of the promised new model found.</v>
      </c>
      <c r="AF51" s="3" t="str">
        <v>https://diariodarepublica.pt/dr/legislacao-consolidada/decreto-lei/2000-34461675-43510175</v>
      </c>
      <c r="AG51" s="3" t="str"/>
      <c r="AH51" s="3" t="str">
        <v> The twelve-member list includes DGACCP, not AICEP. Q2 is an availability target window: 1 April–30 June 2026. Plan due 30 working days after publication: 16 January 2025; quarterly progress-report dates have no explicit anchor. A separate government simplification programme had stated Q1 2026; the creating act’s Q2 target is used.</v>
      </c>
      <c r="AI51" s="3" t="str">
        <v>DR full-period singular/plural/technical phrase inventories; later acts reviewed. Outcome search: "grupo de trabalho" novo passaporte português dez anos 2026 relatório conclusões after:2024-04-01 before:2026-10-11. Domains: portugal.gov.pt, gov.pt, parlamento.pt, diariodarepublica.pt, justica.gov.pt, dgav.pt, icnf.pt, anac.pt, dgeg.gov.pt. Official evidence/limitations recorded in this row.</v>
      </c>
      <c r="AJ51" s="20" t="d">
        <v>2026-10-10T00:00:00.000Z</v>
      </c>
      <c r="AK51" s="3" t="str">
        <v>2024-10-28; 2024-11-19; 2024-11-25</v>
      </c>
      <c r="AL51" s="3" t="str">
        <v>Day after publication.</v>
      </c>
      <c r="AM51" s="3" t="str">
        <v>Express name / creating-act summary; descriptive source label where no formal name is assigned.</v>
      </c>
      <c r="AN51" s="3" t="str">
        <v>Presidency / Council of Ministers; Foreign affairs; Justice</v>
      </c>
      <c r="AO51" s="3" t="str">
        <v>Final report / last specified substantive output</v>
      </c>
      <c r="AP51" s="3" t="str">
        <v>Calendar monitoring benchmark; absence of public evidence is not proof of non-delivery.</v>
      </c>
      <c r="AQ51" s="21" t="n">
        <f>IF(AND(C51="Em atraso",ISNUMBER(D51)),COUNTIFS(Groups!$C$6:$C$127,"Em atraso",Groups!$D$6:$D$127,"&gt;"&amp;D51)+COUNTIFS($C$6:C51,"Em atraso",$D$6:D51,D51),"")</f>
        <v>54</v>
      </c>
      <c r="AR51" s="21" t="n">
        <f>IF(COUNTIF($F$6:F51,F51)=1,1,0)</f>
        <v>1</v>
      </c>
    </row>
    <row r="52" ht="96" customHeight="1">
      <c r="A52" s="3" t="str">
        <v>GT-2024-047</v>
      </c>
      <c r="B52" s="3" t="str">
        <v>grupo de trabalho para proceder ao levantamento das empresas do SEE (incluindo as empresas de capitais exclusivamente públicos e as empresas participadas) consideradas estratégicas nos termos acima enunciados</v>
      </c>
      <c r="C52" s="3" t="str">
        <v>Sem informação pública</v>
      </c>
      <c r="D52" s="21" t="str">
        <f>IF(C52="Em atraso",IF(ISNUMBER(T52),MAX(0,Dashboard!$E$4-T52),""),IF(C52="Concluído com atraso",IF(AND(ISNUMBER(T52),ISNUMBER(AC52)),MAX(0,AC52-T52),""),IF(C52="Concluído no prazo",0,"")))</f>
      </c>
      <c r="E52" s="3" t="str">
        <v>XXIV</v>
      </c>
      <c r="F52" s="3" t="str">
        <v>Despacho n.º 14622/2024</v>
      </c>
      <c r="G52" s="22" t="str">
        <v>Open DR act</v>
      </c>
      <c r="H52" s="20" t="d">
        <v>2024-12-11T00:00:00.000Z</v>
      </c>
      <c r="I52" s="20" t="d">
        <v>2024-12-04T00:00:00.000Z</v>
      </c>
      <c r="J52" s="20" t="d">
        <v>2024-12-12T00:00:00.000Z</v>
      </c>
      <c r="K52" s="3" t="str">
        <v>Finanças - Gabinete do Secretário de Estado do Tesouro e das Finanças</v>
      </c>
      <c r="L52" s="3" t="str">
        <v>Dr. João Carlos da Silva Sacadura Pinhão - vice-presidente da PARPÚBLICA - Participações Públicas (SGPS), S. A., que preside;
4 - O elemento que preside ao grupo de trabalho define a periodicidade das reuniões e as datas de realização das mesmas, procedendo à sua convocação, tendo igualmente voto de qualidade, nos termos e para os efeitos do n.º 1 do artigo 33.º do Código do Procedimento Administrativo (CPA).</v>
      </c>
      <c r="M52" s="3" t="str">
        <v>3 - O grupo de trabalho é composto da seguinte forma:
Dr. João Carlos da Silva Sacadura Pinhão - vice-presidente da PARPÚBLICA - Participações Públicas (SGPS), S. A., que preside;
Dr. José Emílio Coutinho Garrido Castel-Branco - técnico da Direção-Geral do Tesouro e Finanças;
Eng.º Paulo Jorge da Costa Almeida Toste - técnico da Unidade Técnica de Acompanhamento e Monitorização do Setor Público Empresarial;
Dr. Nelson Miguel Rodrigues Coelho - adjunto do Gabinete do Ministro de Estado e das Finanças;
Dr. Bruno António Gomes Fernandes - técnico especialista do Gabinete do Secretário de Estado do Tesouro e das Finanças.</v>
      </c>
      <c r="N52" s="3" t="str">
        <v>Finance / State enterprises</v>
      </c>
      <c r="O52" s="3" t="str">
        <v>Identify strategically important state-owned and state-participated companies and produce an assessment report.</v>
      </c>
      <c r="P52" s="3" t="str">
        <v>1 - A criação de um grupo de trabalho para proceder ao levantamento das empresas do SEE (incluindo as empresas de capitais exclusivamente públicos e as empresas participadas) consideradas estratégicas nos termos acima enunciados, excetuando do escopo da análise a Caixa Geral de Depósitos, o grupo Águas de Portugal, a RTP e a Companhia das Lezírias.</v>
      </c>
      <c r="Q52" s="3" t="str">
        <v>1 - A criação de um grupo de trabalho para proceder ao levantamento das empresas do SEE (incluindo as empresas de capitais exclusivamente públicos e as empresas participadas) consideradas estratégicas nos termos acima enunciados, excetuando do escopo da análise a Caixa Geral de Depósitos, o grupo Águas de Portugal, a RTP e a Companhia das Lezírias.</v>
      </c>
      <c r="R52" s="3" t="str">
        <v>4 - O elemento que preside ao grupo de trabalho define a periodicidade das reuniões e as datas de re: date not derivable — No uniquely dated deadline derivable from this clause; cadence or trigger is preserved.
8 - O relatório a elaborar, de acordo com o n.º 2 do presente despacho, deve ser entregue até ao dia: 2025-03-31 — Explicit calendar date in the act.
Final report / last specified substantive output: 2025-03-31 — Fixed date / explicit year-end in creating act.</v>
      </c>
      <c r="S52" s="20" t="d">
        <v>2025-03-31T00:00:00.000Z</v>
      </c>
      <c r="T52" s="20" t="d">
        <v>2025-03-31T00:00:00.000Z</v>
      </c>
      <c r="U52" s="3" t="str">
        <v>Fixed date / explicit year-end in creating act.</v>
      </c>
      <c r="V52" s="20"/>
      <c r="W52" s="21" t="str">
        <f>IF(AND(C52="Em atraso",ISNUMBER(V52)),MAX(0,Dashboard!$E$4-V52),"")</f>
      </c>
      <c r="X52" s="3" t="str">
        <v>Payment terms specified; see original clause.</v>
      </c>
      <c r="Y52" s="3" t="str">
        <v>6 - Os membros renunciam a qualquer a tipo de remuneração pelos trabalhos realizados no âmbito do grupo de trabalho.</v>
      </c>
      <c r="Z52" s="3" t="str">
        <v>Delivery is officially confirmed, but the handover date is not public; timeliness cannot be classified.</v>
      </c>
      <c r="AA52" s="3" t="str">
        <v>https://diariodarepublica.pt/dr/detalhe/despacho/14622-2024-899721530
https://www.etf.gov.pt/relatorios-see
https://www.etf.gov.pt/media/doc/relatorio-GT-SEE.pdf</v>
      </c>
      <c r="AB52" s="22" t="str">
        <v>Open evidence</v>
      </c>
      <c r="AC52" s="20"/>
      <c r="AD52" s="3" t="str">
        <v>Official ETF report is dated 31 March 2025, exactly the deadline; actual handover/receipt date is not stated.</v>
      </c>
      <c r="AE52" s="3" t="str">
        <v>Policy follow-through not independently verified.</v>
      </c>
      <c r="AF52" s="3" t="str"/>
      <c r="AG52" s="3" t="str"/>
      <c r="AH52" s="3" t="str"/>
      <c r="AI52" s="3" t="str">
        <v>DR full-period singular/plural/technical phrase inventories; later acts reviewed. Outcome search: "grupo de trabalho" empresas estratégicas Estado relatório conclusões after:2024-04-01 before:2026-10-11. Domains: portugal.gov.pt, gov.pt, parlamento.pt, diariodarepublica.pt, justica.gov.pt, dgav.pt, icnf.pt, anac.pt, dgeg.gov.pt. Official evidence/limitations recorded in this row.</v>
      </c>
      <c r="AJ52" s="20" t="d">
        <v>2026-10-10T00:00:00.000Z</v>
      </c>
      <c r="AK52" s="3" t="str">
        <v>2024-12-04</v>
      </c>
      <c r="AL52" s="3" t="str">
        <v>Day after publication.</v>
      </c>
      <c r="AM52" s="3" t="str">
        <v>Express name / creating-act summary; descriptive source label where no formal name is assigned.</v>
      </c>
      <c r="AN52" s="3" t="str">
        <v>Finance</v>
      </c>
      <c r="AO52" s="3" t="str">
        <v>Final report / last specified substantive output</v>
      </c>
      <c r="AP52" s="3" t="str"/>
      <c r="AQ52" s="21" t="str">
        <f>IF(AND(C52="Em atraso",ISNUMBER(D52)),COUNTIFS(Groups!$C$6:$C$127,"Em atraso",Groups!$D$6:$D$127,"&gt;"&amp;D52)+COUNTIFS($C$6:C52,"Em atraso",$D$6:D52,D52),"")</f>
      </c>
      <c r="AR52" s="21" t="n">
        <f>IF(COUNTIF($F$6:F52,F52)=1,1,0)</f>
        <v>1</v>
      </c>
    </row>
    <row r="53" ht="96" customHeight="1">
      <c r="A53" s="3" t="str">
        <v>GT-2024-048</v>
      </c>
      <c r="B53" s="3" t="str">
        <v>grupo de trabalho com a missão de elaborar uma proposta relativamente às seguintes matérias:</v>
      </c>
      <c r="C53" s="3" t="str">
        <v>Em atraso</v>
      </c>
      <c r="D53" s="21" t="n">
        <f>IF(C53="Em atraso",IF(ISNUMBER(T53),MAX(0,Dashboard!$E$4-T53),""),IF(C53="Concluído com atraso",IF(AND(ISNUMBER(T53),ISNUMBER(AC53)),MAX(0,AC53-T53),""),IF(C53="Concluído no prazo",0,"")))</f>
        <v>605</v>
      </c>
      <c r="E53" s="3" t="str">
        <v>XXIV</v>
      </c>
      <c r="F53" s="3" t="str">
        <v>Despacho n.º 14758/2024</v>
      </c>
      <c r="G53" s="22" t="str">
        <v>Open DR act</v>
      </c>
      <c r="H53" s="20" t="d">
        <v>2024-12-13T00:00:00.000Z</v>
      </c>
      <c r="I53" s="20" t="d">
        <v>2024-12-09T00:00:00.000Z</v>
      </c>
      <c r="J53" s="20" t="d">
        <v>2024-12-14T00:00:00.000Z</v>
      </c>
      <c r="K53" s="3" t="str">
        <v>Finanças, Administração Interna e Trabalho, Solidariedade e Segurança Social - Gabinete do Ministro de Estado e das Finanças, Gabinete da Ministra da Administração Interna e Gabinete da Ministra do Trabalho, Solidariedade e Segurança Social</v>
      </c>
      <c r="L53" s="3" t="str">
        <v>2 - Que o grupo de trabalho é coordenado pelo representante do Gabinete do Secretário de Estado da Proteção Civil e é composto por um representante de cada uma das seguintes entidades:
4 - Que podem participar no grupo de trabalho representantes de outras entidades, públicas ou privadas, quando tal se afigure necessário e mediante convite da entidade coordenadora.
5 - Caso se afigure pertinente a análise de outras matérias conexas com o objeto deste grupo de trabalho, pode a entidade coordenadora alargar o objeto do mesmo.</v>
      </c>
      <c r="M53" s="3" t="str">
        <v>2 - Que o grupo de trabalho é coordenado pelo representante do Gabinete do Secretário de Estado da Proteção Civil e é composto por um representante de cada uma das seguintes entidades:
a) Gabinete da Secretária de Estado dos Assuntos Fiscais;
b) Gabinete da Secretária de Estado da Administração Pública;
c) Gabinete do Secretário de Estado da Segurança Social;
d) Gabinete do Secretário de Estado do Trabalho;
e) Autoridade Nacional de Emergência e Proteção Civil;
f) Os membros que, nos termos do artigo 19.º, n.º 3, da Lei n.º 45/2019, de 1 de abril, integram o Conselho Nacional de Bombeiros e que têm por atribuição um âmbito que se coaduna com a missão deste grupo de trabalho, designadamente:
i) O presidente da Liga dos Bombeiros Portugueses;
ii) O presidente da Escola Nacional de Bombeiros;
iii) O presidente da Associação Nacional de Bombeiros Profissionais;
iv) O presidente da Associação Portuguesa dos Bombeiros Voluntários.</v>
      </c>
      <c r="N53" s="3" t="str">
        <v>Internal administration / Labour</v>
      </c>
      <c r="O53" s="3" t="str">
        <v>Review firefighters’ careers and benefits and submit reform proposals.</v>
      </c>
      <c r="P53" s="3" t="str">
        <v>1 - A criação de um grupo de trabalho com a missão de elaborar uma proposta relativamente às seguintes matérias:
a) Carreira dos bombeiros integrados de forma profissional nos quadros de pessoal dos corpos de bombeiros das Associações Humanitárias de Bombeiros;
b) Benefícios e regalias dos bombeiros integrados de forma voluntária;
c) A formação de todos os bombeiros integrados de forma voluntária ou profissional dos quadros de pessoal das Associações Humanitárias de Bombeiros.</v>
      </c>
      <c r="Q53" s="3" t="str">
        <v>1 - A criação de um grupo de trabalho com a missão de elaborar uma proposta relativamente às seguintes matérias:
a) Carreira dos bombeiros integrados de forma profissional nos quadros de pessoal dos corpos de bombeiros das Associações Humanitárias de Bombeiros;
b) Benefícios e regalias dos bombeiros integrados de forma voluntária;
c) A formação de todos os bombeiros integrados de forma voluntária ou profissional dos quadros de pessoal das Associações Humanitárias de Bombeiros.
8 - Os membros do grupo de trabalho e participantes convidados não auferem qualquer remuneração ou abono adicional pelo exercício das suas funções.</v>
      </c>
      <c r="R53" s="3" t="str">
        <v>3 - Que as entidades referidas no número anterior indicam ao Secretário de Estado da Proteção Civil,: date not derivable — 5 dias after trigger: anchor not expressly specified; exact date cannot be verified.
6 - Que o grupo de trabalho apresenta ao Secretário de Estado da Proteção Civil um relatório final, : date not derivable — 60 dias after trigger: Actual constitution / start date not independently public.; exact date cannot be verified.
Final report / last specified substantive output: 2025-02-12 — effective 2024-12-14 + 60 calendar days; plain “dias” benchmark. Alternative working-day date: 2025-03-11. Constitution is treated as the creating act’s effective date; later designation of members may move the operational start.</v>
      </c>
      <c r="S53" s="20" t="d">
        <v>2025-02-12T00:00:00.000Z</v>
      </c>
      <c r="T53" s="20" t="d">
        <v>2025-02-12T00:00:00.000Z</v>
      </c>
      <c r="U53" s="3" t="str">
        <v>effective 2024-12-14 + 60 calendar days; plain “dias” benchmark. Alternative working-day date: 2025-03-11. Constitution is treated as the creating act’s effective date; later designation of members may move the operational start.</v>
      </c>
      <c r="V53" s="20" t="d">
        <v>2025-03-11T00:00:00.000Z</v>
      </c>
      <c r="W53" s="21" t="n">
        <f>IF(AND(C53="Em atraso",ISNUMBER(V53)),MAX(0,Dashboard!$E$4-V53),"")</f>
        <v>578</v>
      </c>
      <c r="X53" s="3" t="str">
        <v>Unpaid; see the original clause for the scope of the exclusion.</v>
      </c>
      <c r="Y53" s="3" t="str">
        <v>8 - Os membros do grupo de trabalho e participantes convidados não auferem qualquer remuneração ou abono adicional pelo exercício das suas funções.</v>
      </c>
      <c r="Z53" s="3" t="str">
        <v>Controlling benchmark has passed; no evidence of this output’s delivery identified in the reviewed acts and focused official-source outcome search.</v>
      </c>
      <c r="AA53" s="3" t="str">
        <v>https://diariodarepublica.pt/dr/detalhe/despacho/14758-2024-899911211</v>
      </c>
      <c r="AB53" s="22" t="str">
        <v>Open evidence</v>
      </c>
      <c r="AC53" s="20"/>
      <c r="AD53" s="3" t="str">
        <v>No delivery evidence identified.</v>
      </c>
      <c r="AE53" s="3" t="str">
        <v>Not independently verified.</v>
      </c>
      <c r="AF53" s="3" t="str"/>
      <c r="AG53" s="3" t="str"/>
      <c r="AH53" s="3" t="str"/>
      <c r="AI53" s="3" t="str">
        <v>DR full-period singular/plural/technical phrase inventories; later acts reviewed. Outcome search: "grupo de trabalho" estatuto carreiras bombeiros relatório conclusões after:2024-04-01 before:2026-10-11. Domains: portugal.gov.pt, gov.pt, parlamento.pt, diariodarepublica.pt, justica.gov.pt, dgav.pt, icnf.pt, anac.pt, dgeg.gov.pt. Official evidence/limitations recorded in this row.</v>
      </c>
      <c r="AJ53" s="20" t="d">
        <v>2026-10-10T00:00:00.000Z</v>
      </c>
      <c r="AK53" s="3" t="str">
        <v>2024-11-15; 2024-12-09</v>
      </c>
      <c r="AL53" s="3" t="str">
        <v>Day after publication.</v>
      </c>
      <c r="AM53" s="3" t="str">
        <v>Express name / creating-act summary; descriptive source label where no formal name is assigned.</v>
      </c>
      <c r="AN53" s="3" t="str">
        <v>Finance; Internal affairs; Labour / Social security</v>
      </c>
      <c r="AO53" s="3" t="str">
        <v>Final report / last specified substantive output</v>
      </c>
      <c r="AP53" s="3" t="str">
        <v>Calendar monitoring benchmark; absence of public evidence is not proof of non-delivery.</v>
      </c>
      <c r="AQ53" s="21" t="n">
        <f>IF(AND(C53="Em atraso",ISNUMBER(D53)),COUNTIFS(Groups!$C$6:$C$127,"Em atraso",Groups!$D$6:$D$127,"&gt;"&amp;D53)+COUNTIFS($C$6:C53,"Em atraso",$D$6:D53,D53),"")</f>
        <v>9</v>
      </c>
      <c r="AR53" s="21" t="n">
        <f>IF(COUNTIF($F$6:F53,F53)=1,1,0)</f>
        <v>1</v>
      </c>
    </row>
    <row r="54" ht="96" customHeight="1">
      <c r="A54" s="3" t="str">
        <v>GT-2024-049</v>
      </c>
      <c r="B54" s="3" t="str">
        <v>grupo de trabalho com os seguintes objetivos:</v>
      </c>
      <c r="C54" s="3" t="str">
        <v>Em atraso</v>
      </c>
      <c r="D54" s="21" t="n">
        <f>IF(C54="Em atraso",IF(ISNUMBER(T54),MAX(0,Dashboard!$E$4-T54),""),IF(C54="Concluído com atraso",IF(AND(ISNUMBER(T54),ISNUMBER(AC54)),MAX(0,AC54-T54),""),IF(C54="Concluído no prazo",0,"")))</f>
        <v>496</v>
      </c>
      <c r="E54" s="3" t="str">
        <v>XXIV</v>
      </c>
      <c r="F54" s="3" t="str">
        <v>Despacho n.º 14926/2024</v>
      </c>
      <c r="G54" s="22" t="str">
        <v>Open DR act</v>
      </c>
      <c r="H54" s="20" t="d">
        <v>2024-12-18T00:00:00.000Z</v>
      </c>
      <c r="I54" s="20" t="d">
        <v>2024-12-11T00:00:00.000Z</v>
      </c>
      <c r="J54" s="20" t="d">
        <v>2024-12-18T00:00:00.000Z</v>
      </c>
      <c r="K54" s="3" t="str">
        <v>Justiça e Trabalho, Solidariedade e Segurança Social - Gabinete da Secretária de Estado Adjunta e da Justiça e Gabinete da Secretária de Estado da Ação Social e da Inclusão</v>
      </c>
      <c r="L54" s="3" t="str">
        <v>a) Um elemento indicado pelo Gabinete da Secretária de Estado da Ação Social e da Inclusão, que coordena;</v>
      </c>
      <c r="M54" s="3" t="str">
        <v>2 - A composição do grupo de trabalho será a seguinte:
a) Um elemento indicado pelo Gabinete da Secretária de Estado da Ação Social e da Inclusão, que coordena;
b) Um elemento indicado pelo Ministério da Justiça;
c) Um elemento indicado pelo Ministério do Trabalho, Solidariedade e Segurança Social;
d) Um magistrado judicial e um magistrado do Ministério Público;
e) Um elemento indicado pelas organizações representativas do setor social e solidário;
f) Um elemento indicado pela Santa Casa da Misericórdia de Lisboa;
g) Um elemento indicado pela Casa Pia de Lisboa, I. P.;
h) Um elemento indicado pela Comissão Nacional de Promoção dos Direitos e Proteção das Crianças e Jovens.</v>
      </c>
      <c r="N54" s="3" t="str">
        <v>Justice / Social protection / Children</v>
      </c>
      <c r="O54" s="3" t="str">
        <v>Evaluate child-protection commissions, foster-care and adoption arrangements and propose legislative changes.</v>
      </c>
      <c r="P54" s="3" t="str">
        <v>1 - A constituição de um grupo de trabalho com os seguintes objetivos:
a) Proceder à avaliação do sistema de proteção das crianças e jovens em perigo, designadamente ao funcionamento das comissões de proteção de crianças e jovens (CPCJ) e à elaboração das respetivas conclusões;
b) Proceder à avaliação dos regimes jurídicos da adoção, do apadrinhamento civil e do acolhimento familiar, considerando a possibilidade de simplificação de procedimentos e a possibilidade de a família de acolhimento ser considerada elegível na candidatura à adoção;
c) Apresentar as propostas de alteração legislativa que entenda adequadas.</v>
      </c>
      <c r="Q54" s="3" t="str">
        <v>1 - A constituição de um grupo de trabalho com os seguintes objetivos:
a) Proceder à avaliação do sistema de proteção das crianças e jovens em perigo, designadamente ao funcionamento das comissões de proteção de crianças e jovens (CPCJ) e à elaboração das respetivas conclusões;
b) Proceder à avaliação dos regimes jurídicos da adoção, do apadrinhamento civil e do acolhimento familiar, considerando a possibilidade de simplificação de procedimentos e a possibilidade de a família de acolhimento ser considerada elegível na candidatura à adoção;
c) Apresentar as propostas de alteração legislativa que entenda adequadas.
3 - O grupo de trabalho pode solicitar a colaboração ou proceder à consulta de representantes de outras entidades e personalidades de reconhecido mérito, cujo contributo seja considerado relevante para prossecução dos trabalhos e objetivos propostos.
4 - Os membros do grupo de trabalho e os representantes das entidades convidadas a nele participar nos termos do número anterior não auferem qualquer remuneração ou abono pelo exercício de funções.</v>
      </c>
      <c r="R54" s="3" t="str">
        <v>5 - Os representantes das entidades referidas no n.º 3 são designados, no prazo máximo de cinco dias: 2024-12-23 — 2024-12-18 + 5 calendar days (monitoring convention). If CPA procedural counting applies: 2024-12-26.
7 - O grupo de trabalho apresenta, aos membros do Governo das áreas da justiça e do trabalho, solida: 2025-03-01 — Explicit calendar date in the act.
Final report / last specified substantive output: 2025-03-01 — Fixed date / explicit year-end in creating act.
Extended controlling deadline: 2025-06-01 — Formal extension: Despacho n.º 3182/2025, de 12 de março — https://diariodarepublica.pt/dr/detalhe/despacho/3182-2025-910469452</v>
      </c>
      <c r="S54" s="20" t="d">
        <v>2025-03-01T00:00:00.000Z</v>
      </c>
      <c r="T54" s="20" t="d">
        <v>2025-06-01T00:00:00.000Z</v>
      </c>
      <c r="U54" s="3" t="str">
        <v>Formal extension: Despacho n.º 3182/2025, de 12 de março — https://diariodarepublica.pt/dr/detalhe/despacho/3182-2025-910469452</v>
      </c>
      <c r="V54" s="20"/>
      <c r="W54" s="21" t="str">
        <f>IF(AND(C54="Em atraso",ISNUMBER(V54)),MAX(0,Dashboard!$E$4-V54),"")</f>
      </c>
      <c r="X54" s="3" t="str">
        <v>Unpaid; see the original clause for the scope of the exclusion.</v>
      </c>
      <c r="Y54" s="3" t="str">
        <v>4 - Os membros do grupo de trabalho e os representantes das entidades convidadas a nele participar nos termos do número anterior não auferem qualquer remuneração ou abono pelo exercício de funções.</v>
      </c>
      <c r="Z54" s="3" t="str">
        <v>Controlling benchmark has passed; no evidence of this output’s delivery identified in the reviewed acts and focused official-source outcome search.</v>
      </c>
      <c r="AA54" s="3" t="str">
        <v>https://diariodarepublica.pt/dr/detalhe/despacho/14926-2024-900549494
https://diariodarepublica.pt/dr/detalhe/despacho/3182-2025-910469452</v>
      </c>
      <c r="AB54" s="22" t="str">
        <v>Open evidence</v>
      </c>
      <c r="AC54" s="20"/>
      <c r="AD54" s="3" t="str">
        <v>No delivery evidence identified.</v>
      </c>
      <c r="AE54" s="3" t="str">
        <v>Not independently verified.</v>
      </c>
      <c r="AF54" s="3" t="str"/>
      <c r="AG54" s="3" t="str">
        <v>Despacho n.º 3182/2025, de 12 de março — https://diariodarepublica.pt/dr/detalhe/despacho/3182-2025-910469452</v>
      </c>
      <c r="AH54" s="3" t="str"/>
      <c r="AI54" s="3" t="str">
        <v>DR full-period singular/plural/technical phrase inventories; later acts reviewed. Outcome search: "grupo de trabalho" CPCJ adoção apadrinhamento acolhimento familiar relatório conclusões after:2024-04-01 before:2026-10-11. Domains: portugal.gov.pt, gov.pt, parlamento.pt, diariodarepublica.pt, justica.gov.pt, dgav.pt, icnf.pt, anac.pt, dgeg.gov.pt. Official evidence/limitations recorded in this row.</v>
      </c>
      <c r="AJ54" s="20" t="d">
        <v>2026-10-10T00:00:00.000Z</v>
      </c>
      <c r="AK54" s="3" t="str">
        <v>2024-12-11</v>
      </c>
      <c r="AL54" s="3" t="str">
        <v>Publication date.</v>
      </c>
      <c r="AM54" s="3" t="str">
        <v>Express name / creating-act summary; descriptive source label where no formal name is assigned.</v>
      </c>
      <c r="AN54" s="3" t="str">
        <v>Justice; Labour / Social security</v>
      </c>
      <c r="AO54" s="3" t="str">
        <v>Final report / last specified substantive output</v>
      </c>
      <c r="AP54" s="3" t="str">
        <v>Calendar monitoring benchmark; absence of public evidence is not proof of non-delivery.</v>
      </c>
      <c r="AQ54" s="21" t="n">
        <f>IF(AND(C54="Em atraso",ISNUMBER(D54)),COUNTIFS(Groups!$C$6:$C$127,"Em atraso",Groups!$D$6:$D$127,"&gt;"&amp;D54)+COUNTIFS($C$6:C54,"Em atraso",$D$6:D54,D54),"")</f>
        <v>20</v>
      </c>
      <c r="AR54" s="21" t="n">
        <f>IF(COUNTIF($F$6:F54,F54)=1,1,0)</f>
        <v>1</v>
      </c>
    </row>
    <row r="55" ht="96" customHeight="1">
      <c r="A55" s="3" t="str">
        <v>GT-2024-050</v>
      </c>
      <c r="B55" s="3" t="str">
        <v>Grupo de Trabalho para elaboração de uma proposta da Agenda Nacional da Juventude</v>
      </c>
      <c r="C55" s="3" t="str">
        <v>Em atraso</v>
      </c>
      <c r="D55" s="21" t="n">
        <f>IF(C55="Em atraso",IF(ISNUMBER(T55),MAX(0,Dashboard!$E$4-T55),""),IF(C55="Concluído com atraso",IF(AND(ISNUMBER(T55),ISNUMBER(AC55)),MAX(0,AC55-T55),""),IF(C55="Concluído no prazo",0,"")))</f>
        <v>467</v>
      </c>
      <c r="E55" s="3" t="str">
        <v>XXIV</v>
      </c>
      <c r="F55" s="3" t="str">
        <v>Despacho n.º 15073/2024</v>
      </c>
      <c r="G55" s="22" t="str">
        <v>Open DR act</v>
      </c>
      <c r="H55" s="20" t="d">
        <v>2024-12-23T00:00:00.000Z</v>
      </c>
      <c r="I55" s="20" t="d">
        <v>2024-12-06T00:00:00.000Z</v>
      </c>
      <c r="J55" s="20" t="d">
        <v>2024-12-07T00:00:00.000Z</v>
      </c>
      <c r="K55" s="3" t="str">
        <v>Juventude e Modernização - Gabinete da Ministra da Juventude e Modernização</v>
      </c>
      <c r="L55" s="3" t="str">
        <v>a) Dois representantes do membro do Governo responsável pela área governativa da juventude, que coordenam o grupo;</v>
      </c>
      <c r="M55" s="3" t="str">
        <v>3 - O Grupo de Trabalho é constituído em permanência por:
a) Dois representantes do membro do Governo responsável pela área governativa da juventude, que coordenam o grupo;
b) Um representante do Instituto Português do Desporto e Juventude (IPDJ, I. P.);
c) Um representante do Conselho Nacional da Juventude (CNJ);
d) Um representante da Federação Nacional das Associações Juvenis (FNAJ).</v>
      </c>
      <c r="N55" s="3" t="str">
        <v>Youth</v>
      </c>
      <c r="O55" s="3" t="str">
        <v>Prepare a proposal for a National Youth Agenda.</v>
      </c>
      <c r="P55" s="3" t="str">
        <v>1 - É criado o Grupo de Trabalho para elaboração de uma proposta da Agenda Nacional da Juventude.</v>
      </c>
      <c r="Q55" s="3" t="str">
        <v>2 - O Grupo de Trabalho para elaboração da proposta de Agenda Nacional da Juventude tem como objetivos:
a) Auscultar e recolher os contributos de todos os stakeholders com envolvimento em políticas de juventude no processo de construção da Agenda Nacional da Juventude;
b) desenvolver uma proposta da Agenda Nacional da Juventude, que inclua a respetiva estrutura e objetivos, bem como as principais métricas de acompanhamento da mesma, e os mecanismos de implementação, interação, monitorização e comunicação, a entregar ao membro do Governo que tutela a área da juventude.
11 - O Grupo de Trabalho cessa funções com a aprovação da Agenda Nacional da Juventude.</v>
      </c>
      <c r="R55" s="3" t="str">
        <v>4 - Os representantes referidos no número anterior são designados no prazo de 10 dias, a contar da d: 2025-01-02 — 2024-12-23 + 10 calendar days (monitoring convention). If CPA procedural counting applies: 2025-01-08.
7 - O Grupo de Trabalho reúne mensalmente e as respetivas conclusões são vertidas em memorando sumár: date not derivable — No uniquely dated deadline derivable from this clause; cadence or trigger is preserved.
10 - A proposta da Agenda Nacional da Juventude é entregue durante o primeiro semestre de 2025 ao me: 2025-06-30 — End-of-semester monitoring benchmark: 2025-06-30; the act specifies a window rather than an exact day.
Agenda proposal: 2025-06-30 — First half of 2025: 1 January–30 June; proposal required during this interval (clause 10).</v>
      </c>
      <c r="S55" s="20" t="d">
        <v>2025-06-30T00:00:00.000Z</v>
      </c>
      <c r="T55" s="20" t="d">
        <v>2025-06-30T00:00:00.000Z</v>
      </c>
      <c r="U55" s="3" t="str">
        <v>First half of 2025: 1 January–30 June; proposal required during this interval (clause 10).</v>
      </c>
      <c r="V55" s="20"/>
      <c r="W55" s="21" t="str">
        <f>IF(AND(C55="Em atraso",ISNUMBER(V55)),MAX(0,Dashboard!$E$4-V55),"")</f>
      </c>
      <c r="X55" s="3" t="str">
        <v>Unpaid; see the original clause for the scope of the exclusion.</v>
      </c>
      <c r="Y55" s="3" t="str">
        <v>9 - A constituição e funcionamento do Grupo de Trabalho não confere aos seus membros ou a quem com eles colaborar o direito ao pagamento de qualquer remuneração ou compensação.</v>
      </c>
      <c r="Z55" s="3" t="str">
        <v>The first-half-2025 proposal deadline has passed; no official evidence of delivery found in the reviewed acts and focused outcome search.</v>
      </c>
      <c r="AA55" s="3" t="str">
        <v>https://diariodarepublica.pt/dr/detalhe/despacho/15073-2024-901014350</v>
      </c>
      <c r="AB55" s="22" t="str">
        <v>Open evidence</v>
      </c>
      <c r="AC55" s="20"/>
      <c r="AD55" s="3" t="str">
        <v>No delivery evidence identified.</v>
      </c>
      <c r="AE55" s="3" t="str">
        <v>Not independently verified.</v>
      </c>
      <c r="AF55" s="3" t="str"/>
      <c r="AG55" s="3" t="str"/>
      <c r="AH55" s="3" t="str"/>
      <c r="AI55" s="3" t="str">
        <v>DR full-period singular/plural/technical phrase inventories; later acts reviewed. Outcome search: "grupo de trabalho" Agenda Nacional Juventude relatório conclusões after:2024-04-01 before:2026-10-11. Domains: portugal.gov.pt, gov.pt, parlamento.pt, diariodarepublica.pt, justica.gov.pt, dgav.pt, icnf.pt, anac.pt, dgeg.gov.pt. Official evidence/limitations recorded in this row.</v>
      </c>
      <c r="AJ55" s="20" t="d">
        <v>2026-10-10T00:00:00.000Z</v>
      </c>
      <c r="AK55" s="3" t="str">
        <v>2024-12-06</v>
      </c>
      <c r="AL55" s="3" t="str">
        <v>Day after latest signature.</v>
      </c>
      <c r="AM55" s="3" t="str">
        <v>Express name / creating-act summary; descriptive source label where no formal name is assigned.</v>
      </c>
      <c r="AN55" s="3" t="str">
        <v>Youth / Modernisation</v>
      </c>
      <c r="AO55" s="3" t="str">
        <v>Agenda proposal</v>
      </c>
      <c r="AP55" s="3" t="str">
        <v>Calendar monitoring benchmark; absence of public evidence is not proof of non-delivery.</v>
      </c>
      <c r="AQ55" s="21" t="n">
        <f>IF(AND(C55="Em atraso",ISNUMBER(D55)),COUNTIFS(Groups!$C$6:$C$127,"Em atraso",Groups!$D$6:$D$127,"&gt;"&amp;D55)+COUNTIFS($C$6:C55,"Em atraso",$D$6:D55,D55),"")</f>
        <v>22</v>
      </c>
      <c r="AR55" s="21" t="n">
        <f>IF(COUNTIF($F$6:F55,F55)=1,1,0)</f>
        <v>1</v>
      </c>
    </row>
    <row r="56" ht="96" customHeight="1">
      <c r="A56" s="3" t="str">
        <v>GT-2024-051</v>
      </c>
      <c r="B56" s="3" t="str">
        <v>Grupo técnico de trabalho — instalação e início da execução da Estratégia Digital Nacional</v>
      </c>
      <c r="C56" s="3" t="str">
        <v>Em atraso</v>
      </c>
      <c r="D56" s="21" t="n">
        <f>IF(C56="Em atraso",IF(ISNUMBER(T56),MAX(0,Dashboard!$E$4-T56),""),IF(C56="Concluído com atraso",IF(AND(ISNUMBER(T56),ISNUMBER(AC56)),MAX(0,AC56-T56),""),IF(C56="Concluído no prazo",0,"")))</f>
        <v>451</v>
      </c>
      <c r="E56" s="3" t="str">
        <v>XXIV</v>
      </c>
      <c r="F56" s="3" t="str">
        <v>Resolução do Conselho de Ministros n.º 207/2024</v>
      </c>
      <c r="G56" s="22" t="str">
        <v>Open DR act</v>
      </c>
      <c r="H56" s="20" t="d">
        <v>2024-12-30T00:00:00.000Z</v>
      </c>
      <c r="I56" s="20" t="d">
        <v>2024-12-12T00:00:00.000Z</v>
      </c>
      <c r="J56" s="20" t="d">
        <v>2024-12-31T00:00:00.000Z</v>
      </c>
      <c r="K56" s="3" t="str">
        <v>Presidência do Conselho de Ministros</v>
      </c>
      <c r="L56" s="3" t="str">
        <v>Agência para a Modernização Administrativa, I. P. (AMA)</v>
      </c>
      <c r="M56" s="3" t="str">
        <v>7 - Determinar que o grupo técnico de trabalho referido no número anterior é constituído pelo período de 6 meses, e tem a seguinte composição:
a) Um representante da Agência para a Modernização Administrativa, I. P. (AMA, I. P.), que preside;
b) Um representante do Gabinete Nacional de Segurança (GNS);
c) Um representante do IAPMEI - Agência para a Competitividade e Inovação, I. P. (IAPMEI);
d) Um representante da Fundação para a Ciência e Tecnologia (FCT, I. P.);
e) Um representante da Agência Nacional de Inovação, I. P. (ANI, I. P.).</v>
      </c>
      <c r="N56" s="3" t="str">
        <v>Digital</v>
      </c>
      <c r="O56" s="3" t="str">
        <v>Install the national digital strategy and report on the first six months of its implementation.</v>
      </c>
      <c r="P56" s="3" t="str">
        <v>6 - Estabelecer que, no prazo de 15 dias é constituído um grupo técnico de trabalho, nos termos da alínea g) do n.º 7 da Resolução do Conselho de Ministros n.º 94/2024, de 25 de julho, com a responsabilidade de assegurar a instalação e início da execução da EDN.</v>
      </c>
      <c r="Q56" s="3" t="str">
        <v>6 - Estabelecer que, no prazo de 15 dias é constituído um grupo técnico de trabalho, nos termos da alínea g) do n.º 7 da Resolução do Conselho de Ministros n.º 94/2024, de 25 de julho, com a responsabilidade de assegurar a instalação e início da execução da EDN.
8 - Findo o prazo de 6 meses previsto no número anterior, o grupo de trabalho ali mencionado deve apresentar ao membro do Governo responsável pela modernização um relatório dos trabalhos realizados e do ponto de situação da execução da EDN.
10 - Determinar que os relatórios produzidos no âmbito dos trabalhos realizados na EDN são disponibilizados em digital.gov.pt.</v>
      </c>
      <c r="R56" s="3" t="str">
        <v>d) Em 10 objetivos estratégicos a alcançar até 2030, com vista à concretização da visão;: date not derivable — No uniquely dated deadline derivable from this clause; cadence or trigger is preserved.
e) Em 10 metas concretas a atingir até 2030, alinhadas com as metas da «Década Digital 2030», defini: date not derivable — No uniquely dated deadline derivable from this clause; cadence or trigger is preserved.
4 - Para efeitos do número anterior determinar a aprovação do Plano de Ação para 2025-2026, que cons: date not derivable — No uniquely dated deadline derivable from this clause; cadence or trigger is preserved.
6 - Estabelecer que, no prazo de 15 dias é constituído um grupo técnico de trabalho, nos termos da a: date not derivable — 15 dias after trigger: anchor not expressly specified; exact date cannot be verified.
7 - Determinar que o grupo técnico de trabalho referido no número anterior é constituído pelo períod: date not derivable — 6 meses after trigger: anchor not expressly specified; exact date cannot be verified.
8 - Findo o prazo de 6 meses previsto no número anterior, o grupo de trabalho ali mencionado deve ap: date not derivable — 6 meses after trigger: anchor not expressly specified; exact date cannot be verified.
Six-month report from verified constitution: 2025-07-16 — Official CDAP record confirms constitution on 16 January 2025; six calendar months → 16 July 2025.</v>
      </c>
      <c r="S56" s="20" t="d">
        <v>2025-07-16T00:00:00.000Z</v>
      </c>
      <c r="T56" s="20" t="d">
        <v>2025-07-16T00:00:00.000Z</v>
      </c>
      <c r="U56" s="3" t="str">
        <v>Official CDAP record confirms constitution on 16 January 2025; six calendar months → 16 July 2025.</v>
      </c>
      <c r="V56" s="20"/>
      <c r="W56" s="21" t="str">
        <f>IF(AND(C56="Em atraso",ISNUMBER(V56)),MAX(0,Dashboard!$E$4-V56),"")</f>
      </c>
      <c r="X56" s="3" t="str">
        <v>Unpaid; see the original clause for the scope of the exclusion.</v>
      </c>
      <c r="Y56" s="3" t="str">
        <v>11 - Determinar que os membros do grupo técnico de trabalho não auferem qualquer remuneração, incluindo senhas de presença, ou abono.</v>
      </c>
      <c r="Z56" s="3" t="str">
        <v>Actual constitution date is officially confirmed; six-month reporting deadline has passed and no public delivery evidence found.</v>
      </c>
      <c r="AA56" s="3" t="str">
        <v>https://diariodarepublica.pt/dr/detalhe/resolucao-conselho-ministros/207-2024-901536081
https://digital.gov.pt/pt/noticias/quinta-reuniao-comite-estrategico-do-cdap</v>
      </c>
      <c r="AB56" s="22" t="str">
        <v>Open evidence</v>
      </c>
      <c r="AC56" s="20"/>
      <c r="AD56" s="3" t="str">
        <v>No delivery evidence identified.</v>
      </c>
      <c r="AE56" s="3" t="str">
        <v>Not independently verified.</v>
      </c>
      <c r="AF56" s="3" t="str"/>
      <c r="AG56" s="3" t="str"/>
      <c r="AH56" s="3" t="str">
        <v>CDAP constituted the technical group on 16 January 2025, according to its official fifth-meeting account. Report was to be published on digital.gov.pt; no report or formal extension identified in focused search.</v>
      </c>
      <c r="AI56" s="3" t="str">
        <v>DR full-period singular/plural/technical phrase inventories; later acts reviewed. Outcome search: "grupo de trabalho" Estratégia Digital Nacional relatório relatório conclusões after:2024-04-01 before:2026-10-11. Domains: portugal.gov.pt, gov.pt, parlamento.pt, diariodarepublica.pt, justica.gov.pt, dgav.pt, icnf.pt, anac.pt, dgeg.gov.pt. Official evidence/limitations recorded in this row.</v>
      </c>
      <c r="AJ56" s="20" t="d">
        <v>2026-10-10T00:00:00.000Z</v>
      </c>
      <c r="AK56" s="3" t="str">
        <v>2024-12-12</v>
      </c>
      <c r="AL56" s="3" t="str">
        <v>Day after publication.</v>
      </c>
      <c r="AM56" s="3" t="str">
        <v>Express name / creating-act summary; descriptive source label where no formal name is assigned.</v>
      </c>
      <c r="AN56" s="3" t="str">
        <v>Presidency / Council of Ministers</v>
      </c>
      <c r="AO56" s="3" t="str">
        <v>No dated final output / unknown trigger</v>
      </c>
      <c r="AP56" s="3" t="str">
        <v>Calendar monitoring benchmark; absence of public evidence is not proof of non-delivery.</v>
      </c>
      <c r="AQ56" s="21" t="n">
        <f>IF(AND(C56="Em atraso",ISNUMBER(D56)),COUNTIFS(Groups!$C$6:$C$127,"Em atraso",Groups!$D$6:$D$127,"&gt;"&amp;D56)+COUNTIFS($C$6:C56,"Em atraso",$D$6:D56,D56),"")</f>
        <v>24</v>
      </c>
      <c r="AR56" s="21" t="n">
        <f>IF(COUNTIF($F$6:F56,F56)=1,1,0)</f>
        <v>1</v>
      </c>
    </row>
    <row r="57" ht="96" customHeight="1">
      <c r="A57" s="3" t="str">
        <v>GT-2025-001</v>
      </c>
      <c r="B57" s="3" t="str">
        <v>Grupo de Trabalho para a transposição da Diretiva (UE) 2023/1791 do Parlamento Europeu e do Conselho, de 13 de setembro de 2023, relativa à eficiência energética e que altera o Regulamento (UE) 2023/955 (GT-EED e Diretiva EED, respetivamente) para o ordenamento jurídico nacional</v>
      </c>
      <c r="C57" s="3" t="str">
        <v>Em atraso</v>
      </c>
      <c r="D57" s="21" t="n">
        <f>IF(C57="Em atraso",IF(ISNUMBER(T57),MAX(0,Dashboard!$E$4-T57),""),IF(C57="Concluído com atraso",IF(AND(ISNUMBER(T57),ISNUMBER(AC57)),MAX(0,AC57-T57),""),IF(C57="Concluído no prazo",0,"")))</f>
        <v>436</v>
      </c>
      <c r="E57" s="3" t="str">
        <v>XXIV</v>
      </c>
      <c r="F57" s="3" t="str">
        <v>Despacho n.º 382/2025</v>
      </c>
      <c r="G57" s="22" t="str">
        <v>Open DR act</v>
      </c>
      <c r="H57" s="20" t="d">
        <v>2025-01-08T00:00:00.000Z</v>
      </c>
      <c r="I57" s="20" t="d">
        <v>2024-12-27T00:00:00.000Z</v>
      </c>
      <c r="J57" s="20" t="d">
        <v>2025-01-09T00:00:00.000Z</v>
      </c>
      <c r="K57" s="3" t="str">
        <v>Ambiente e Energia - Gabinete da Secretária de Estado da Energia</v>
      </c>
      <c r="L57" s="3" t="str">
        <v>3 - O GT-EED é coordenado pela ADENE - Agência para a Energia e apresenta a seguinte constituição:</v>
      </c>
      <c r="M57" s="3" t="str">
        <v>3 - O GT-EED é coordenado pela ADENE - Agência para a Energia e apresenta a seguinte constituição:
a) Dois representantes do Gabinete da Secretária de Estado da Energia;
b) Dois representantes da ADENE - Agência para a Energia;
c) Dois representantes da DGEG - Direção-Geral de Energia e Geologia;
d) Um representante da ERSE - Entidade Reguladora dos Serviços Energéticos.</v>
      </c>
      <c r="N57" s="3" t="str">
        <v>Energy</v>
      </c>
      <c r="O57" s="3" t="str">
        <v>Prepare the legal and technical measures required to transpose the EU Energy Efficiency Directive.</v>
      </c>
      <c r="P57" s="3" t="str">
        <v>1 - É criado o Grupo de Trabalho para a transposição da Diretiva (UE) 2023/1791 do Parlamento Europeu e do Conselho, de 13 de setembro de 2023, relativa à eficiência energética e que altera o Regulamento (UE) 2023/955 (GT-EED e Diretiva EED, respetivamente) para o ordenamento jurídico nacional.</v>
      </c>
      <c r="Q57" s="3" t="str">
        <v>2 - O GT-EED tem os seguintes objetivos:
a) Identificar as áreas temáticas para a transposição da Diretiva EED;
b) Preparar e apresentar propostas técnicas para a transposição, em articulação com as entidades públicas e privadas com competências nas matérias envolvidas;
c) Apresentar as propostas legislativas e regulamentares, tendo por base as propostas referidas na alínea anterior, até ao dia 31 de julho de 2025;
d) Apoiar o procedimento de consulta pública das propostas referidas na alínea anterior, designadamente, através da análise das pronúncias submetidas e elaboração do respetivo relatório de consulta pública, se aplicável;
e) Atualizar as propostas previstas nas alíneas b) e c) em conformidade com os resultados da consulta pública;
f) Promover a coordenação eficaz, a comunicação aberta e a cooperação entre as diferentes entidades envolvidas, designadamente através de reuniões regulares.
10 - O GT-EED cessa as suas funções com a conclusão do processo de transposição da Diretiva EED para o ordenamento jurídico nacional.</v>
      </c>
      <c r="R57" s="3" t="str">
        <v>c) Apresentar as propostas legislativas e regulamentares, tendo por base as propostas referidas na a: 2025-07-31 — Explicit calendar date in the act.
a) Cronograma dos trabalhos de transposição, até 30 dias após a data de publicação do presente despa: 2025-02-07 — 2025-01-08 + 30 calendar days (monitoring convention). If CPA procedural counting applies: 2025-02-19.
6 - As entidades referidas no n.º 3 indicam os representantes ao coordenador, no prazo de cinco dias: 2025-01-13 — 2025-01-08 + 5 calendar days (monitoring convention). If CPA procedural counting applies: 2025-01-15.
Final report / last specified substantive output: 2025-07-31 — Fixed date / explicit year-end in creating act.</v>
      </c>
      <c r="S57" s="20" t="d">
        <v>2025-07-31T00:00:00.000Z</v>
      </c>
      <c r="T57" s="20" t="d">
        <v>2025-07-31T00:00:00.000Z</v>
      </c>
      <c r="U57" s="3" t="str">
        <v>Fixed date / explicit year-end in creating act.</v>
      </c>
      <c r="V57" s="20"/>
      <c r="W57" s="21" t="str">
        <f>IF(AND(C57="Em atraso",ISNUMBER(V57)),MAX(0,Dashboard!$E$4-V57),"")</f>
      </c>
      <c r="X57" s="3" t="str">
        <v>Unpaid; see the original clause for the scope of the exclusion.</v>
      </c>
      <c r="Y57" s="3" t="str">
        <v>9 - Aos membros do GT-EED não é devido o pagamento de qualquer remuneração ou senha de presença pelo trabalho desenvolvido neste âmbito.</v>
      </c>
      <c r="Z57" s="3" t="str">
        <v>Controlling benchmark has passed; no evidence of this output’s delivery identified in the reviewed acts and focused official-source outcome search.</v>
      </c>
      <c r="AA57" s="3" t="str">
        <v>https://diariodarepublica.pt/dr/detalhe/despacho/382-2025-902718273</v>
      </c>
      <c r="AB57" s="22" t="str">
        <v>Open evidence</v>
      </c>
      <c r="AC57" s="20"/>
      <c r="AD57" s="3" t="str">
        <v>No delivery evidence identified.</v>
      </c>
      <c r="AE57" s="3" t="str">
        <v>Not independently verified.</v>
      </c>
      <c r="AF57" s="3" t="str"/>
      <c r="AG57" s="3" t="str"/>
      <c r="AH57" s="3" t="str"/>
      <c r="AI57" s="3" t="str">
        <v>DR full-period singular/plural/technical phrase inventories; later acts reviewed. Outcome search: "grupo de trabalho" Diretiva Eficiência Energética 2023/1791 relatório conclusões after:2024-04-01 before:2026-10-11. Domains: portugal.gov.pt, gov.pt, parlamento.pt, diariodarepublica.pt, justica.gov.pt, dgav.pt, icnf.pt, anac.pt, dgeg.gov.pt. Official evidence/limitations recorded in this row.</v>
      </c>
      <c r="AJ57" s="20" t="d">
        <v>2026-10-10T00:00:00.000Z</v>
      </c>
      <c r="AK57" s="3" t="str">
        <v>2024-12-27</v>
      </c>
      <c r="AL57" s="3" t="str">
        <v>Day after publication.</v>
      </c>
      <c r="AM57" s="3" t="str">
        <v>Express name / creating-act summary; descriptive source label where no formal name is assigned.</v>
      </c>
      <c r="AN57" s="3" t="str">
        <v>Environment / Energy</v>
      </c>
      <c r="AO57" s="3" t="str">
        <v>Final report / last specified substantive output</v>
      </c>
      <c r="AP57" s="3" t="str">
        <v>Calendar monitoring benchmark; absence of public evidence is not proof of non-delivery.</v>
      </c>
      <c r="AQ57" s="21" t="n">
        <f>IF(AND(C57="Em atraso",ISNUMBER(D57)),COUNTIFS(Groups!$C$6:$C$127,"Em atraso",Groups!$D$6:$D$127,"&gt;"&amp;D57)+COUNTIFS($C$6:C57,"Em atraso",$D$6:D57,D57),"")</f>
        <v>26</v>
      </c>
      <c r="AR57" s="21" t="n">
        <f>IF(COUNTIF($F$6:F57,F57)=1,1,0)</f>
        <v>1</v>
      </c>
    </row>
    <row r="58" ht="96" customHeight="1">
      <c r="A58" s="3" t="str">
        <v>GT-2025-002</v>
      </c>
      <c r="B58" s="3" t="str">
        <v>grupo de trabalho para definir os termos e condições para a aplicação do método do custo adicionado do terreno previsto no n</v>
      </c>
      <c r="C58" s="3" t="str">
        <v>Em atraso</v>
      </c>
      <c r="D58" s="21" t="n">
        <f>IF(C58="Em atraso",IF(ISNUMBER(T58),MAX(0,Dashboard!$E$4-T58),""),IF(C58="Concluído com atraso",IF(AND(ISNUMBER(T58),ISNUMBER(AC58)),MAX(0,AC58-T58),""),IF(C58="Concluído no prazo",0,"")))</f>
        <v>518</v>
      </c>
      <c r="E58" s="3" t="str">
        <v>XXIV</v>
      </c>
      <c r="F58" s="3" t="str">
        <v>Despacho n.º 507/2025</v>
      </c>
      <c r="G58" s="22" t="str">
        <v>Open DR act</v>
      </c>
      <c r="H58" s="20" t="d">
        <v>2025-01-10T00:00:00.000Z</v>
      </c>
      <c r="I58" s="20" t="d">
        <v>2025-01-06T00:00:00.000Z</v>
      </c>
      <c r="J58" s="20"/>
      <c r="K58" s="3" t="str">
        <v>Finanças - Gabinete do Ministro de Estado e das Finanças</v>
      </c>
      <c r="L58" s="3" t="str">
        <v>a) Juíza conselheira Dulce Manuel da Conceição Neto, que preside;</v>
      </c>
      <c r="M58" s="3" t="str">
        <v>2 - O grupo de trabalho é constituído por:
a) Juíza conselheira Dulce Manuel da Conceição Neto, que preside;
b) Dr. Luís Adriano Gonçalves Máximo, técnico especialista do Gabinete da Secretária de Estado dos Assuntos Fiscais, que assegura as funções de secretário técnico;
c) Dois representantes da Autoridade Tributária e Aduaneira;
d) Um representante da Agência Portuguesa do Ambiente;
e) Um representante dos organismos representativos dos avaliadores;
f) Um representante Laboratório Nacional de Energia e Geologia, I. P.;
g) Um representante indicado pelo Laboratório Nacional de Engenharia Civil, I. P.;
3 - O grupo de trabalho integra ainda, como observadores, os quais participam nas reuniões plenárias:
a) Um representante da Associação Nacional de Municípios Portugueses;
b) Um representante da Associação Portuguesa de Energias Renováveis.</v>
      </c>
      <c r="N58" s="3" t="str">
        <v>Finance / Tax</v>
      </c>
      <c r="O58" s="3" t="str">
        <v>Define rules for property-tax valuation using the land-plus-cost method, particularly for dams and power stations.</v>
      </c>
      <c r="P58" s="3" t="str">
        <v>1 - É criado o grupo de trabalho para definir os termos e condições para a aplicação do método do custo adicionado do terreno previsto no n.º 2 do artigo 46.º do Código do IMI, designadamente às barragens e aos centros eletroprodutores.</v>
      </c>
      <c r="Q58" s="3" t="str">
        <v>1 - É criado o grupo de trabalho para definir os termos e condições para a aplicação do método do custo adicionado do terreno previsto no n.º 2 do artigo 46.º do Código do IMI, designadamente às barragens e aos centros eletroprodutores.</v>
      </c>
      <c r="R58" s="3" t="str">
        <v>7 - As recomendações referidas no n.º 4 são apresentadas ao Governo no prazo de quatro meses contado: 2025-05-10 — 2025-01-10 + 4 meses by calendar anniversary, end-of-month capped if necessary.
Final report / last specified substantive output: 2025-05-10 — published 2025-01-10 + 4 calendar months (anniversary rule).</v>
      </c>
      <c r="S58" s="20" t="d">
        <v>2025-05-10T00:00:00.000Z</v>
      </c>
      <c r="T58" s="20" t="d">
        <v>2025-05-10T00:00:00.000Z</v>
      </c>
      <c r="U58" s="3" t="str">
        <v>published 2025-01-10 + 4 calendar months (anniversary rule).</v>
      </c>
      <c r="V58" s="20"/>
      <c r="W58" s="21" t="str">
        <f>IF(AND(C58="Em atraso",ISNUMBER(V58)),MAX(0,Dashboard!$E$4-V58),"")</f>
      </c>
      <c r="X58" s="3" t="str">
        <v>Payment terms specified; see original clause.</v>
      </c>
      <c r="Y58" s="3" t="str">
        <v>5 - Os membros do grupo de trabalho renunciam a qualquer a tipo de remuneração pelos trabalhos realizados nesse âmbito.</v>
      </c>
      <c r="Z58" s="3" t="str">
        <v>Controlling benchmark has passed; no evidence of this output’s delivery identified in the reviewed acts and focused official-source outcome search.</v>
      </c>
      <c r="AA58" s="3" t="str">
        <v>https://diariodarepublica.pt/dr/detalhe/despacho/507-2025-902932710</v>
      </c>
      <c r="AB58" s="22" t="str">
        <v>Open evidence</v>
      </c>
      <c r="AC58" s="20"/>
      <c r="AD58" s="3" t="str">
        <v>No delivery evidence identified.</v>
      </c>
      <c r="AE58" s="3" t="str">
        <v>Not independently verified.</v>
      </c>
      <c r="AF58" s="3" t="str"/>
      <c r="AG58" s="3" t="str"/>
      <c r="AH58" s="3" t="str"/>
      <c r="AI58" s="3" t="str">
        <v>DR full-period singular/plural/technical phrase inventories; later acts reviewed. Outcome search: "grupo de trabalho" IMI barragens método custo adicionado terreno relatório conclusões after:2024-04-01 before:2026-10-11. Domains: portugal.gov.pt, gov.pt, parlamento.pt, diariodarepublica.pt, justica.gov.pt, dgav.pt, icnf.pt, anac.pt, dgeg.gov.pt. Official evidence/limitations recorded in this row.</v>
      </c>
      <c r="AJ58" s="20" t="d">
        <v>2026-10-10T00:00:00.000Z</v>
      </c>
      <c r="AK58" s="3" t="str">
        <v>2025-01-06</v>
      </c>
      <c r="AL58" s="3" t="str">
        <v>Not specified in act; no statutory default inferred.</v>
      </c>
      <c r="AM58" s="3" t="str">
        <v>Express name / creating-act summary; descriptive source label where no formal name is assigned.</v>
      </c>
      <c r="AN58" s="3" t="str">
        <v>Finance</v>
      </c>
      <c r="AO58" s="3" t="str">
        <v>Final report / last specified substantive output</v>
      </c>
      <c r="AP58" s="3" t="str">
        <v>Calendar monitoring benchmark; absence of public evidence is not proof of non-delivery.</v>
      </c>
      <c r="AQ58" s="21" t="n">
        <f>IF(AND(C58="Em atraso",ISNUMBER(D58)),COUNTIFS(Groups!$C$6:$C$127,"Em atraso",Groups!$D$6:$D$127,"&gt;"&amp;D58)+COUNTIFS($C$6:C58,"Em atraso",$D$6:D58,D58),"")</f>
        <v>15</v>
      </c>
      <c r="AR58" s="21" t="n">
        <f>IF(COUNTIF($F$6:F58,F58)=1,1,0)</f>
        <v>1</v>
      </c>
    </row>
    <row r="59" ht="96" customHeight="1">
      <c r="A59" s="3" t="str">
        <v>GT-2025-003</v>
      </c>
      <c r="B59" s="3" t="str">
        <v>Grupo de Trabalho de Redução do Desperdício no Serviço Nacional de Saúde (GTRD-SNS), com enfoque nas áreas em que existe apuramento de despesa pelo Centro de Controlo e Monitorização do Serviço Nacional de Saúde (SNS), na farmácia hospitalar e no transporte de doentes não urgentes, sem prejuízo das atribuições acometidas às instituições da área governativa da saúde</v>
      </c>
      <c r="C59" s="3" t="str">
        <v>Em atraso</v>
      </c>
      <c r="D59" s="21" t="n">
        <f>IF(C59="Em atraso",IF(ISNUMBER(T59),MAX(0,Dashboard!$E$4-T59),""),IF(C59="Concluído com atraso",IF(AND(ISNUMBER(T59),ISNUMBER(AC59)),MAX(0,AC59-T59),""),IF(C59="Concluído no prazo",0,"")))</f>
        <v>445</v>
      </c>
      <c r="E59" s="3" t="str">
        <v>XXIV</v>
      </c>
      <c r="F59" s="3" t="str">
        <v>Despacho n.º 986/2025</v>
      </c>
      <c r="G59" s="22" t="str">
        <v>Open DR act</v>
      </c>
      <c r="H59" s="20" t="d">
        <v>2025-01-22T00:00:00.000Z</v>
      </c>
      <c r="I59" s="20" t="d">
        <v>2025-01-16T00:00:00.000Z</v>
      </c>
      <c r="J59" s="20" t="d">
        <v>2025-01-23T00:00:00.000Z</v>
      </c>
      <c r="K59" s="3" t="str">
        <v>Saúde - Gabinete da Secretária de Estado da Gestão da Saúde</v>
      </c>
      <c r="L59" s="3" t="str">
        <v>a) Joaquim Carlos de Oliveira Pinto Rodrigues, diretor de Auditoria, Prevenção da Fraude, Conformidade e Segurança da Informação da SPMS - Serviços Partilhados do Ministério da Saúde, E. P. E., que coordena do ponto de vista operacional;</v>
      </c>
      <c r="M59" s="3" t="str">
        <v>4 - O GTRD-SNS é constituído por:
a) Joaquim Carlos de Oliveira Pinto Rodrigues, diretor de Auditoria, Prevenção da Fraude, Conformidade e Segurança da Informação da SPMS - Serviços Partilhados do Ministério da Saúde, E. P. E., que coordena do ponto de vista operacional;
b) Andreia Sofia Furtado de Almeida, técnica especialista do meu Gabinete;
c) João Pedro Ribeiro da Silva Barbosa Carvalho, técnico especialista do Gabinete da Secretária de Estado da Saúde;
d) Maria Manuela Rolim Mateus Carvalho Rocha, especialista de informática da Unidade de Auditoria e Prevenção da Fraude da SPMS - Serviços Partilhados do Ministério da Saúde, E. P. E.;
e) Carlos Manuel Mangas Catarino Galamba de Oliveira, vice-presidente do conselho diretivo da Administração Central do Sistema de Saúde, I. P.;
f) Isaura Sofia Pinto Vieira, coordenadora da Unidade de Gestão de Contratos e Monitorização da Conta do Medicamento e Dispositivos Médicos da Administração Central do Sistema de Saúde, I. P.;
g) Nadine de Jesus Pinto Ribeiro Ferrão Gonçalves, coordenadora da Unidade de Gestão do Medicamento e outras Tecnologias de Saúde da Direção Executiva do Serviço Nacional de Saúde, I. P.;</v>
      </c>
      <c r="N59" s="3" t="str">
        <v>Health</v>
      </c>
      <c r="O59" s="3" t="str">
        <v>Identify and reduce inefficient spending in the SNS, including hospital medicines and non-emergency patient transport.</v>
      </c>
      <c r="P59" s="3" t="str">
        <v>1 - É criado o Grupo de Trabalho de Redução do Desperdício no Serviço Nacional de Saúde (GTRD-SNS), com enfoque nas áreas em que existe apuramento de despesa pelo Centro de Controlo e Monitorização do Serviço Nacional de Saúde (SNS), na farmácia hospitalar e no transporte de doentes não urgentes, sem prejuízo das atribuições acometidas às instituições da área governativa da saúde.</v>
      </c>
      <c r="Q59" s="3" t="str">
        <v>1 - É criado o Grupo de Trabalho de Redução do Desperdício no Serviço Nacional de Saúde (GTRD-SNS), com enfoque nas áreas em que existe apuramento de despesa pelo Centro de Controlo e Monitorização do Serviço Nacional de Saúde (SNS), na farmácia hospitalar e no transporte de doentes não urgentes, sem prejuízo das atribuições acometidas às instituições da área governativa da saúde.
2 - São objetivos do GTRD-SNS:
a) Diagnosticar situações de utilização ineficiente de recursos no SNS, quer em ambulatório, quer em meio hospitalar;
b) Definir prioridades para a implementação de medidas que visem a eliminação e/ou mitigação da utilização ineficiente de recursos no SNS, onde se devem incluir estratégias para garantir o efetivo reconhecimento dos descontos e/ou acordos referidos no n.º 6 da circular normativa conjunta n.º 18/2016/ACSS/INFARMED, de 16 de setembro de 2016, tendo ainda por base o disposto na circular normativa n.º 03/2012/UOGF da Administração Central do Sistema de Saúde, I. P.;
c) Definir os requisitos necessários para o desenvolvimento de um sistema de informação, com recurso a ferramentas de business intelligence e de inteligência artificial, com vista a maximizar a eficiência no combate ao desperdício, promovendo uma utilização mais eficaz dos recursos públicos de saúde;
d) Propor a uniformização de procedimentos e de mecanismos de controlo interno entre entidades do SNS;
e) Propor um modelo de governação, onde se incluem os necessários mecanismos de articulação interinstitucional, com vista à redução do desperdício no SNS.
6 - O GTRD-SNS pode solicitar a colaboração de outros profissionais que se considerem necessários para a boa prossecução dos seus objetivos, nomeadamente os monitores da prescrição médica - MPM.
8 - Deve ser concedida dispensa aos profissionais que integram o GTRD-SNS nas horas em que as tarefas a seu cargo os obriguem a ausentar-se dos respetivos locais de trabalho.
11 - O GTRD-SNS deve apresentar-me:
a) Até ao final dos primeiros 45 dias de mandato, um relatório a que corresponda o resultado do objetivo referido na alínea a) do n.º 2;
b) No prazo máximo de 60 dias de mandato, um relatório a que corresponda o resultado do objetivo referido na alínea b) do n.º 2;
c) No prazo máximo de 180 dias, a contar da entrada em vigor do presente despacho, um relatório final, que deve incluir uma resposta aos objetivos referidos nas alíneas c) a e) do n.º 2.</v>
      </c>
      <c r="R59" s="3" t="str">
        <v>10 - O mandato do GTRD-SNS tem a duração de 180 dias, a contar da entrada em vigor do presente despa: 2025-07-22 — 2025-01-23 + 180 calendar days (monitoring convention). If CPA procedural counting applies: 2025-10-10.
a) Até ao final dos primeiros 45 dias de mandato, um relatório a que corresponda o resultado do obje: 2025-03-09 — 2025-01-23 + 45 calendar days (monitoring convention). If CPA procedural counting applies: 2025-03-27.
b) No prazo máximo de 60 dias de mandato, um relatório a que corresponda o resultado do objetivo ref: 2025-03-24 — 2025-01-23 + 60 calendar days (monitoring convention). If CPA procedural counting applies: 2025-04-17.
c) No prazo máximo de 180 dias, a contar da entrada em vigor do presente despacho, um relatório fina: 2025-07-22 — 2025-01-23 + 180 calendar days (monitoring convention). If CPA procedural counting applies: 2025-10-10.
Final report / last specified substantive output: 2025-07-22 — effective 2025-01-23 + 180 calendar days; plain “dias” benchmark. Alternative working-day date: 2025-10-10.</v>
      </c>
      <c r="S59" s="20" t="d">
        <v>2025-07-22T00:00:00.000Z</v>
      </c>
      <c r="T59" s="20" t="d">
        <v>2025-07-22T00:00:00.000Z</v>
      </c>
      <c r="U59" s="3" t="str">
        <v>effective 2025-01-23 + 180 calendar days; plain “dias” benchmark. Alternative working-day date: 2025-10-10.</v>
      </c>
      <c r="V59" s="20" t="d">
        <v>2025-10-10T00:00:00.000Z</v>
      </c>
      <c r="W59" s="21" t="n">
        <f>IF(AND(C59="Em atraso",ISNUMBER(V59)),MAX(0,Dashboard!$E$4-V59),"")</f>
        <v>365</v>
      </c>
      <c r="X59" s="3" t="str">
        <v>Unpaid group participation; expense/allowance terms are stated in the original clause.</v>
      </c>
      <c r="Y59" s="3" t="str">
        <v>7 - Aos membros do GTRD-SNS e aos colaboradores referidos no número anterior não é devido o pagamento de qualquer remuneração ou abono pelo trabalho desenvolvido, sem prejuízo de eventuais encargos relativos a despesas de deslocação e ajudas de custo, nos termos da legislação em vigor, serem suportados pelos respetivos locais de origem.</v>
      </c>
      <c r="Z59" s="3" t="str">
        <v>Controlling benchmark has passed; no evidence of this output’s delivery identified in the reviewed acts and focused official-source outcome search.</v>
      </c>
      <c r="AA59" s="3" t="str">
        <v>https://diariodarepublica.pt/dr/detalhe/despacho/986-2025-904227444</v>
      </c>
      <c r="AB59" s="22" t="str">
        <v>Open evidence</v>
      </c>
      <c r="AC59" s="20"/>
      <c r="AD59" s="3" t="str">
        <v>No delivery evidence identified.</v>
      </c>
      <c r="AE59" s="3" t="str">
        <v>Not independently verified.</v>
      </c>
      <c r="AF59" s="3" t="str"/>
      <c r="AG59" s="3" t="str"/>
      <c r="AH59" s="3" t="str">
        <v> The act has no concise formal name; the label follows its Portuguese creating clause/summary.</v>
      </c>
      <c r="AI59" s="3" t="str">
        <v>DR full-period singular/plural/technical phrase inventories; later acts reviewed. Outcome search: "grupo de trabalho" despesa SNS medicamentos transporte desperdício relatório conclusões after:2024-04-01 before:2026-10-11. Domains: portugal.gov.pt, gov.pt, parlamento.pt, diariodarepublica.pt, justica.gov.pt, dgav.pt, icnf.pt, anac.pt, dgeg.gov.pt. Official evidence/limitations recorded in this row.</v>
      </c>
      <c r="AJ59" s="20" t="d">
        <v>2026-10-10T00:00:00.000Z</v>
      </c>
      <c r="AK59" s="3" t="str">
        <v>2025-01-16</v>
      </c>
      <c r="AL59" s="3" t="str">
        <v>Day after publication.</v>
      </c>
      <c r="AM59" s="3" t="str">
        <v>Express name / creating-act summary; descriptive source label where no formal name is assigned.</v>
      </c>
      <c r="AN59" s="3" t="str">
        <v>Health</v>
      </c>
      <c r="AO59" s="3" t="str">
        <v>Final report / last specified substantive output</v>
      </c>
      <c r="AP59" s="3" t="str">
        <v>Calendar monitoring benchmark; absence of public evidence is not proof of non-delivery.</v>
      </c>
      <c r="AQ59" s="21" t="n">
        <f>IF(AND(C59="Em atraso",ISNUMBER(D59)),COUNTIFS(Groups!$C$6:$C$127,"Em atraso",Groups!$D$6:$D$127,"&gt;"&amp;D59)+COUNTIFS($C$6:C59,"Em atraso",$D$6:D59,D59),"")</f>
        <v>25</v>
      </c>
      <c r="AR59" s="21" t="n">
        <f>IF(COUNTIF($F$6:F59,F59)=1,1,0)</f>
        <v>1</v>
      </c>
    </row>
    <row r="60" ht="96" customHeight="1">
      <c r="A60" s="3" t="str">
        <v>GT-2025-004</v>
      </c>
      <c r="B60" s="3" t="str">
        <v>grupo de trabalho para a otimização logística e aduaneira dos portos de Lisboa e de Setúbal</v>
      </c>
      <c r="C60" s="3" t="str">
        <v>Sem informação pública</v>
      </c>
      <c r="D60" s="21" t="str">
        <f>IF(C60="Em atraso",IF(ISNUMBER(T60),MAX(0,Dashboard!$E$4-T60),""),IF(C60="Concluído com atraso",IF(AND(ISNUMBER(T60),ISNUMBER(AC60)),MAX(0,AC60-T60),""),IF(C60="Concluído no prazo",0,"")))</f>
      </c>
      <c r="E60" s="3" t="str">
        <v>XXIV</v>
      </c>
      <c r="F60" s="3" t="str">
        <v>Despacho n.º 1116/2025</v>
      </c>
      <c r="G60" s="22" t="str">
        <v>Open DR act</v>
      </c>
      <c r="H60" s="20" t="d">
        <v>2025-01-24T00:00:00.000Z</v>
      </c>
      <c r="I60" s="20" t="d">
        <v>2025-01-21T00:00:00.000Z</v>
      </c>
      <c r="J60" s="20" t="d">
        <v>2025-01-25T00:00:00.000Z</v>
      </c>
      <c r="K60" s="3" t="str">
        <v>Finanças e Infraestruturas e Habitação - Gabinete da Secretária de Estado dos Assuntos Fiscais e Gabinete do Secretário de Estado das Infraestruturas</v>
      </c>
      <c r="L60" s="3" t="str">
        <v>a) Um representante das Administrações do Porto de Lisboa, S. A. (APL), e dos Portos de Setúbal e Sesimbra, S. A. (APSS), que coordena;
7 - O apoio administrativo e logístico ao grupo de trabalho é assegurado pela APL e pela APSS, conforme determinado pelo coordenador do grupo de trabalho.
8 - Caso se justifique, o grupo de trabalho pode reunir em subgrupo com os representantes que o coordenador designe para o efeito, visando a prossecução dos objetivos constantes do n.º 2, relativamente a cada porto.</v>
      </c>
      <c r="M60" s="3" t="str">
        <v>4 - O grupo de trabalho é composto por:
a) Um representante das Administrações do Porto de Lisboa, S. A. (APL), e dos Portos de Setúbal e Sesimbra, S. A. (APSS), que coordena;
b) Três representantes da Autoridade Tributária e Aduaneira, respetivamente dos serviços centrais, da Alfândega Marítima de Lisboa e da Alfândega de Setúbal;
c) Um representante da Associação dos Agentes de Navegação e Empresas Operadoras Portuárias;
d) Dois representantes das comunidades portuárias, respetivamente de cada porto;
e) Um representante de cada um dos principais terminais portuários de serviço público;
f) Um representante da Ordem do Despachantes Oficiais;
g) Observadores dos Gabinetes da Secretária de Estado dos Assuntos Fiscais e do Secretário de Estado das Infraestruturas, com a missão de assegurar a coordenação interministerial e o alinhamento das políticas setoriais.</v>
      </c>
      <c r="N60" s="3" t="str">
        <v>Transport / Customs</v>
      </c>
      <c r="O60" s="3" t="str">
        <v>Improve customs clearance, direct unloading and logistics at the ports of Lisbon and Setúbal.</v>
      </c>
      <c r="P60" s="3" t="str">
        <v>1 - É criado um grupo de trabalho para a otimização logística e aduaneira dos portos de Lisboa e de Setúbal com a missão de avaliar, analisar e propor melhorias nos processos de desalfandegamento, descarga direta de mercadorias e operações logísticas, com foco na competitividade e eficiência destes portos.</v>
      </c>
      <c r="Q60" s="3" t="str">
        <v>1 - É criado um grupo de trabalho para a otimização logística e aduaneira dos portos de Lisboa e de Setúbal com a missão de avaliar, analisar e propor melhorias nos processos de desalfandegamento, descarga direta de mercadorias e operações logísticas, com foco na competitividade e eficiência destes portos.
2 - O grupo de trabalho tem como objetivo otimizar o fluxo de carga e reforçar a eficácia de fiscalização e operacional de cada porto, assegurando a implementação de práticas que respondam às necessidades específicas de cada infraestrutura e das autoridades, e que contribuam para a atratividade e o fortalecimento da posição dos portos portugueses no contexto internacional.
8 - Caso se justifique, o grupo de trabalho pode reunir em subgrupo com os representantes que o coordenador designe para o efeito, visando a prossecução dos objetivos constantes do n.º 2, relativamente a cada porto.
9 - Os membros do grupo de trabalho não auferem qualquer remuneração ou abono pelo exercício das suas funções.</v>
      </c>
      <c r="R60" s="3" t="str">
        <v>5 - Os representantes de cada entidade são designados no prazo máximo de 15 dias a contar da data de: 2025-02-08 — 2025-01-24 + 15 calendar days (monitoring convention). If CPA procedural counting applies: 2025-02-14.
6 - No prazo máximo de 60 dias úteis, o grupo de trabalho apresenta à Secretária de Estado dos Assun: date not derivable — 60 dias úteis after trigger: anchor not expressly specified; exact date cannot be verified.
Final report / last specified substantive output: 2025-04-21 — 60 working days from effective date 2025-01-25, assumed anchor; clause does not expressly give start date.</v>
      </c>
      <c r="S60" s="20" t="d">
        <v>2025-04-21T00:00:00.000Z</v>
      </c>
      <c r="T60" s="20" t="d">
        <v>2025-04-21T00:00:00.000Z</v>
      </c>
      <c r="U60" s="3" t="str">
        <v>60 working days from effective date 2025-01-25, assumed anchor; clause does not expressly give start date.</v>
      </c>
      <c r="V60" s="20"/>
      <c r="W60" s="21" t="str">
        <f>IF(AND(C60="Em atraso",ISNUMBER(V60)),MAX(0,Dashboard!$E$4-V60),"")</f>
      </c>
      <c r="X60" s="3" t="str">
        <v>Unpaid; see the original clause for the scope of the exclusion.</v>
      </c>
      <c r="Y60" s="3" t="str">
        <v>9 - Os membros do grupo de trabalho não auferem qualquer remuneração ou abono pelo exercício das suas funções.</v>
      </c>
      <c r="Z60" s="3" t="str">
        <v>No dated delivery evidence; an unspecified anchor or plausible alternative counting rule prevents a firm overdue assessment.</v>
      </c>
      <c r="AA60" s="3" t="str">
        <v>https://diariodarepublica.pt/dr/detalhe/despacho/1116-2025-904738434</v>
      </c>
      <c r="AB60" s="22" t="str">
        <v>Open evidence</v>
      </c>
      <c r="AC60" s="20"/>
      <c r="AD60" s="3" t="str">
        <v>No delivery evidence identified.</v>
      </c>
      <c r="AE60" s="3" t="str">
        <v>Not independently verified.</v>
      </c>
      <c r="AF60" s="3" t="str"/>
      <c r="AG60" s="3" t="str"/>
      <c r="AH60" s="3" t="str">
        <v> The 60-working-day report anchor is not explicit: the calculated date is illustrative, not a verified legal deadline.</v>
      </c>
      <c r="AI60" s="3" t="str">
        <v>DR full-period singular/plural/technical phrase inventories; later acts reviewed. Outcome search: "grupo de trabalho" descarga direta portos Lisboa Setúbal relatório conclusões after:2024-04-01 before:2026-10-11. Domains: portugal.gov.pt, gov.pt, parlamento.pt, diariodarepublica.pt, justica.gov.pt, dgav.pt, icnf.pt, anac.pt, dgeg.gov.pt. Official evidence/limitations recorded in this row.</v>
      </c>
      <c r="AJ60" s="20" t="d">
        <v>2026-10-10T00:00:00.000Z</v>
      </c>
      <c r="AK60" s="3" t="str">
        <v>2025-01-20; 2025-01-21</v>
      </c>
      <c r="AL60" s="3" t="str">
        <v>Day after publication.</v>
      </c>
      <c r="AM60" s="3" t="str">
        <v>Express name / creating-act summary; descriptive source label where no formal name is assigned.</v>
      </c>
      <c r="AN60" s="3" t="str">
        <v>Finance; Infrastructure / Housing</v>
      </c>
      <c r="AO60" s="3" t="str">
        <v>Final report / last specified substantive output</v>
      </c>
      <c r="AP60" s="3" t="str"/>
      <c r="AQ60" s="21" t="str">
        <f>IF(AND(C60="Em atraso",ISNUMBER(D60)),COUNTIFS(Groups!$C$6:$C$127,"Em atraso",Groups!$D$6:$D$127,"&gt;"&amp;D60)+COUNTIFS($C$6:C60,"Em atraso",$D$6:D60,D60),"")</f>
      </c>
      <c r="AR60" s="21" t="n">
        <f>IF(COUNTIF($F$6:F60,F60)=1,1,0)</f>
        <v>1</v>
      </c>
    </row>
    <row r="61" ht="96" customHeight="1">
      <c r="A61" s="3" t="str">
        <v>GT-2025-005</v>
      </c>
      <c r="B61" s="3" t="str">
        <v>grupo de trabalho para elaboração de proposta de Reforma da Formação Profissional, a apresentar ao membro do Governo responsável pela área do trabalho, solidariedade e segurança social, até 30 de setembro de 2025, sem prejuízo de eventual prorrogação</v>
      </c>
      <c r="C61" s="3" t="str">
        <v>Em atraso</v>
      </c>
      <c r="D61" s="21" t="n">
        <f>IF(C61="Em atraso",IF(ISNUMBER(T61),MAX(0,Dashboard!$E$4-T61),""),IF(C61="Concluído com atraso",IF(AND(ISNUMBER(T61),ISNUMBER(AC61)),MAX(0,AC61-T61),""),IF(C61="Concluído no prazo",0,"")))</f>
        <v>375</v>
      </c>
      <c r="E61" s="3" t="str">
        <v>XXIV</v>
      </c>
      <c r="F61" s="3" t="str">
        <v>Despacho n.º 1391/2025</v>
      </c>
      <c r="G61" s="22" t="str">
        <v>Open DR act</v>
      </c>
      <c r="H61" s="20" t="d">
        <v>2025-01-30T00:00:00.000Z</v>
      </c>
      <c r="I61" s="20" t="d">
        <v>2025-01-24T00:00:00.000Z</v>
      </c>
      <c r="J61" s="20" t="d">
        <v>2025-01-30T00:00:00.000Z</v>
      </c>
      <c r="K61" s="3" t="str">
        <v>Trabalho, Solidariedade e Segurança Social - Gabinete do Secretário de Estado do Trabalho</v>
      </c>
      <c r="L61" s="3" t="str">
        <v>a) Dois representantes da Direção-Geral do Emprego e das Relações de Trabalho (DGERT), entidade que coordena;</v>
      </c>
      <c r="M61" s="3" t="str">
        <v>4 - O grupo de trabalho funciona na dependência do Secretário de Estado do Trabalho e tem a seguinte composição:
a) Dois representantes da Direção-Geral do Emprego e das Relações de Trabalho (DGERT), entidade que coordena;
b) Dois representantes do Instituto de Emprego e Formação Profissional, I. P.;
c) Dois representantes da Agência Nacional para a Qualificação e o Ensino Profissional, I. P.;
d) Um representante do Programa Temático Demografia, Qualificações e Inclusão - Pessoas 2030;
e) Um representante do Gabinete de Estratégia e Planeamento do Ministério do Trabalho, Solidariedade e Segurança Social;
f) Um representante do Gabinete do Secretário de Estado de Trabalho, que monitoriza os trabalhos do grupo de trabalho.</v>
      </c>
      <c r="N61" s="3" t="str">
        <v>Labour / Training</v>
      </c>
      <c r="O61" s="3" t="str">
        <v>Diagnose the vocational-training system and propose a modernised legal and institutional framework.</v>
      </c>
      <c r="P61" s="3" t="str">
        <v>1 - É criado o grupo de trabalho para elaboração de proposta de Reforma da Formação Profissional, a apresentar ao membro do Governo responsável pela área do trabalho, solidariedade e segurança social, até 30 de setembro de 2025, sem prejuízo de eventual prorrogação.</v>
      </c>
      <c r="Q61" s="3" t="str">
        <v>2 - O grupo de trabalho tem como missão:
a) Realizar um diagnóstico ao sistema, identificando e avaliando a legislação existente, designadamente a legislação a revogar, a alterar e a regulamentar;
b) Identificar as lacunas e ineficiências do sistema, nomeadamente as áreas de sobreposição ou de omissão nas atribuições e competências de regulação da formação profissional e propor alterações;
c) Realizar uma análise comparada com outros países para identificação de boas práticas;
d) Definir um quadro conceptual sobre formação profissional, estabilizando um glossário comum e mobilizável para fins estatísticos, legislativos e de reporte;
e) Estabelecer normas para a certificação de competências e reconhecimento de qualificações;
f) Definir um quadro de indicadores comuns de monitorização e avaliação da formação profissional;
g) Mapear os sistemas de informação de suporte à formação profissional e propor medidas que garantam a sua interligação operacional e de dados;
h) Definir critérios de planeamento e concertação das redes de formação profissional;
i) Elaborar uma proposta de Regime Jurídico da Formação Profissional, que, designadamente, inclua:
a) Diferentes modalidades e percursos formativos e sua relação com as vias profissionais de ensino e formação;
b) Formas de organização;
c) Formação inicial e contínua de formadores, mediadores e tutores;
d) Formação em contexto de trabalho;
e) Certificação de entidades formadoras;
f) Estatuto do formando;
g) Certificação formal das modalidades formativas com recurso aos instrumentos existentes (SIGO);
h) Financiamento da formação profissional.</v>
      </c>
      <c r="R61" s="3" t="str">
        <v>1 - É criado o grupo de trabalho para elaboração de proposta de Reforma da Formação Profissional, a : 2025-09-30 — Explicit calendar date in the act.
9 - O grupo de trabalho tem natureza temporária e vigora até 31 de outubro de 2025.: 2025-10-31 — Explicit calendar date in the act.
12 - Os representantes das entidades referidas no n.º 4 são designados no prazo máximo de 10 dias ap: 2025-02-09 — 2025-01-30 + 10 calendar days (monitoring convention). If CPA procedural counting applies: 2025-02-13.
13 - O mandato do grupo de trabalho cessa com a apresentação de um relatório, que deve ocorrer até a: date not derivable — No uniquely dated deadline derivable from this clause; cadence or trigger is preserved.
Final report / last specified substantive output: 2025-09-30 — Fixed date / explicit year-end in creating act.</v>
      </c>
      <c r="S61" s="20" t="d">
        <v>2025-09-30T00:00:00.000Z</v>
      </c>
      <c r="T61" s="20" t="d">
        <v>2025-09-30T00:00:00.000Z</v>
      </c>
      <c r="U61" s="3" t="str">
        <v>Fixed date / explicit year-end in creating act.</v>
      </c>
      <c r="V61" s="20"/>
      <c r="W61" s="21" t="str">
        <f>IF(AND(C61="Em atraso",ISNUMBER(V61)),MAX(0,Dashboard!$E$4-V61),"")</f>
      </c>
      <c r="X61" s="3" t="str">
        <v>Unpaid group participation; expense/allowance terms are stated in the original clause.</v>
      </c>
      <c r="Y61" s="3" t="str">
        <v>8 - A participação do grupo de trabalho não confere aos respetivos membros nem a quem com ele colabora o direito a qualquer prestação ao pagamento de qualquer remuneração, independentemente da respetiva natureza, designadamente a título de remuneração, compensação, subsídio, senhas de presença ou ajudas de custo, nem dá lugar à assunção de qualquer encargo adicional.</v>
      </c>
      <c r="Z61" s="3" t="str">
        <v>Controlling benchmark has passed; no evidence of this output’s delivery identified in the reviewed acts and focused official-source outcome search.</v>
      </c>
      <c r="AA61" s="3" t="str">
        <v>https://diariodarepublica.pt/dr/detalhe/despacho/1391-2025-905459892</v>
      </c>
      <c r="AB61" s="22" t="str">
        <v>Open evidence</v>
      </c>
      <c r="AC61" s="20"/>
      <c r="AD61" s="3" t="str">
        <v>No delivery evidence identified.</v>
      </c>
      <c r="AE61" s="3" t="str">
        <v>Not independently verified.</v>
      </c>
      <c r="AF61" s="3" t="str"/>
      <c r="AG61" s="3" t="str"/>
      <c r="AH61" s="3" t="str"/>
      <c r="AI61" s="3" t="str">
        <v>DR full-period singular/plural/technical phrase inventories; later acts reviewed. Outcome search: "grupo de trabalho" reforma formação profissional relatório conclusões after:2024-04-01 before:2026-10-11. Domains: portugal.gov.pt, gov.pt, parlamento.pt, diariodarepublica.pt, justica.gov.pt, dgav.pt, icnf.pt, anac.pt, dgeg.gov.pt. Official evidence/limitations recorded in this row.</v>
      </c>
      <c r="AJ61" s="20" t="d">
        <v>2026-10-10T00:00:00.000Z</v>
      </c>
      <c r="AK61" s="3" t="str">
        <v>2025-01-24</v>
      </c>
      <c r="AL61" s="3" t="str">
        <v>Publication date.</v>
      </c>
      <c r="AM61" s="3" t="str">
        <v>Express name / creating-act summary; descriptive source label where no formal name is assigned.</v>
      </c>
      <c r="AN61" s="3" t="str">
        <v>Labour / Social security</v>
      </c>
      <c r="AO61" s="3" t="str">
        <v>Final report / last specified substantive output</v>
      </c>
      <c r="AP61" s="3" t="str">
        <v>Calendar monitoring benchmark; absence of public evidence is not proof of non-delivery.</v>
      </c>
      <c r="AQ61" s="21" t="n">
        <f>IF(AND(C61="Em atraso",ISNUMBER(D61)),COUNTIFS(Groups!$C$6:$C$127,"Em atraso",Groups!$D$6:$D$127,"&gt;"&amp;D61)+COUNTIFS($C$6:C61,"Em atraso",$D$6:D61,D61),"")</f>
        <v>30</v>
      </c>
      <c r="AR61" s="21" t="n">
        <f>IF(COUNTIF($F$6:F61,F61)=1,1,0)</f>
        <v>1</v>
      </c>
    </row>
    <row r="62" ht="96" customHeight="1">
      <c r="A62" s="3" t="str">
        <v>GT-2025-006</v>
      </c>
      <c r="B62" s="3" t="str">
        <v>grupo de trabalho para propor medidas tendentes à reforma da Segurança Social ― objetivo do grupo de trabalho ― definição de estratégias sustentáveis e medidas concretas para garantir o futuro do sistema de Segurança Social em Portugal</v>
      </c>
      <c r="C62" s="3" t="str">
        <v>Em atraso</v>
      </c>
      <c r="D62" s="21" t="n">
        <f>IF(C62="Em atraso",IF(ISNUMBER(T62),MAX(0,Dashboard!$E$4-T62),""),IF(C62="Concluído com atraso",IF(AND(ISNUMBER(T62),ISNUMBER(AC62)),MAX(0,AC62-T62),""),IF(C62="Concluído no prazo",0,"")))</f>
        <v>102</v>
      </c>
      <c r="E62" s="3" t="str">
        <v>XXIV</v>
      </c>
      <c r="F62" s="3" t="str">
        <v>Despacho n.º 1452/2025</v>
      </c>
      <c r="G62" s="22" t="str">
        <v>Open DR act</v>
      </c>
      <c r="H62" s="20" t="d">
        <v>2025-01-31T00:00:00.000Z</v>
      </c>
      <c r="I62" s="20" t="d">
        <v>2025-01-24T00:00:00.000Z</v>
      </c>
      <c r="J62" s="20" t="d">
        <v>2025-01-30T00:00:00.000Z</v>
      </c>
      <c r="K62" s="3" t="str">
        <v>Trabalho, Solidariedade e Segurança Social - Gabinete da Ministra do Trabalho, Solidariedade e Segurança Social</v>
      </c>
      <c r="L62" s="3" t="str">
        <v>Professor Doutor Jorge Miguel Bravo (Nova IMS-Universidade Nova de Lisboa) que coordena;</v>
      </c>
      <c r="M62" s="3" t="str">
        <v>4 - O grupo de trabalho será constituído pelos seguintes elementos:
Professor Doutor Jorge Miguel Bravo (Nova IMS-Universidade Nova de Lisboa) que coordena;
Mestre Elsa Gomes (técnica especialista do Gabinete da Ministra do Trabalho, Solidariedade e Segurança Social), que exerce as funções de subcoordenação;
Dr.ª Carla Castro (gestora e ex-deputada da Comissão de Trabalho e Segurança Social);
Dr.ª Raquel Andrada (técnica especialista do Gabinete da Senhora Ministra do Trabalho Solidariedade e Segurança Social);
Prof.ª Doutora Joana Vicente (adjunta e economista-chefe do Gabinete do Ministro de Estado e das Finanças);
Dr.ª Fátima Mestre (adjunta do Gabinete do Secretário de Estado do Trabalho);
Dr. Hugo Resina (técnico especialista do Gabinete do Secretário de Estado da Segurança Social);
Prof. Doutor Nuno Miguel Venes e Prof. Doutor Pedro Serrasqueiro (em representação do Instituto de Gestão Financeira da Segurança Social);
Dr. Vasco Costa (em representação da Caixa Geral de Aposentações);
Dr.ª Cristina Lobo Ferreira (representante da Direção-Geral da Segurança Social).</v>
      </c>
      <c r="N62" s="3" t="str">
        <v>Social protection / Pensions</v>
      </c>
      <c r="O62" s="3" t="str">
        <v>Recommend reforms to improve social-security sustainability, pension adequacy and fairness.</v>
      </c>
      <c r="P62" s="3" t="str">
        <v>1 - Criar um grupo de trabalho para a apresentação de medidas tendentes à reforma da Segurança Social com vista a garantir a sustentabilidade do sistema de Segurança Social em Portugal.</v>
      </c>
      <c r="Q62" s="3" t="str">
        <v>2 - Atribuir ao grupo de trabalho os seguintes objetivos:
a) Proceder a uma revisão atuarial da Taxa Contributiva Global do Sistema Previdencial, conforme previsto no artigo 51.º da Lei n.º 110/2009, de 16 de setembro, com a desagregação discriminativa das diversas eventualidades abrangidas;
b) Promover uma análise integrada da sustentabilidade, adequação e equidade intra e intergeracional dos sistemas públicos de proteção social, englobando o Sistema Previdencial, o Regime de Proteção Social Convergente da Caixa Geral de Aposentações e o Sistema de Proteção Social de Cidadania, considerando as diferentes eventualidades cobertas, com uma visão estratégica de longo prazo do Sistema Integrado da Segurança Social;
c) Promover uma análise integrada da sustentabilidade do sistema de pensões englobando o Sistema de Proteção Social de Cidadania e o Sistema Previdencial, com uma visão estratégica a longo prazo do Sistema Integrado da Segurança Social;
d) Promover uma análise da sustentabilidade do Regime de Proteção Social Convergente da Caixa Geral de Aposentações;
e) Definir estratégias e avaliar propostas que garantam a sustentabilidade a longo prazo do sistema de pensões e melhorem a sua adequação e equidade;
f) Desenvolver os regimes complementares de iniciativa coletiva e de iniciativa individual e o regime público de capitalização, oferecendo aos contribuintes uma maior flexibilidade e opções personalizadas, reforçando a poupança e resiliência do sistema;
g) Estudar mecanismos de reforma parcial que facilitem a transição gradual entre a vida ativa e a reforma, avaliando o impacto destas medidas na sustentabilidade financeira do sistema e na adequação das prestações sociais;
h) Reavaliar o regime de reforma antecipada dando prioridade a políticas que incentivem a permanência na vida ativa e aumentem o volume de contribuições, promovendo a sustentabilidade do sistema a médio e longo prazo.
3 - O grupo de trabalho deverá apresentar propostas concretas que permitam a implementação de cada objetivo, assim como identificar os riscos e impactos associados.
8 - O grupo de trabalho inicia funções a 30 de janeiro de 2025, devendo apresentar no prazo de 12 meses um relatório final com as propostas e recomendações, incluindo um plano de execução, indicadores de desempenho e metas específicas para o curto, médio e longo prazo.
9 - Decorridos 6 meses a contar da data de início de funções, deverá o grupo de trabalho apresentar um relatório de progresso, que responda às alíneas f), g) e h). Contudo, em função do progresso dos trabalhos, poderá ser revisto, por acordo entre as partes, o reporte de alguma das alíneas, garantindo maior ajuste com os resultados obtidos até ao momento.</v>
      </c>
      <c r="R62" s="3" t="str">
        <v>b) Promover uma análise integrada da sustentabilidade, adequação e equidade intra e intergeracional : date not derivable — No uniquely dated deadline derivable from this clause; cadence or trigger is preserved.
c) Promover uma análise integrada da sustentabilidade do sistema de pensões englobando o Sistema de : date not derivable — No uniquely dated deadline derivable from this clause; cadence or trigger is preserved.
e) Definir estratégias e avaliar propostas que garantam a sustentabilidade a longo prazo do sistema : date not derivable — No uniquely dated deadline derivable from this clause; cadence or trigger is preserved.
h) Reavaliar o regime de reforma antecipada dando prioridade a políticas que incentivem a permanênci: date not derivable — No uniquely dated deadline derivable from this clause; cadence or trigger is preserved.
8 - O grupo de trabalho inicia funções a 30 de janeiro de 2025, devendo apresentar no prazo de 12 me: 2025-01-30 — 12 meses after trigger: anchor not expressly specified; exact date cannot be verified.
9 - Decorridos 6 meses a contar da data de início de funções, deverá o grupo de trabalho apresentar : date not derivable — 6 meses after trigger: anchor not expressly specified; exact date cannot be verified.
Final report / last specified substantive output: 2026-01-30 — Entry into force 2025-01-30 + 12 calendar months.
Extended controlling deadline: 2026-06-30 — Formal extension: Despacho n.º 5409/2026, de 24 de abril — https://diariodarepublica.pt/dr/detalhe/despacho/5409-2026-1090795689</v>
      </c>
      <c r="S62" s="20" t="d">
        <v>2026-01-30T00:00:00.000Z</v>
      </c>
      <c r="T62" s="20" t="d">
        <v>2026-06-30T00:00:00.000Z</v>
      </c>
      <c r="U62" s="3" t="str">
        <v>Formal extension: Despacho n.º 5409/2026, de 24 de abril — https://diariodarepublica.pt/dr/detalhe/despacho/5409-2026-1090795689</v>
      </c>
      <c r="V62" s="20"/>
      <c r="W62" s="21" t="str">
        <f>IF(AND(C62="Em atraso",ISNUMBER(V62)),MAX(0,Dashboard!$E$4-V62),"")</f>
      </c>
      <c r="X62" s="3" t="str">
        <v>Not specified in the creating act.</v>
      </c>
      <c r="Y62" s="3" t="str">
        <v>Not specified in act.</v>
      </c>
      <c r="Z62" s="3" t="str">
        <v>Controlling benchmark has passed; no evidence of this output’s delivery identified in the reviewed acts and focused official-source outcome search.</v>
      </c>
      <c r="AA62" s="3" t="str">
        <v>https://diariodarepublica.pt/dr/detalhe/despacho/1452-2025-905659876
https://diariodarepublica.pt/dr/detalhe/despacho/5409-2026-1090795689</v>
      </c>
      <c r="AB62" s="22" t="str">
        <v>Open evidence</v>
      </c>
      <c r="AC62" s="20"/>
      <c r="AD62" s="3" t="str">
        <v>No delivery evidence identified.</v>
      </c>
      <c r="AE62" s="3" t="str">
        <v>Not independently verified.</v>
      </c>
      <c r="AF62" s="3" t="str"/>
      <c r="AG62" s="3" t="str">
        <v>Despacho n.º 5409/2026, de 24 de abril — https://diariodarepublica.pt/dr/detalhe/despacho/5409-2026-1090795689</v>
      </c>
      <c r="AH62" s="3" t="str"/>
      <c r="AI62" s="3" t="str">
        <v>DR full-period singular/plural/technical phrase inventories; later acts reviewed. Outcome search: "grupo de trabalho" sustentabilidade segurança social pensões relatório conclusões after:2024-04-01 before:2026-10-11. Domains: portugal.gov.pt, gov.pt, parlamento.pt, diariodarepublica.pt, justica.gov.pt, dgav.pt, icnf.pt, anac.pt, dgeg.gov.pt. Official evidence/limitations recorded in this row.</v>
      </c>
      <c r="AJ62" s="20" t="d">
        <v>2026-10-10T00:00:00.000Z</v>
      </c>
      <c r="AK62" s="3" t="str">
        <v>2025-01-24</v>
      </c>
      <c r="AL62" s="3" t="str">
        <v>Explicit start-of-functions date; entry into force not separately specified.</v>
      </c>
      <c r="AM62" s="3" t="str">
        <v>Express name / creating-act summary; descriptive source label where no formal name is assigned.</v>
      </c>
      <c r="AN62" s="3" t="str">
        <v>Labour / Social security</v>
      </c>
      <c r="AO62" s="3" t="str">
        <v>Final report / last specified substantive output</v>
      </c>
      <c r="AP62" s="3" t="str">
        <v>Calendar monitoring benchmark; absence of public evidence is not proof of non-delivery.</v>
      </c>
      <c r="AQ62" s="21" t="n">
        <f>IF(AND(C62="Em atraso",ISNUMBER(D62)),COUNTIFS(Groups!$C$6:$C$127,"Em atraso",Groups!$D$6:$D$127,"&gt;"&amp;D62)+COUNTIFS($C$6:C62,"Em atraso",$D$6:D62,D62),"")</f>
        <v>55</v>
      </c>
      <c r="AR62" s="21" t="n">
        <f>IF(COUNTIF($F$6:F62,F62)=1,1,0)</f>
        <v>1</v>
      </c>
    </row>
    <row r="63" ht="96" customHeight="1">
      <c r="A63" s="3" t="str">
        <v>GT-2025-007</v>
      </c>
      <c r="B63" s="3" t="str">
        <v>Grupo de Trabalho (GT) para a elaboração do Plano de Ação para Combate à Acidificação do Oceano (PACAO)</v>
      </c>
      <c r="C63" s="3" t="str">
        <v>Em atraso</v>
      </c>
      <c r="D63" s="21" t="n">
        <f>IF(C63="Em atraso",IF(ISNUMBER(T63),MAX(0,Dashboard!$E$4-T63),""),IF(C63="Concluído com atraso",IF(AND(ISNUMBER(T63),ISNUMBER(AC63)),MAX(0,AC63-T63),""),IF(C63="Concluído no prazo",0,"")))</f>
        <v>498</v>
      </c>
      <c r="E63" s="3" t="str">
        <v>XXIV</v>
      </c>
      <c r="F63" s="3" t="str">
        <v>Despacho n.º 1498/2025</v>
      </c>
      <c r="G63" s="22" t="str">
        <v>Open DR act</v>
      </c>
      <c r="H63" s="20" t="d">
        <v>2025-02-03T00:00:00.000Z</v>
      </c>
      <c r="I63" s="20" t="d">
        <v>2025-01-17T00:00:00.000Z</v>
      </c>
      <c r="J63" s="20" t="d">
        <v>2025-01-18T00:00:00.000Z</v>
      </c>
      <c r="K63"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L63" s="3" t="str">
        <v>Direção-Geral de Recursos Naturais, Segurança e Serviços Marítimos (DGRM).</v>
      </c>
      <c r="M63" s="3" t="str">
        <v>4 - O GT PACAO tem a seguinte constituição:
a) Um representante da Direção-Geral de Recursos Naturais, Segurança e Serviços Marítimos (DGRM), a quem cabe a coordenação do Grupo de Trabalho;
b) Um representante do Instituto Português do Mar e da Atmosfera, I. P. (IPMA, I. P.);
c) Um representante da Agência Portuguesa do Ambiente, I. P. (APA);
d) Um representante das administrações portuárias;
e) Um representante da Direção-Geral de Agricultura e Desenvolvimento Rural (DGADR);
f) Um representante da Direção-Geral de Política do Mar (DGPM);
g) Um representante da Docapesca, Portos e Lotas, S. A. (DOCAPESCA);
h) Um representante do Instituto da Conservação da Natureza e das Florestas, I. P. (ICNF, I. P.);
i) Um representante do Instituto Hidrográfico (IH);
j) Um representante da Autoridade Marítima Nacional (AMN);
k) Um representante do Governo da Região Autónoma dos Açores;
l) Um representante do Governo da Região Autónoma da Madeira.</v>
      </c>
      <c r="N63" s="3" t="str">
        <v>Environment / Ocean</v>
      </c>
      <c r="O63" s="3" t="str">
        <v>Prepare a national action plan to combat ocean acidification and supporting consultation material.</v>
      </c>
      <c r="P63" s="3" t="str">
        <v>1 - A constituição de um Grupo de Trabalho (GT) para a elaboração do Plano de Ação para Combate à Acidificação do Oceano (PACAO), supervisionado por um representante da Secretaria de Estado do Mar.</v>
      </c>
      <c r="Q63" s="3" t="str">
        <v>2 - A elaboração do PACAO prossegue os seguintes Objetivos Estratégicos (OE):
a) OE1: Reduzir as emissões atmosféricas de CO2;
b) OE2: Reduzir a poluição que agrava a acidificação do Oceano;
c) OE3: Promover o conhecimento e monitorização da acidificação do Oceano;
d) OE4: Proteger o Oceano e as comunidades costeiras dele dependentes;
e) OE5: Promover a comunicação e sensibilização;
f) OE6: Apoiar políticas e governação.
11 - O GT PACAO tem natureza temporária e cessa as suas funções com a aprovação do PACAO pelo Governo.</v>
      </c>
      <c r="R63" s="3" t="str">
        <v>5 - O Grupo de Trabalho apresenta a proposta do Plano de Ação para Combate à Acidificação do Oceano : 2025-05-30 — Explicit calendar date in the act.
6 - Os representantes das entidades referidas no n.º 4 devem ser designados no prazo máximo de 5 dia: 2025-01-23 — 2025-01-18 + 5 calendar days (monitoring convention). If CPA procedural counting applies: 2025-01-24.
Final report / last specified substantive output: 2025-05-30 — Fixed date / explicit year-end in creating act.</v>
      </c>
      <c r="S63" s="20" t="d">
        <v>2025-05-30T00:00:00.000Z</v>
      </c>
      <c r="T63" s="20" t="d">
        <v>2025-05-30T00:00:00.000Z</v>
      </c>
      <c r="U63" s="3" t="str">
        <v>Fixed date / explicit year-end in creating act.</v>
      </c>
      <c r="V63" s="20"/>
      <c r="W63" s="21" t="str">
        <f>IF(AND(C63="Em atraso",ISNUMBER(V63)),MAX(0,Dashboard!$E$4-V63),"")</f>
      </c>
      <c r="X63" s="3" t="str">
        <v>Unpaid group participation; expense/allowance terms are stated in the original clause.</v>
      </c>
      <c r="Y63" s="3" t="str">
        <v>8 - A participação no Grupo de Trabalho não confere o direito a qualquer prestação, independentemente da respetiva natureza, designadamente, a título de remuneração, abono, compensação, subsídio, senhas de presença ou ajudas de custo.</v>
      </c>
      <c r="Z63" s="3" t="str">
        <v>Controlling benchmark has passed; no evidence of this output’s delivery identified in the reviewed acts and focused official-source outcome search.</v>
      </c>
      <c r="AA63" s="3" t="str">
        <v>https://diariodarepublica.pt/dr/detalhe/despacho/1498-2025-905831257</v>
      </c>
      <c r="AB63" s="22" t="str">
        <v>Open evidence</v>
      </c>
      <c r="AC63" s="20"/>
      <c r="AD63" s="3" t="str">
        <v>No delivery evidence identified.</v>
      </c>
      <c r="AE63" s="3" t="str">
        <v>Not independently verified.</v>
      </c>
      <c r="AF63" s="3" t="str"/>
      <c r="AG63" s="3" t="str"/>
      <c r="AH63" s="3" t="str"/>
      <c r="AI63" s="3" t="str">
        <v>DR full-period singular/plural/technical phrase inventories; later acts reviewed. Outcome search: "grupo de trabalho" acidificação oceano plano nacional relatório conclusões after:2024-04-01 before:2026-10-11. Domains: portugal.gov.pt, gov.pt, parlamento.pt, diariodarepublica.pt, justica.gov.pt, dgav.pt, icnf.pt, anac.pt, dgeg.gov.pt. Official evidence/limitations recorded in this row.</v>
      </c>
      <c r="AJ63" s="20" t="d">
        <v>2026-10-10T00:00:00.000Z</v>
      </c>
      <c r="AK63" s="3" t="str">
        <v>2024-12-26; 2025-01-14; 2025-01-15; 2025-01-16; 2025-01-17</v>
      </c>
      <c r="AL63" s="3" t="str">
        <v>Day after latest signature.</v>
      </c>
      <c r="AM63" s="3" t="str">
        <v>Express name / creating-act summary; descriptive source label where no formal name is assigned.</v>
      </c>
      <c r="AN63" s="3" t="str">
        <v>Defence; Infrastructure / Housing; Economy; Environment / Energy; Agriculture / Fisheries / Sea</v>
      </c>
      <c r="AO63" s="3" t="str">
        <v>Final report / last specified substantive output</v>
      </c>
      <c r="AP63" s="3" t="str">
        <v>Calendar monitoring benchmark; absence of public evidence is not proof of non-delivery.</v>
      </c>
      <c r="AQ63" s="21" t="n">
        <f>IF(AND(C63="Em atraso",ISNUMBER(D63)),COUNTIFS(Groups!$C$6:$C$127,"Em atraso",Groups!$D$6:$D$127,"&gt;"&amp;D63)+COUNTIFS($C$6:C63,"Em atraso",$D$6:D63,D63),"")</f>
        <v>18</v>
      </c>
      <c r="AR63" s="21" t="n">
        <f>IF(COUNTIF($F$6:F63,F63)=1,1,0)</f>
        <v>1</v>
      </c>
    </row>
    <row r="64" ht="96" customHeight="1">
      <c r="A64" s="3" t="str">
        <v>GT-2025-008</v>
      </c>
      <c r="B64" s="3" t="str">
        <v>grupo de trabalho que procede à elaboração de proposta de alteração do modelo de funcionamento e financiamento da Rede Nacional de Cuidados Continuados Integrados</v>
      </c>
      <c r="C64" s="3" t="str">
        <v>Sem informação pública</v>
      </c>
      <c r="D64" s="21" t="str">
        <f>IF(C64="Em atraso",IF(ISNUMBER(T64),MAX(0,Dashboard!$E$4-T64),""),IF(C64="Concluído com atraso",IF(AND(ISNUMBER(T64),ISNUMBER(AC64)),MAX(0,AC64-T64),""),IF(C64="Concluído no prazo",0,"")))</f>
      </c>
      <c r="E64" s="3" t="str">
        <v>XXIV</v>
      </c>
      <c r="F64" s="3" t="str">
        <v>Despacho n.º 2367/2025</v>
      </c>
      <c r="G64" s="22" t="str">
        <v>Open DR act</v>
      </c>
      <c r="H64" s="20" t="d">
        <v>2025-02-20T00:00:00.000Z</v>
      </c>
      <c r="I64" s="20" t="d">
        <v>2025-02-12T00:00:00.000Z</v>
      </c>
      <c r="J64" s="20" t="d">
        <v>2025-02-20T00:00:00.000Z</v>
      </c>
      <c r="K64" s="3" t="str">
        <v>Saúde e Trabalho, Solidariedade e Segurança Social - Gabinete da Secretária de Estado da Gestão da Saúde, Gabinete da Secretária de Estado da Ação Social e da Inclusão e Gabinete do Secretário de Estado da Segurança Social</v>
      </c>
      <c r="L64" s="3" t="str">
        <v>Chosen by the designated representatives at the first meeting (clause 3); selected name not verified.</v>
      </c>
      <c r="M64" s="3" t="str">
        <v>2 - O grupo de trabalho tem natureza temporária e é constituído da seguinte forma:
a) Um representante do Gabinete da Secretária de Estado da Ação Social e da Inclusão;
b) Um representante do Gabinete do Secretário de Estado da Segurança Social;
c) Um representante do Gabinete da Secretária de Estado da Gestão da Saúde;
d) Um representante do Gabinete do Secretário de Estado Adjunto e do Orçamento;
e) Os Coordenadores Nacionais da Comissão Nacional de Coordenação da RNCCI;
f) Um representante da Administração Central do Sistema de Saúde, I. P.;
g) Um representante da Direção-Geral da Saúde;
h) Um representante da Direção Executiva do Serviço Nacional de Saúde;
i) Um representante do Instituto da Segurança Social, I. P.;
j) Um representante da Direção-Geral da Segurança Social;
k) Um representante do Gabinete de Estratégia e Planeamento do Ministério do Trabalho, Solidariedade e Segurança Social;
l) Um representante da União das Misericórdias Portuguesas;
m) Um representante da Confederação Nacional das Instituições de Solidariedade;
n) Um representante da União das Mutualidades Portuguesas;
o) Um representante da Confederação Cooperativa Portuguesa, C. C. R. L.</v>
      </c>
      <c r="N64" s="3" t="str">
        <v>Health / Social protection</v>
      </c>
      <c r="O64" s="3" t="str">
        <v>Review the operation and funding of the National Integrated Continuous Care Network.</v>
      </c>
      <c r="P64" s="3" t="str">
        <v>1 - É criado um grupo de trabalho com o objetivo de proceder à elaboração de proposta de alteração do modelo de funcionamento e de financiamento da RNCCI, tendo em vista os seguintes objetivos:
a) Reavaliação do modelo de funcionamento e financiamento da RNCCI em vigor, em particular as diversas tipologias de cuidados, que incluem as necessidades paliativas, demências ou os apoios no âmbito do tratamento das úlceras de pressão, mas também o planeamento de contratação de novas unidades e o alargamento de unidades existentes;
b) Avaliação e proposta de alteração do atual modelo de financiamento da atividade de internamento da RNCCI, mediante um pagamento por diária, ajustada pela complexidade dos cuidados aos utentes e pelo desempenho em termos dos resultados obtidos, com enfoque na qualidade da resposta prestada, em vez de um pagamento por diária em função da tipologia da unidade;
c) Reavaliação dos mecanismos que não incentivam a centralidade dos cuidados de saúde nos utentes, nomeadamente o pagamento de 100 % quando atingida a taxa de ocupação de 85 %, e o pagamento individualizado no tratamento das úlceras nas unidades de longa duração e manutenção (ULDM), propondo pagamentos mais equitativos e ajustados aos custos com a atividade contratualizada.</v>
      </c>
      <c r="Q64" s="3" t="str">
        <v>1 - É criado um grupo de trabalho com o objetivo de proceder à elaboração de proposta de alteração do modelo de funcionamento e de financiamento da RNCCI, tendo em vista os seguintes objetivos:
a) Reavaliação do modelo de funcionamento e financiamento da RNCCI em vigor, em particular as diversas tipologias de cuidados, que incluem as necessidades paliativas, demências ou os apoios no âmbito do tratamento das úlceras de pressão, mas também o planeamento de contratação de novas unidades e o alargamento de unidades existentes;
b) Avaliação e proposta de alteração do atual modelo de financiamento da atividade de internamento da RNCCI, mediante um pagamento por diária, ajustada pela complexidade dos cuidados aos utentes e pelo desempenho em termos dos resultados obtidos, com enfoque na qualidade da resposta prestada, em vez de um pagamento por diária em função da tipologia da unidade;
c) Reavaliação dos mecanismos que não incentivam a centralidade dos cuidados de saúde nos utentes, nomeadamente o pagamento de 100 % quando atingida a taxa de ocupação de 85 %, e o pagamento individualizado no tratamento das úlceras nas unidades de longa duração e manutenção (ULDM), propondo pagamentos mais equitativos e ajustados aos custos com a atividade contratualizada.
2 - O grupo de trabalho tem natureza temporária e é constituído da seguinte forma:
a) Um representante do Gabinete da Secretária de Estado da Ação Social e da Inclusão;
b) Um representante do Gabinete do Secretário de Estado da Segurança Social;
c) Um representante do Gabinete da Secretária de Estado da Gestão da Saúde;
d) Um representante do Gabinete do Secretário de Estado Adjunto e do Orçamento;
e) Os Coordenadores Nacionais da Comissão Nacional de Coordenação da RNCCI;
f) Um representante da Administração Central do Sistema de Saúde, I. P.;
g) Um representante da Direção-Geral da Saúde;
h) Um representante da Direção Executiva do Serviço Nacional de Saúde;
i) Um representante do Instituto da Segurança Social, I. P.;
j) Um representante da Direção-Geral da Segurança Social;
k) Um representante do Gabinete de Estratégia e Planeamento do Ministério do Trabalho, Solidariedade e Segurança Social;
l) Um representante da União das Misericórdias Portuguesas;
m) Um representante da Confederação Nacional das Instituições de Solidariedade;
n) Um representante da União das Mutualidades Portuguesas;
o) Um representante da Confederação Cooperativa Portuguesa, C. C. R. L.</v>
      </c>
      <c r="R64" s="3" t="str">
        <v>3 - Os representantes designados no número anterior escolherão na primeira reunião, entre si, o coor: date not derivable — No uniquely dated deadline derivable from this clause; cadence or trigger is preserved.
5 - O grupo de trabalho apresenta as conclusões aos membros do Governo responsáveis pelas áreas da s: 2025-04-30 — Explicit calendar date in the act.
6 - Os representantes das entidades que constituem o grupo de trabalho devem ser designados no prazo: date not derivable — 10 dias after trigger: anchor not expressly specified; exact date cannot be verified.
Final report / last specified substantive output: 2025-04-30 — Fixed date / explicit year-end in creating act.</v>
      </c>
      <c r="S64" s="20" t="d">
        <v>2025-04-30T00:00:00.000Z</v>
      </c>
      <c r="T64" s="20" t="d">
        <v>2025-04-30T00:00:00.000Z</v>
      </c>
      <c r="U64" s="3" t="str">
        <v>Fixed date / explicit year-end in creating act.</v>
      </c>
      <c r="V64" s="20"/>
      <c r="W64" s="21" t="str">
        <f>IF(AND(C64="Em atraso",ISNUMBER(V64)),MAX(0,Dashboard!$E$4-V64),"")</f>
      </c>
      <c r="X64" s="3" t="str">
        <v>Unpaid group participation; expense/allowance terms are stated in the original clause.</v>
      </c>
      <c r="Y64" s="3" t="str">
        <v>7 - A participação dos membros no grupo de trabalho, bem como das entidades convidadas a participar, nos termos do n.º 4, não confere o direito a qualquer prestação, independentemente da respetiva natureza, designadamente a título de remuneração, compensação, subsídio, senha de presenças ou ajudas de custo.</v>
      </c>
      <c r="Z64" s="3" t="str">
        <v>Delivery is officially confirmed, but the handover date is not public; timeliness cannot be classified.</v>
      </c>
      <c r="AA64" s="3" t="str">
        <v>https://diariodarepublica.pt/dr/detalhe/despacho/2367-2025-908071163
https://diariodarepublica.pt/dr/detalhe/portaria/229-2025-918999082</v>
      </c>
      <c r="AB64" s="22" t="str">
        <v>Open evidence</v>
      </c>
      <c r="AC64" s="20"/>
      <c r="AD64" s="3" t="str">
        <v>Portaria 229/2025/1 acknowledges the group’s report and identified funding constraints; handover date not stated.</v>
      </c>
      <c r="AE64" s="3" t="str">
        <v>Funding tariffs revised by Portaria 229/2025/1, published 22 May 2025.</v>
      </c>
      <c r="AF64" s="3" t="str">
        <v>https://diariodarepublica.pt/dr/detalhe/portaria/229-2025-918999082</v>
      </c>
      <c r="AG64" s="3" t="str"/>
      <c r="AH64" s="3" t="str"/>
      <c r="AI64" s="3" t="str">
        <v>DR full-period singular/plural/technical phrase inventories; later acts reviewed. Outcome search: "grupo de trabalho" RNCCI revisão financiamento relatório conclusões after:2024-04-01 before:2026-10-11. Domains: portugal.gov.pt, gov.pt, parlamento.pt, diariodarepublica.pt, justica.gov.pt, dgav.pt, icnf.pt, anac.pt, dgeg.gov.pt. Official evidence/limitations recorded in this row.</v>
      </c>
      <c r="AJ64" s="20" t="d">
        <v>2026-10-10T00:00:00.000Z</v>
      </c>
      <c r="AK64" s="3" t="str">
        <v>2025-02-11; 2025-02-12</v>
      </c>
      <c r="AL64" s="3" t="str">
        <v>Publication date.</v>
      </c>
      <c r="AM64" s="3" t="str">
        <v>Express name / creating-act summary; descriptive source label where no formal name is assigned.</v>
      </c>
      <c r="AN64" s="3" t="str">
        <v>Health; Labour / Social security</v>
      </c>
      <c r="AO64" s="3" t="str">
        <v>Final report / last specified substantive output</v>
      </c>
      <c r="AP64" s="3" t="str"/>
      <c r="AQ64" s="21" t="str">
        <f>IF(AND(C64="Em atraso",ISNUMBER(D64)),COUNTIFS(Groups!$C$6:$C$127,"Em atraso",Groups!$D$6:$D$127,"&gt;"&amp;D64)+COUNTIFS($C$6:C64,"Em atraso",$D$6:D64,D64),"")</f>
      </c>
      <c r="AR64" s="21" t="n">
        <f>IF(COUNTIF($F$6:F64,F64)=1,1,0)</f>
        <v>1</v>
      </c>
    </row>
    <row r="65" ht="96" customHeight="1">
      <c r="A65" s="3" t="str">
        <v>GT-2025-009</v>
      </c>
      <c r="B65" s="3" t="str">
        <v>grupo de trabalho para a revisão do quadro legal e regulamentar das fundações</v>
      </c>
      <c r="C65" s="3" t="str">
        <v>Prorrogado</v>
      </c>
      <c r="D65" s="21" t="str">
        <f>IF(C65="Em atraso",IF(ISNUMBER(T65),MAX(0,Dashboard!$E$4-T65),""),IF(C65="Concluído com atraso",IF(AND(ISNUMBER(T65),ISNUMBER(AC65)),MAX(0,AC65-T65),""),IF(C65="Concluído no prazo",0,"")))</f>
      </c>
      <c r="E65" s="3" t="str">
        <v>XXIV</v>
      </c>
      <c r="F65" s="3" t="str">
        <v>Despacho n.º 2820/2025</v>
      </c>
      <c r="G65" s="22" t="str">
        <v>Open DR act</v>
      </c>
      <c r="H65" s="20" t="d">
        <v>2025-03-03T00:00:00.000Z</v>
      </c>
      <c r="I65" s="20" t="d">
        <v>2025-02-25T00:00:00.000Z</v>
      </c>
      <c r="J65" s="20"/>
      <c r="K65" s="3" t="str">
        <v>Presidência do Conselho de Ministros - Gabinete do Secretário de Estado da Presidência do Conselho de Ministros</v>
      </c>
      <c r="L65" s="3" t="str">
        <v>a) Prof. Doutor Henrique Sousa Antunes, professor da Faculdade de Direito da Universidade Católica Portuguesa, que coordena;</v>
      </c>
      <c r="M65" s="3" t="str">
        <v>2 - O grupo de trabalho é composto por:
a) Prof. Doutor Henrique Sousa Antunes, professor da Faculdade de Direito da Universidade Católica Portuguesa, que coordena;
b) Prof. Doutor Diogo Costa Gonçalves, professor da Faculdade de Direito da Universidade de Lisboa;
c) Dr. Manuel Guerra Pinheiro, advogado;
d) Um representante do Centro Jurídico do Estado;
e) Um representante do Gabinete do Secretário de Estado da Presidência do Conselho de Ministros.</v>
      </c>
      <c r="N65" s="3" t="str">
        <v>State reform / Foundations</v>
      </c>
      <c r="O65" s="3" t="str">
        <v>Review the legal framework for foundations and recommend simpler, more effective rules.</v>
      </c>
      <c r="P65" s="3" t="str">
        <v>1 - A criação de um grupo de trabalho para a revisão do quadro legal e regulamentar das fundações, com a missão de avaliar o atual regime legal e regulamentar e propor melhorias nas regras vigentes, com objetivos de simplificação e desburocratização, reforçando a relevância, eficiência e autonomia destas entidades na sociedade portuguesa, visando o interesse público.</v>
      </c>
      <c r="Q65" s="3" t="str">
        <v>1 - A criação de um grupo de trabalho para a revisão do quadro legal e regulamentar das fundações, com a missão de avaliar o atual regime legal e regulamentar e propor melhorias nas regras vigentes, com objetivos de simplificação e desburocratização, reforçando a relevância, eficiência e autonomia destas entidades na sociedade portuguesa, visando o interesse público.
3 - No exercício da sua missão, convido o grupo de trabalho a ouvir e recolher contributos de entidades com conhecimento e experiência na matéria, com especial relevância, o Conselho Consultivo das Fundações e o Centro Português de Fundações.</v>
      </c>
      <c r="R65" s="3" t="str">
        <v>4 - O grupo de trabalho apresenta ao Secretário de Estado da Presidência do Conselho de Ministros um: 2025-12-31 — Explicit year-end: 31 December 2025.
Final report / last specified substantive output: 2025-12-31 — Fixed date / explicit year-end in creating act.
Extended controlling deadline: 2026-12-31 — Formal extension: Despacho n.º 7603/2026, de 18 de junho — https://diariodarepublica.pt/dr/detalhe/despacho/7603-2026-1133518850</v>
      </c>
      <c r="S65" s="20" t="d">
        <v>2025-12-31T00:00:00.000Z</v>
      </c>
      <c r="T65" s="20" t="d">
        <v>2026-12-31T00:00:00.000Z</v>
      </c>
      <c r="U65" s="3" t="str">
        <v>Formal extension: Despacho n.º 7603/2026, de 18 de junho — https://diariodarepublica.pt/dr/detalhe/despacho/7603-2026-1133518850</v>
      </c>
      <c r="V65" s="20"/>
      <c r="W65" s="21" t="str">
        <f>IF(AND(C65="Em atraso",ISNUMBER(V65)),MAX(0,Dashboard!$E$4-V65),"")</f>
      </c>
      <c r="X65" s="3" t="str">
        <v>Unpaid; see the original clause for the scope of the exclusion.</v>
      </c>
      <c r="Y65" s="3" t="str">
        <v>5 - Os membros do grupo de trabalho não recebem qualquer tipo de remuneração nem senhas de presença pelo trabalho ou participação em reuniões.</v>
      </c>
      <c r="Z65" s="3" t="str">
        <v>Current controlling deadline has not passed; delivery not independently verified.</v>
      </c>
      <c r="AA65" s="3" t="str">
        <v>https://diariodarepublica.pt/dr/detalhe/despacho/2820-2025-909307266
https://diariodarepublica.pt/dr/detalhe/despacho/7603-2026-1133518850</v>
      </c>
      <c r="AB65" s="22" t="str">
        <v>Open evidence</v>
      </c>
      <c r="AC65" s="20"/>
      <c r="AD65" s="3" t="str">
        <v>No delivery evidence identified.</v>
      </c>
      <c r="AE65" s="3" t="str">
        <v>Not independently verified.</v>
      </c>
      <c r="AF65" s="3" t="str"/>
      <c r="AG65" s="3" t="str">
        <v>Despacho n.º 7603/2026, de 18 de junho — https://diariodarepublica.pt/dr/detalhe/despacho/7603-2026-1133518850</v>
      </c>
      <c r="AH65" s="3" t="str"/>
      <c r="AI65" s="3" t="str">
        <v>DR full-period singular/plural/technical phrase inventories; later acts reviewed. Outcome search: "grupo de trabalho" quadro legal fundações relatório conclusões after:2024-04-01 before:2026-10-11. Domains: portugal.gov.pt, gov.pt, parlamento.pt, diariodarepublica.pt, justica.gov.pt, dgav.pt, icnf.pt, anac.pt, dgeg.gov.pt. Official evidence/limitations recorded in this row.</v>
      </c>
      <c r="AJ65" s="20" t="d">
        <v>2026-10-10T00:00:00.000Z</v>
      </c>
      <c r="AK65" s="3" t="str">
        <v>2025-02-25</v>
      </c>
      <c r="AL65" s="3" t="str">
        <v>Not specified in act; no statutory default inferred.</v>
      </c>
      <c r="AM65" s="3" t="str">
        <v>Express name / creating-act summary; descriptive source label where no formal name is assigned.</v>
      </c>
      <c r="AN65" s="3" t="str">
        <v>Presidency / Council of Ministers</v>
      </c>
      <c r="AO65" s="3" t="str">
        <v>Final report / last specified substantive output</v>
      </c>
      <c r="AP65" s="3" t="str"/>
      <c r="AQ65" s="21" t="str">
        <f>IF(AND(C65="Em atraso",ISNUMBER(D65)),COUNTIFS(Groups!$C$6:$C$127,"Em atraso",Groups!$D$6:$D$127,"&gt;"&amp;D65)+COUNTIFS($C$6:C65,"Em atraso",$D$6:D65,D65),"")</f>
      </c>
      <c r="AR65" s="21" t="n">
        <f>IF(COUNTIF($F$6:F65,F65)=1,1,0)</f>
        <v>1</v>
      </c>
    </row>
    <row r="66" ht="96" customHeight="1">
      <c r="A66" s="3" t="str">
        <v>GT-2025-010</v>
      </c>
      <c r="B66" s="3" t="str">
        <v>grupo de trabalho para definir a fase de seleção prévia da representação oficial portuguesa na 61.ª Exposição Internacional de Arte ― Bienal de Veneza</v>
      </c>
      <c r="C66" s="3" t="str">
        <v>Sem informação pública</v>
      </c>
      <c r="D66" s="21" t="str">
        <f>IF(C66="Em atraso",IF(ISNUMBER(T66),MAX(0,Dashboard!$E$4-T66),""),IF(C66="Concluído com atraso",IF(AND(ISNUMBER(T66),ISNUMBER(AC66)),MAX(0,AC66-T66),""),IF(C66="Concluído no prazo",0,"")))</f>
      </c>
      <c r="E66" s="3" t="str">
        <v>XXIV</v>
      </c>
      <c r="F66" s="3" t="str">
        <v>Despacho n.º 2919/2025</v>
      </c>
      <c r="G66" s="22" t="str">
        <v>Open DR act</v>
      </c>
      <c r="H66" s="20" t="d">
        <v>2025-03-05T00:00:00.000Z</v>
      </c>
      <c r="I66" s="20" t="d">
        <v>2025-02-25T00:00:00.000Z</v>
      </c>
      <c r="J66" s="20" t="d">
        <v>2025-02-25T00:00:00.000Z</v>
      </c>
      <c r="K66" s="3" t="str">
        <v>Cultura - Gabinete da Ministra da Cultura</v>
      </c>
      <c r="L66" s="3" t="str">
        <v>4 - A convocatória e coordenação das reuniões do grupo de trabalho são da competência da técnica especialista do meu Gabinete, Filipa Alfaro, devendo a Direção-Geral das Artes prestar apoio técnico e logístico à sua realização.</v>
      </c>
      <c r="M66" s="3" t="str">
        <v>1 - A designação do grupo de trabalho para definir a abertura da fase de seleção prévia da representação oficial portuguesa na 61.ª Exposição Internacional de Arte - Bienal de Veneza (Bienal de Veneza 2026), composto por:
Andreia Magalhães;
Joaquim Moreno;
José Bragança de Miranda;
Marta Mestre;
Nuno Faria.</v>
      </c>
      <c r="N66" s="3" t="str">
        <v>Culture</v>
      </c>
      <c r="O66" s="3" t="str">
        <v>Define and run the initial selection of Portugal’s representation at the 2026 Venice Art Biennale.</v>
      </c>
      <c r="P66" s="3" t="str">
        <v>1 - A designação do grupo de trabalho para definir a abertura da fase de seleção prévia da representação oficial portuguesa na 61.ª Exposição Internacional de Arte - Bienal de Veneza (Bienal de Veneza 2026), composto por:
Andreia Magalhães;
Joaquim Moreno;
José Bragança de Miranda;
Marta Mestre;
Nuno Faria.</v>
      </c>
      <c r="Q66" s="3" t="str">
        <v>1 - A designação do grupo de trabalho para definir a abertura da fase de seleção prévia da representação oficial portuguesa na 61.ª Exposição Internacional de Arte - Bienal de Veneza (Bienal de Veneza 2026), composto por:
Andreia Magalhães;
Joaquim Moreno;
José Bragança de Miranda;
Marta Mestre;
Nuno Faria.</v>
      </c>
      <c r="R66" s="3" t="str">
        <v>2 - Após a definição da abertura da fase referida no número anterior, a ser realizada por despacho d: date not derivable — No uniquely dated deadline derivable from this clause; cadence or trigger is preserved.</v>
      </c>
      <c r="S66" s="20"/>
      <c r="T66" s="20"/>
      <c r="U66" s="3" t="str"/>
      <c r="V66" s="20"/>
      <c r="W66" s="21" t="str">
        <f>IF(AND(C66="Em atraso",ISNUMBER(V66)),MAX(0,Dashboard!$E$4-V66),"")</f>
      </c>
      <c r="X66" s="3" t="str">
        <v>Not specified in the creating act.</v>
      </c>
      <c r="Y66" s="3" t="str">
        <v>Not specified in act.</v>
      </c>
      <c r="Z66" s="3" t="str">
        <v>No dated final-output deadline / public trigger date, and delivery cannot be verified.</v>
      </c>
      <c r="AA66" s="3" t="str">
        <v>https://diariodarepublica.pt/dr/detalhe/despacho/2919-2025-909476563</v>
      </c>
      <c r="AB66" s="22" t="str">
        <v>Open evidence</v>
      </c>
      <c r="AC66" s="20"/>
      <c r="AD66" s="3" t="str">
        <v>No delivery evidence identified.</v>
      </c>
      <c r="AE66" s="3" t="str">
        <v>Not independently verified.</v>
      </c>
      <c r="AF66" s="3" t="str"/>
      <c r="AG66" s="3" t="str"/>
      <c r="AH66" s="3" t="str"/>
      <c r="AI66" s="3" t="str">
        <v>DR full-period singular/plural/technical phrase inventories; later acts reviewed. Outcome search: "grupo de trabalho" Bienal Veneza arte 2026 seleção relatório conclusões after:2024-04-01 before:2026-10-11. Domains: portugal.gov.pt, gov.pt, parlamento.pt, diariodarepublica.pt, justica.gov.pt, dgav.pt, icnf.pt, anac.pt, dgeg.gov.pt. Official evidence/limitations recorded in this row.</v>
      </c>
      <c r="AJ66" s="20" t="d">
        <v>2026-10-10T00:00:00.000Z</v>
      </c>
      <c r="AK66" s="3" t="str">
        <v>2025-02-25</v>
      </c>
      <c r="AL66" s="3" t="str">
        <v>Latest signature used where multiple signatures occur.</v>
      </c>
      <c r="AM66" s="3" t="str">
        <v>Express name / creating-act summary; descriptive source label where no formal name is assigned.</v>
      </c>
      <c r="AN66" s="3" t="str">
        <v>Culture</v>
      </c>
      <c r="AO66" s="3" t="str">
        <v>No dated final output / unknown trigger</v>
      </c>
      <c r="AP66" s="3" t="str"/>
      <c r="AQ66" s="21" t="str">
        <f>IF(AND(C66="Em atraso",ISNUMBER(D66)),COUNTIFS(Groups!$C$6:$C$127,"Em atraso",Groups!$D$6:$D$127,"&gt;"&amp;D66)+COUNTIFS($C$6:C66,"Em atraso",$D$6:D66,D66),"")</f>
      </c>
      <c r="AR66" s="21" t="n">
        <f>IF(COUNTIF($F$6:F66,F66)=1,1,0)</f>
        <v>1</v>
      </c>
    </row>
    <row r="67" ht="96" customHeight="1">
      <c r="A67" s="3" t="str">
        <v>GT-2025-011</v>
      </c>
      <c r="B67" s="3" t="str">
        <v>grupo de trabalho que apoie o Governo na avaliação da legislação laboral em vigor e na elaboração de propostas de alteração ou de medidas em consonância com o programa do Governo e no contexto da concertação social</v>
      </c>
      <c r="C67" s="3" t="str">
        <v>Sem informação pública</v>
      </c>
      <c r="D67" s="21" t="str">
        <f>IF(C67="Em atraso",IF(ISNUMBER(T67),MAX(0,Dashboard!$E$4-T67),""),IF(C67="Concluído com atraso",IF(AND(ISNUMBER(T67),ISNUMBER(AC67)),MAX(0,AC67-T67),""),IF(C67="Concluído no prazo",0,"")))</f>
      </c>
      <c r="E67" s="3" t="str">
        <v>XXIV</v>
      </c>
      <c r="F67" s="3" t="str">
        <v>Despacho n.º 2961/2025</v>
      </c>
      <c r="G67" s="22" t="str">
        <v>Open DR act</v>
      </c>
      <c r="H67" s="20" t="d">
        <v>2025-03-06T00:00:00.000Z</v>
      </c>
      <c r="I67" s="20" t="d">
        <v>2025-02-26T00:00:00.000Z</v>
      </c>
      <c r="J67" s="20" t="d">
        <v>2025-02-26T00:00:00.000Z</v>
      </c>
      <c r="K67" s="3" t="str">
        <v>Trabalho, Solidariedade e Segurança Social - Gabinete da Ministra do Trabalho, Solidariedade e Segurança Social</v>
      </c>
      <c r="L67" s="3" t="str">
        <v>Professor Doutor Pedro Madeira de Brito (Faculdade de Direito da Universidade de Lisboa), que coordena;</v>
      </c>
      <c r="M67" s="3" t="str">
        <v>2 - O grupo de trabalho será constituído pelos seguintes elementos:
Professor Doutor Pedro Madeira de Brito (Faculdade de Direito da Universidade de Lisboa), que coordena;
Mestre Paula Agapito Silva Barbas [subdiretora-geral da Direção-Geral do Emprego e das Relações de Trabalho (DGERT)], que exerce as funções de subcoordenação;
Dr.ª Gabriela Plácido Alves (técnica especialista do Gabinete da Ministra do Trabalho Solidariedade e Segurança Social);
Dr.ª Carla Farto (técnica especialista do Gabinete do Secretário de Estado do Trabalho);
Mestre Leonor Ruivo (Faculdade de Direito da Universidade de Lisboa).</v>
      </c>
      <c r="N67" s="3" t="str">
        <v>Labour</v>
      </c>
      <c r="O67" s="3" t="str">
        <v>Evaluate labour legislation and propose changes in the context of social dialogue.</v>
      </c>
      <c r="P67" s="3" t="str">
        <v>1 - Criar um grupo de trabalho que apoie o Governo na avaliação da legislação laboral em vigor e na elaboração de propostas de alteração ou de medidas em consonância com o programa do Governo e no contexto da concertação social.</v>
      </c>
      <c r="Q67" s="3" t="str">
        <v>6 - O grupo de trabalho inicia funções no dia 26 de fevereiro de 2025.</v>
      </c>
      <c r="R67" s="3" t="str"/>
      <c r="S67" s="20"/>
      <c r="T67" s="20"/>
      <c r="U67" s="3" t="str"/>
      <c r="V67" s="20"/>
      <c r="W67" s="21" t="str">
        <f>IF(AND(C67="Em atraso",ISNUMBER(V67)),MAX(0,Dashboard!$E$4-V67),"")</f>
      </c>
      <c r="X67" s="3" t="str">
        <v>Not specified in the creating act.</v>
      </c>
      <c r="Y67" s="3" t="str">
        <v>Not specified in act.</v>
      </c>
      <c r="Z67" s="3" t="str">
        <v>No dated final-output deadline / public trigger date, and delivery cannot be verified.</v>
      </c>
      <c r="AA67" s="3" t="str">
        <v>https://diariodarepublica.pt/dr/detalhe/despacho/2961-2025-909652643</v>
      </c>
      <c r="AB67" s="22" t="str">
        <v>Open evidence</v>
      </c>
      <c r="AC67" s="20"/>
      <c r="AD67" s="3" t="str">
        <v>No delivery evidence identified.</v>
      </c>
      <c r="AE67" s="3" t="str">
        <v>Not independently verified.</v>
      </c>
      <c r="AF67" s="3" t="str"/>
      <c r="AG67" s="3" t="str"/>
      <c r="AH67" s="3" t="str"/>
      <c r="AI67" s="3" t="str">
        <v>DR full-period singular/plural/technical phrase inventories; later acts reviewed. Outcome search: "grupo de trabalho" legislação laboral relatório conclusões after:2024-04-01 before:2026-10-11. Domains: portugal.gov.pt, gov.pt, parlamento.pt, diariodarepublica.pt, justica.gov.pt, dgav.pt, icnf.pt, anac.pt, dgeg.gov.pt. Official evidence/limitations recorded in this row.</v>
      </c>
      <c r="AJ67" s="20" t="d">
        <v>2026-10-10T00:00:00.000Z</v>
      </c>
      <c r="AK67" s="3" t="str">
        <v>2025-02-26</v>
      </c>
      <c r="AL67" s="3" t="str">
        <v>Explicit start-of-functions date; entry into force not separately specified.</v>
      </c>
      <c r="AM67" s="3" t="str">
        <v>Express name / creating-act summary; descriptive source label where no formal name is assigned.</v>
      </c>
      <c r="AN67" s="3" t="str">
        <v>Labour / Social security</v>
      </c>
      <c r="AO67" s="3" t="str">
        <v>No dated final output / unknown trigger</v>
      </c>
      <c r="AP67" s="3" t="str"/>
      <c r="AQ67" s="21" t="str">
        <f>IF(AND(C67="Em atraso",ISNUMBER(D67)),COUNTIFS(Groups!$C$6:$C$127,"Em atraso",Groups!$D$6:$D$127,"&gt;"&amp;D67)+COUNTIFS($C$6:C67,"Em atraso",$D$6:D67,D67),"")</f>
      </c>
      <c r="AR67" s="21" t="n">
        <f>IF(COUNTIF($F$6:F67,F67)=1,1,0)</f>
        <v>1</v>
      </c>
    </row>
    <row r="68" ht="96" customHeight="1">
      <c r="A68" s="3" t="str">
        <v>GT-2025-012</v>
      </c>
      <c r="B68" s="3" t="str">
        <v>1 -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v>
      </c>
      <c r="C68" s="3" t="str">
        <v>Em atraso</v>
      </c>
      <c r="D68" s="21" t="n">
        <f>IF(C68="Em atraso",IF(ISNUMBER(T68),MAX(0,Dashboard!$E$4-T68),""),IF(C68="Concluído com atraso",IF(AND(ISNUMBER(T68),ISNUMBER(AC68)),MAX(0,AC68-T68),""),IF(C68="Concluído no prazo",0,"")))</f>
        <v>452</v>
      </c>
      <c r="E68" s="3" t="str">
        <v>XXIV</v>
      </c>
      <c r="F68" s="3" t="str">
        <v>Despacho n.º 3143/2025</v>
      </c>
      <c r="G68" s="22" t="str">
        <v>Open DR act</v>
      </c>
      <c r="H68" s="20" t="d">
        <v>2025-03-11T00:00:00.000Z</v>
      </c>
      <c r="I68" s="20" t="d">
        <v>2025-03-06T00:00:00.000Z</v>
      </c>
      <c r="J68" s="20" t="d">
        <v>2025-03-12T00:00:00.000Z</v>
      </c>
      <c r="K68" s="3" t="str">
        <v>Saúde - Gabinete da Secretária de Estado da Saúde</v>
      </c>
      <c r="L68" s="3" t="str">
        <v>a) Um representante do Gabinete da Secretária de Estado da Saúde, que coordena;</v>
      </c>
      <c r="M68" s="3" t="str">
        <v>3 - O grupo de trabalho tem a seguinte composição:
a) Um representante do Gabinete da Secretária de Estado da Saúde, que coordena;
b) Um representante do Gabinete da Secretária de Estado da Gestão da Saúde;
c) Um representante do INFARMED - Autoridade Nacional do Medicamento e Produtos de Saúde, I. P. (INFARMED, I. P.);
d) Um representante da Direção Executiva do Serviço Nacional de Saúde, I. P. (DE-SNS, I. P.);
e) Um representante da Administração Central do Sistema de Saúde, I. P. (ACSS, I. P.);
f) Um representante de cada uma das entidades do Serviço Nacional de saúde (SNS) a seguir discriminadas:
i) Unidade Local de Saúde de Coimbra, E. P. E.;
ii) Unidade Local de Saúde de Lisboa Ocidental, E. P. E.;
iii) Unidade Local de Saúde de Santa Maria, E. P. E.;
iv) Unidade Local de Saúde de Santo António, E. P. E.;
v) Unidade Local de Saúde de São João, E. P. E.;
vi) Unidade Local de Saúde de São José, E. P. E.;
vii) Instituto Português de Oncologia de Coimbra Francisco Gentil, E. P. E.;
viii) Instituto Português de Oncologia de Lisboa Francisco Gentil, E. P. E.;
ix) Instituto Português de Oncologia do Porto Francisco Gentil, E. P. E.;
g) Um representante da SPMS - Serviços Partilhados do Ministério da Saúde, E. P. E.;
h) Um representante da Associação Portuguesa de Administradores Hospitalares (APAH);
i) Um representante da APIFARMA - Associação Portuguesa da Indústria Farmacêutica.</v>
      </c>
      <c r="N68" s="3" t="str">
        <v>Health</v>
      </c>
      <c r="O68" s="3" t="str">
        <v>Assess funding and monitoring of access to innovative medicines and recommend equitable, sustainable solutions.</v>
      </c>
      <c r="P68" s="3" t="str">
        <v>1 -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v>
      </c>
      <c r="Q68" s="3" t="str">
        <v>1 -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
2 - O grupo de trabalho deve, no cumprimento dos seus objetivos, produzir um relatório preliminar, a apresentar até 16 de junho de 2025, e um relatório final, a apresentar até 15 de julho de 2025, que reflita(m) a análise, conclusões e propostas concretas de soluções.
5 - Os membros do grupo de trabalho não auferem qualquer remuneração ou abono pelo exercício das suas funções, ressalvadas as ajudas de custo a que haja lugar nos termos legais.
6 - O grupo de trabalho pode solicitar a colaboração e o apoio técnico de outros elementos, devendo os serviços e organismos do Ministério da Saúde prestar, no âmbito das respetivas atribuições, todo o apoio que lhes for solicitado para o desempenho da sua missão.</v>
      </c>
      <c r="R68" s="3" t="str">
        <v>2 - O grupo de trabalho deve, no cumprimento dos seus objetivos, produzir um relatório preliminar, a: 2025-07-15 — Explicit calendar date in the act.
4 - Os representantes das entidades que integram o grupo de trabalho são designados, e comunicada es: 2025-03-19 — 2025-03-12 + 5 working days; anchor excluded, weekends and national statutory holidays excluded.
Final report / last specified substantive output: 2025-07-15 — Fixed date / explicit year-end in creating act.</v>
      </c>
      <c r="S68" s="20" t="d">
        <v>2025-07-15T00:00:00.000Z</v>
      </c>
      <c r="T68" s="20" t="d">
        <v>2025-07-15T00:00:00.000Z</v>
      </c>
      <c r="U68" s="3" t="str">
        <v>Fixed date / explicit year-end in creating act.</v>
      </c>
      <c r="V68" s="20"/>
      <c r="W68" s="21" t="str">
        <f>IF(AND(C68="Em atraso",ISNUMBER(V68)),MAX(0,Dashboard!$E$4-V68),"")</f>
      </c>
      <c r="X68" s="3" t="str">
        <v>Unpaid group participation; expense/allowance terms are stated in the original clause.</v>
      </c>
      <c r="Y68" s="3" t="str">
        <v>5 - Os membros do grupo de trabalho não auferem qualquer remuneração ou abono pelo exercício das suas funções, ressalvadas as ajudas de custo a que haja lugar nos termos legais.</v>
      </c>
      <c r="Z68" s="3" t="str">
        <v>Controlling benchmark has passed; no evidence of this output’s delivery identified in the reviewed acts and focused official-source outcome search.</v>
      </c>
      <c r="AA68" s="3" t="str">
        <v>https://diariodarepublica.pt/dr/detalhe/despacho/3143-2025-910331597</v>
      </c>
      <c r="AB68" s="22" t="str">
        <v>Open evidence</v>
      </c>
      <c r="AC68" s="20"/>
      <c r="AD68" s="3" t="str">
        <v>No delivery evidence identified.</v>
      </c>
      <c r="AE68" s="3" t="str">
        <v>Not independently verified.</v>
      </c>
      <c r="AF68" s="3" t="str"/>
      <c r="AG68" s="3" t="str"/>
      <c r="AH68" s="3" t="str">
        <v> The act has no concise formal name; the label follows its Portuguese creating clause/summary. Separate acts each expressly create a group with substantially overlapping mission; no express revocation/continuity clause found. Both legal constitutions retained; possible institutional overlap affects totals.</v>
      </c>
      <c r="AI68" s="3" t="str">
        <v>DR full-period singular/plural/technical phrase inventories; later acts reviewed. Outcome search: "grupo de trabalho" acesso medicamentos inovadores 2025 relatório conclusões after:2024-04-01 before:2026-10-11. Domains: portugal.gov.pt, gov.pt, parlamento.pt, diariodarepublica.pt, justica.gov.pt, dgav.pt, icnf.pt, anac.pt, dgeg.gov.pt. Official evidence/limitations recorded in this row.</v>
      </c>
      <c r="AJ68" s="20" t="d">
        <v>2026-10-10T00:00:00.000Z</v>
      </c>
      <c r="AK68" s="3" t="str">
        <v>2025-03-06</v>
      </c>
      <c r="AL68" s="3" t="str">
        <v>Day after publication.</v>
      </c>
      <c r="AM68" s="3" t="str">
        <v>Express name / creating-act summary; descriptive source label where no formal name is assigned.</v>
      </c>
      <c r="AN68" s="3" t="str">
        <v>Health</v>
      </c>
      <c r="AO68" s="3" t="str">
        <v>Final report / last specified substantive output</v>
      </c>
      <c r="AP68" s="3" t="str">
        <v>Calendar monitoring benchmark; absence of public evidence is not proof of non-delivery.</v>
      </c>
      <c r="AQ68" s="21" t="n">
        <f>IF(AND(C68="Em atraso",ISNUMBER(D68)),COUNTIFS(Groups!$C$6:$C$127,"Em atraso",Groups!$D$6:$D$127,"&gt;"&amp;D68)+COUNTIFS($C$6:C68,"Em atraso",$D$6:D68,D68),"")</f>
        <v>23</v>
      </c>
      <c r="AR68" s="21" t="n">
        <f>IF(COUNTIF($F$6:F68,F68)=1,1,0)</f>
        <v>1</v>
      </c>
    </row>
    <row r="69" ht="96" customHeight="1">
      <c r="A69" s="3" t="str">
        <v>GT-2025-013</v>
      </c>
      <c r="B69" s="3" t="str">
        <v>grupo de trabalho para o reforço do modelo de governação da gestão de riscos no património cultural, definindo estratégias para redução de riscos decorrentes das alterações climáticas e de catástrofes naturais</v>
      </c>
      <c r="C69" s="3" t="str">
        <v>Em atraso</v>
      </c>
      <c r="D69" s="21" t="n">
        <f>IF(C69="Em atraso",IF(ISNUMBER(T69),MAX(0,Dashboard!$E$4-T69),""),IF(C69="Concluído com atraso",IF(AND(ISNUMBER(T69),ISNUMBER(AC69)),MAX(0,AC69-T69),""),IF(C69="Concluído no prazo",0,"")))</f>
        <v>207</v>
      </c>
      <c r="E69" s="3" t="str">
        <v>XXIV</v>
      </c>
      <c r="F69" s="3" t="str">
        <v>Despacho n.º 3402/2025</v>
      </c>
      <c r="G69" s="22" t="str">
        <v>Open DR act</v>
      </c>
      <c r="H69" s="20" t="d">
        <v>2025-03-17T00:00:00.000Z</v>
      </c>
      <c r="I69" s="20" t="d">
        <v>2025-03-10T00:00:00.000Z</v>
      </c>
      <c r="J69" s="20" t="d">
        <v>2025-03-18T00:00:00.000Z</v>
      </c>
      <c r="K69" s="3" t="str">
        <v>Cultura - Gabinete da Ministra da Cultura</v>
      </c>
      <c r="L69" s="3" t="str">
        <v>a) Beatriz Pinheiro Franco, em representação do Gabinete da Ministra da Cultura, que coordena;
b) Bruno Diogo Mocho Cordeiro, em representação do Gabinete da Ministra da Cultura, que coordena;</v>
      </c>
      <c r="M69" s="3" t="str">
        <v>3 - O Grupo de Trabalho é constituído por:
a) Beatriz Pinheiro Franco, em representação do Gabinete da Ministra da Cultura, que coordena;
b) Bruno Diogo Mocho Cordeiro, em representação do Gabinete da Ministra da Cultura, que coordena;
c) Dois representantes da Museus e Monumentos e Portugal, E. P. E.;
d) Dois representantes do Património Cultural, I. P.;
e) Dois representantes da Inspeção-Geral das Atividades Culturais.</v>
      </c>
      <c r="N69" s="3" t="str">
        <v>Culture / Environment</v>
      </c>
      <c r="O69" s="3" t="str">
        <v>Recommend ways to improve cultural-heritage risk management for climate change and natural disasters.</v>
      </c>
      <c r="P69" s="3" t="str">
        <v>1 - A constituição de um grupo de trabalho para reforçar o modelo de governação da gestão de riscos no património cultural, definindo estratégias para redução de riscos decorrentes das alterações climáticas e de catástrofes naturais, doravante designado por «Grupo de Trabalho».</v>
      </c>
      <c r="Q69" s="3" t="str">
        <v>2 - O Grupo de Trabalho tem os seguintes objetivos:
a) Identificar os fatores de risco que incidem sobre o património móvel e imóvel, ao nível do ambiente circundante, da gestão patrimonial, das práticas no trabalho ou da legislação em vigor, e propor um modelo de ficha-tipo de diagnóstico adaptada ao universo dos organismos envolvidos neste Grupo de Trabalho, tendo em vista a implementação de planos de segurança e de gestão preventiva de riscos e mitigação de danos;
b) Propor ações e campanhas de sensibilização para os riscos que pendem sobre o património móvel e imóvel, decorrentes das alterações climáticas e de catástrofes naturais, nomeadamente através de ações de formação diversas, em diferentes contextos e para diferentes públicos;
c) Sensibilizar o tecido escolar para os riscos patrimoniais decorrentes das alterações climáticas, em estreita colaboração com o Ministério da Educação, Ciência e Inovação;
d) Estimular o conhecimento científico nas várias áreas de intervenção necessárias para a mitigação dos riscos sobre o património cultural, promovendo a interação entre as diversas instituições culturais e as universidades;
e) Apresentar as soluções possíveis e adequadas e definir estratégias para mitigação de riscos sobre o património cultural, decorrentes das alterações climáticas e de catástrofes naturais;
f) Incluir a Rede Portuguesa de Museus (RPM), a Rede de Teatros e Cineteatros Portugueses (RTCP), a Rede Portuguesa de Arte Contemporânea (RPAC) e outras entidades com responsabilidade na gestão de equipamentos culturais e patrimoniais, na promoção e implementação de estratégias adequadas para a preparação, a resposta e a recuperação em caso de emergência;
g) Ponderar a implementação de medidas para a regularidade e obrigatoriedade das ações de fiscalização legalmente exigidas para os equipamentos/recintos culturais, com foco na manutenção das adequadas condições de segurança.
6 - As entidades sob a direção, superintendência e tutela do membro do Governo responsável pela área da cultura devem fornecer ao Grupo de Trabalho a informação necessária para o cumprimento dos seus objetivos.</v>
      </c>
      <c r="R69" s="3" t="str">
        <v>7 - O Grupo de Trabalho deve apresentar um relatório à Ministra da Cultura com os resultados do trab: 2026-03-17 — 2025-03-17 + 1 ano by calendar anniversary, end-of-month capped if necessary.
11 - O mandato do Grupo de Trabalho tem a duração de um ano, a contar da data de entrada em vigor do: 2026-03-18 — 2025-03-18 + 1 ano by calendar anniversary, end-of-month capped if necessary.
Final report / last specified substantive output: 2026-03-17 — published 2025-03-17 + 12 calendar months (anniversary rule).</v>
      </c>
      <c r="S69" s="20" t="d">
        <v>2026-03-17T00:00:00.000Z</v>
      </c>
      <c r="T69" s="20" t="d">
        <v>2026-03-17T00:00:00.000Z</v>
      </c>
      <c r="U69" s="3" t="str">
        <v>published 2025-03-17 + 12 calendar months (anniversary rule).</v>
      </c>
      <c r="V69" s="20"/>
      <c r="W69" s="21" t="str">
        <f>IF(AND(C69="Em atraso",ISNUMBER(V69)),MAX(0,Dashboard!$E$4-V69),"")</f>
      </c>
      <c r="X69" s="3" t="str">
        <v>Unpaid group participation; expense/allowance terms are stated in the original clause.</v>
      </c>
      <c r="Y69" s="3" t="str">
        <v>8 - Os elementos que integram o Grupo de Trabalho têm direito à afetação de tempo específico para a realização dos trabalhos, não lhes sendo devida remuneração adicional.
9 - A participação no Grupo de Trabalho não confere o direito a qualquer prestação, independentemente da respetiva natureza, designadamente a título de remuneração, abono, compensação, subsídio ou senhas de presença, ressalvadas as ajudas de custo a que haja lugar nos termos legais.</v>
      </c>
      <c r="Z69" s="3" t="str">
        <v>Controlling benchmark has passed; no evidence of this output’s delivery identified in the reviewed acts and focused official-source outcome search.</v>
      </c>
      <c r="AA69" s="3" t="str">
        <v>https://diariodarepublica.pt/dr/detalhe/despacho/3402-2025-911131353</v>
      </c>
      <c r="AB69" s="22" t="str">
        <v>Open evidence</v>
      </c>
      <c r="AC69" s="20"/>
      <c r="AD69" s="3" t="str">
        <v>No delivery evidence identified.</v>
      </c>
      <c r="AE69" s="3" t="str">
        <v>Not independently verified.</v>
      </c>
      <c r="AF69" s="3" t="str"/>
      <c r="AG69" s="3" t="str"/>
      <c r="AH69" s="3" t="str"/>
      <c r="AI69" s="3" t="str">
        <v>DR full-period singular/plural/technical phrase inventories; later acts reviewed. Outcome search: "grupo de trabalho" património cultural alterações climáticas catástrofes relatório conclusões after:2024-04-01 before:2026-10-11. Domains: portugal.gov.pt, gov.pt, parlamento.pt, diariodarepublica.pt, justica.gov.pt, dgav.pt, icnf.pt, anac.pt, dgeg.gov.pt. Official evidence/limitations recorded in this row.</v>
      </c>
      <c r="AJ69" s="20" t="d">
        <v>2026-10-10T00:00:00.000Z</v>
      </c>
      <c r="AK69" s="3" t="str">
        <v>2025-03-10</v>
      </c>
      <c r="AL69" s="3" t="str">
        <v>Day after publication.</v>
      </c>
      <c r="AM69" s="3" t="str">
        <v>Express name / creating-act summary; descriptive source label where no formal name is assigned.</v>
      </c>
      <c r="AN69" s="3" t="str">
        <v>Culture</v>
      </c>
      <c r="AO69" s="3" t="str">
        <v>Final report / last specified substantive output</v>
      </c>
      <c r="AP69" s="3" t="str">
        <v>Calendar monitoring benchmark; absence of public evidence is not proof of non-delivery.</v>
      </c>
      <c r="AQ69" s="21" t="n">
        <f>IF(AND(C69="Em atraso",ISNUMBER(D69)),COUNTIFS(Groups!$C$6:$C$127,"Em atraso",Groups!$D$6:$D$127,"&gt;"&amp;D69)+COUNTIFS($C$6:C69,"Em atraso",$D$6:D69,D69),"")</f>
        <v>48</v>
      </c>
      <c r="AR69" s="21" t="n">
        <f>IF(COUNTIF($F$6:F69,F69)=1,1,0)</f>
        <v>1</v>
      </c>
    </row>
    <row r="70" ht="96" customHeight="1">
      <c r="A70" s="3" t="str">
        <v>GT-2025-014</v>
      </c>
      <c r="B70" s="3" t="str">
        <v>grupo de trabalho com a missão de, numa perspetiva de articulação, harmonização e corresponsabilização, refletir sobre as ilhas barreira</v>
      </c>
      <c r="C70" s="3" t="str">
        <v>Sem informação pública</v>
      </c>
      <c r="D70" s="21" t="str">
        <f>IF(C70="Em atraso",IF(ISNUMBER(T70),MAX(0,Dashboard!$E$4-T70),""),IF(C70="Concluído com atraso",IF(AND(ISNUMBER(T70),ISNUMBER(AC70)),MAX(0,AC70-T70),""),IF(C70="Concluído no prazo",0,"")))</f>
      </c>
      <c r="E70" s="3" t="str">
        <v>XXIV</v>
      </c>
      <c r="F70" s="3" t="str">
        <v>Despacho n.º 3406-A/2025</v>
      </c>
      <c r="G70" s="22" t="str">
        <v>Open DR act</v>
      </c>
      <c r="H70" s="20" t="d">
        <v>2025-03-17T00:00:00.000Z</v>
      </c>
      <c r="I70" s="20" t="d">
        <v>2025-03-14T00:00:00.000Z</v>
      </c>
      <c r="J70" s="20" t="d">
        <v>2025-03-14T00:00:00.000Z</v>
      </c>
      <c r="K70" s="3" t="str">
        <v>Ambiente e Energia - Gabinete da Ministra do Ambiente e Energia</v>
      </c>
      <c r="L70" s="3" t="str">
        <v>a) Gabinete do Secretário de Estado do Ambiente (GSEAmb), que coordena;</v>
      </c>
      <c r="M70" s="3" t="str">
        <v>3 - O GT é composto por um representante de cada uma das seguintes entidades:
a) Gabinete do Secretário de Estado do Ambiente (GSEAmb), que coordena;
b) Gabinete da Ministra do Ambiente e Energia (GMAEn);
c) Agência Portuguesa do Ambiente, I. P. (APA, I. P.);
d) Instituto da Conservação da Natureza e das Florestas, I. P. (ICNF, I. P.);
e) Comissão de Coordenação e Desenvolvimento Regional (CCDRAlgarve).
10 - A constituição e funcionamento do GT não confere àqueles que o integram, ou que com ele colaboram, o direito ao pagamento de qualquer remuneração nem à assunção de qualquer encargo adicional.</v>
      </c>
      <c r="N70" s="3" t="str">
        <v>Environment / Coast</v>
      </c>
      <c r="O70" s="3" t="str">
        <v>Review management and risk-reduction measures for barrier islands and the maritime public domain.</v>
      </c>
      <c r="P70" s="3" t="str">
        <v>1 - É criado um grupo de trabalho, doravante designado por GT, com a missão de, numa perspetiva de articulação, harmonização e corresponsabilização, refletir sobre a melhor implementação das medidas previstas e sua adequada calendarização, tendo em vista a salvaguarda dos valores e do risco, e sobre o modelo de gestão do domínio público marítimo adequado a cada uma das situações, considerando, nomeadamente, o enquadramento legal vigente, a natureza das ilhas barreira, a experiência, o conhecimento e o trabalho já desenvolvido até à data.</v>
      </c>
      <c r="Q70" s="3" t="str">
        <v>1 - É criado um grupo de trabalho, doravante designado por GT, com a missão de, numa perspetiva de articulação, harmonização e corresponsabilização, refletir sobre a melhor implementação das medidas previstas e sua adequada calendarização, tendo em vista a salvaguarda dos valores e do risco, e sobre o modelo de gestão do domínio público marítimo adequado a cada uma das situações, considerando, nomeadamente, o enquadramento legal vigente, a natureza das ilhas barreira, a experiência, o conhecimento e o trabalho já desenvolvido até à data.
2 - O GT deve:
a) Considerar o conhecimento mais atualizado no que se refere à vulnerabilidade das ilhas barreira à ocorrência de galgamentos oceânicos e inundações costeiras, num cenário de alterações climáticas, e no que se refere aos valores naturais em presença, e sistematizar as medidas de atuação previstas nos instrumentos de gestão territoriais vigentes, avaliando a sua adequação ao cenário de vulnerabilidade atual;
b) Refletir sobre o estado da implementação das medidas previstas, identificando os principais resultados já obtidos e os principais constrangimentos, aos diversos níveis e nos diversos âmbitos;
c) Apontar soluções para uma eficiente e efetiva implementação das medidas previstas, numa perspetiva de articulação, harmonização e corresponsabilização, e propor uma adequada calendarização da sua execução, priorizada em função da vulnerabilidade dos territórios;
d) Refletir e identificar um modelo de gestão do domínio público marítimo adequado a cada uma das situações, considerando, nomeadamente, o enquadramento legal vigente, as decisões judiciais, a natureza das ilhas barreira, a experiência, o conhecimento e o trabalho já desenvolvido até à data, e salvaguardando as questões de equidade face às decisões já concretizadas.</v>
      </c>
      <c r="R70" s="3" t="str">
        <v>1 - É criado um grupo de trabalho, doravante designado por GT, com a missão de, numa perspetiva de a: date not derivable — No uniquely dated deadline derivable from this clause; cadence or trigger is preserved.
d) Refletir e identificar um modelo de gestão do domínio público marítimo adequado a cada uma das si: date not derivable — No uniquely dated deadline derivable from this clause; cadence or trigger is preserved.
4 - As entidades referidas no número anterior devem comunicar a designação dos seus representantes a: 2025-03-22 — 2025-03-17 + 5 calendar days (monitoring convention). If CPA procedural counting applies: 2025-03-24.
7 - O GT deve apresentar, até ao final do ano, um relatório detalhado e fundamentado sobre as questõ: date not derivable — No uniquely dated deadline derivable from this clause; cadence or trigger is preserved.</v>
      </c>
      <c r="S70" s="20"/>
      <c r="T70" s="20"/>
      <c r="U70" s="3" t="str"/>
      <c r="V70" s="20"/>
      <c r="W70" s="21" t="str">
        <f>IF(AND(C70="Em atraso",ISNUMBER(V70)),MAX(0,Dashboard!$E$4-V70),"")</f>
      </c>
      <c r="X70" s="3" t="str">
        <v>Unpaid; see the original clause for the scope of the exclusion.</v>
      </c>
      <c r="Y70" s="3" t="str">
        <v>10 - A constituição e funcionamento do GT não confere àqueles que o integram, ou que com ele colaboram, o direito ao pagamento de qualquer remuneração nem à assunção de qualquer encargo adicional.</v>
      </c>
      <c r="Z70" s="3" t="str">
        <v>No dated final-output deadline / public trigger date, and delivery cannot be verified.</v>
      </c>
      <c r="AA70" s="3" t="str">
        <v>https://diariodarepublica.pt/dr/detalhe/despacho/3406-a-2025-911344585</v>
      </c>
      <c r="AB70" s="22" t="str">
        <v>Open evidence</v>
      </c>
      <c r="AC70" s="20"/>
      <c r="AD70" s="3" t="str">
        <v>No delivery evidence identified.</v>
      </c>
      <c r="AE70" s="3" t="str">
        <v>Not independently verified.</v>
      </c>
      <c r="AF70" s="3" t="str"/>
      <c r="AG70" s="3" t="str"/>
      <c r="AH70" s="3" t="str"/>
      <c r="AI70" s="3" t="str">
        <v>DR full-period singular/plural/technical phrase inventories; later acts reviewed. Outcome search: "grupo de trabalho" ilhas barreira domínio público marítimo relatório conclusões after:2024-04-01 before:2026-10-11. Domains: portugal.gov.pt, gov.pt, parlamento.pt, diariodarepublica.pt, justica.gov.pt, dgav.pt, icnf.pt, anac.pt, dgeg.gov.pt. Official evidence/limitations recorded in this row.</v>
      </c>
      <c r="AJ70" s="20" t="d">
        <v>2026-10-10T00:00:00.000Z</v>
      </c>
      <c r="AK70" s="3" t="str">
        <v>2025-03-14</v>
      </c>
      <c r="AL70" s="3" t="str">
        <v>Latest signature used where multiple signatures occur.</v>
      </c>
      <c r="AM70" s="3" t="str">
        <v>Express name / creating-act summary; descriptive source label where no formal name is assigned.</v>
      </c>
      <c r="AN70" s="3" t="str">
        <v>Environment / Energy</v>
      </c>
      <c r="AO70" s="3" t="str">
        <v>No dated final output / unknown trigger</v>
      </c>
      <c r="AP70" s="3" t="str"/>
      <c r="AQ70" s="21" t="str">
        <f>IF(AND(C70="Em atraso",ISNUMBER(D70)),COUNTIFS(Groups!$C$6:$C$127,"Em atraso",Groups!$D$6:$D$127,"&gt;"&amp;D70)+COUNTIFS($C$6:C70,"Em atraso",$D$6:D70,D70),"")</f>
      </c>
      <c r="AR70" s="21" t="n">
        <f>IF(COUNTIF($F$6:F70,F70)=1,1,0)</f>
        <v>1</v>
      </c>
    </row>
    <row r="71" ht="96" customHeight="1">
      <c r="A71" s="3" t="str">
        <v>GT-2025-015</v>
      </c>
      <c r="B71" s="3" t="str">
        <v>Grupo de Trabalho no âmbito da implementação das medidas necessárias para o cumprimento das disposições do Regulamento Europeu do Espaço de Dados em Saúde</v>
      </c>
      <c r="C71" s="3" t="str">
        <v>Em atraso</v>
      </c>
      <c r="D71" s="21" t="n">
        <f>IF(C71="Em atraso",IF(ISNUMBER(T71),MAX(0,Dashboard!$E$4-T71),""),IF(C71="Concluído com atraso",IF(AND(ISNUMBER(T71),ISNUMBER(AC71)),MAX(0,AC71-T71),""),IF(C71="Concluído no prazo",0,"")))</f>
        <v>203</v>
      </c>
      <c r="E71" s="3" t="str">
        <v>XXIV</v>
      </c>
      <c r="F71" s="3" t="str">
        <v>Despacho n.º 3518/2025</v>
      </c>
      <c r="G71" s="22" t="str">
        <v>Open DR act</v>
      </c>
      <c r="H71" s="20" t="d">
        <v>2025-03-20T00:00:00.000Z</v>
      </c>
      <c r="I71" s="20" t="d">
        <v>2025-03-17T00:00:00.000Z</v>
      </c>
      <c r="J71" s="20" t="d">
        <v>2025-03-21T00:00:00.000Z</v>
      </c>
      <c r="K71" s="3" t="str">
        <v>Saúde - Gabinete da Secretária de Estado da Gestão da Saúde</v>
      </c>
      <c r="L71" s="3" t="str">
        <v>One of the two SPMS representatives; named person not verified.</v>
      </c>
      <c r="M71" s="3" t="str">
        <v>3 - O Grupo de Trabalho é constituído por:
a) Dois representantes da SPMS - Serviços Partilhados do Ministério da Saúde, E. P. E., sendo um nomeado coordenador;
b) Um representante da Administração Central do Sistema de Saúde, I. P.;
c) Um representante da Direção Executiva do Serviço Nacional de Saúde, I. P.;
d) Um representante da Direção-Geral da Saúde;
e) Um representante do INFARMED, I. P.;
f) Um representante da Região Autónoma dos Açores;
g) Um representante da Região Autónoma da Madeira;
h) Um representante da Nova IMS.</v>
      </c>
      <c r="N71" s="3" t="str">
        <v>Health / Digital</v>
      </c>
      <c r="O71" s="3" t="str">
        <v>Propose the governance model needed to implement the European Health Data Space.</v>
      </c>
      <c r="P71" s="3" t="str">
        <v>1 - É criado o Grupo de Trabalho no âmbito da implementação das medidas necessárias para o cumprimento das disposições do Regulamento Europeu do Espaço de Dados em Saúde.</v>
      </c>
      <c r="Q71" s="3" t="str">
        <v>2 - É objetivo deste Grupo de Trabalho propor o modelo de governação em alinhamento com as orientações e boas práticas europeias.
6 - Deve ser consultada a Agência para a Modernização Administrativa, a Comissão Nacional de Proteção de Dados e o Centro Nacional de Cibersegurança.
9 - Deve ser concedida dispensa aos profissionais que integram o Grupo de Trabalho nas horas em que as tarefas a seu cargo os obriguem a ausentar-se dos respetivos locais de trabalho.
12 - O Grupo de Trabalho deve apresentar-me:
a) No prazo máximo de 6 meses a contar da entrada em vigor do presente despacho, um relatório, que deve incluir uma resposta ao objetivo referido no n.º 2;
b) No prazo máximo de 12 meses, um relatório final que integre a resposta ao objetivo referido na alínea anterior, bem como o resultado da consulta às entidades referidas no n.º 5 do presente despacho.</v>
      </c>
      <c r="R71" s="3" t="str">
        <v>4 - As referidas entidades devem indicar no prazo de 5 dias os representantes referidos no número an: date not derivable — 5 dias after trigger: anchor not expressly specified; exact date cannot be verified.
11 - O mandato do Grupo de Trabalho tem a duração de 12 meses, a contar da entrada em vigor do prese: 2026-03-21 — 2025-03-21 + 12 meses by calendar anniversary, end-of-month capped if necessary.
a) No prazo máximo de 6 meses a contar da entrada em vigor do presente despacho, um relatório, que d: 2025-09-21 — 2025-03-21 + 6 meses by calendar anniversary, end-of-month capped if necessary.
b) No prazo máximo de 12 meses, um relatório final que integre a resposta ao objetivo referido na al: 2026-03-21 — 2025-03-21 + 12 meses by calendar anniversary, end-of-month capped if necessary.
Final report / last specified substantive output: 2026-03-21 — effective 2025-03-21 + 12 calendar months (anniversary rule).</v>
      </c>
      <c r="S71" s="20" t="d">
        <v>2026-03-21T00:00:00.000Z</v>
      </c>
      <c r="T71" s="20" t="d">
        <v>2026-03-21T00:00:00.000Z</v>
      </c>
      <c r="U71" s="3" t="str">
        <v>effective 2025-03-21 + 12 calendar months (anniversary rule).</v>
      </c>
      <c r="V71" s="20"/>
      <c r="W71" s="21" t="str">
        <f>IF(AND(C71="Em atraso",ISNUMBER(V71)),MAX(0,Dashboard!$E$4-V71),"")</f>
      </c>
      <c r="X71" s="3" t="str">
        <v>Unpaid group participation; expense/allowance terms are stated in the original clause.</v>
      </c>
      <c r="Y71" s="3" t="str">
        <v>8 - Aos membros do Grupo de Trabalho e aos colaboradores referidos no n.º 3 do presente despacho, não é devido o pagamento de qualquer remuneração ou abono pelo trabalho desenvolvido, sem prejuízo de eventuais encargos relativos a despesas de deslocação e ajudas de custo, nos termos da legislação em vigor, serem suportados pelos respetivos locais de origem.</v>
      </c>
      <c r="Z71" s="3" t="str">
        <v>Controlling benchmark has passed; no evidence of this output’s delivery identified in the reviewed acts and focused official-source outcome search.</v>
      </c>
      <c r="AA71" s="3" t="str">
        <v>https://diariodarepublica.pt/dr/detalhe/despacho/3518-2025-911650069</v>
      </c>
      <c r="AB71" s="22" t="str">
        <v>Open evidence</v>
      </c>
      <c r="AC71" s="20"/>
      <c r="AD71" s="3" t="str">
        <v>No delivery evidence identified.</v>
      </c>
      <c r="AE71" s="3" t="str">
        <v>Not independently verified.</v>
      </c>
      <c r="AF71" s="3" t="str"/>
      <c r="AG71" s="3" t="str"/>
      <c r="AH71" s="3" t="str"/>
      <c r="AI71" s="3" t="str">
        <v>DR full-period singular/plural/technical phrase inventories; later acts reviewed. Outcome search: "grupo de trabalho" Espaço Europeu Dados Saúde governação relatório conclusões after:2024-04-01 before:2026-10-11. Domains: portugal.gov.pt, gov.pt, parlamento.pt, diariodarepublica.pt, justica.gov.pt, dgav.pt, icnf.pt, anac.pt, dgeg.gov.pt. Official evidence/limitations recorded in this row.</v>
      </c>
      <c r="AJ71" s="20" t="d">
        <v>2026-10-10T00:00:00.000Z</v>
      </c>
      <c r="AK71" s="3" t="str">
        <v>2025-03-17</v>
      </c>
      <c r="AL71" s="3" t="str">
        <v>Day after publication.</v>
      </c>
      <c r="AM71" s="3" t="str">
        <v>Express name / creating-act summary; descriptive source label where no formal name is assigned.</v>
      </c>
      <c r="AN71" s="3" t="str">
        <v>Health</v>
      </c>
      <c r="AO71" s="3" t="str">
        <v>Final report / last specified substantive output</v>
      </c>
      <c r="AP71" s="3" t="str">
        <v>Calendar monitoring benchmark; absence of public evidence is not proof of non-delivery.</v>
      </c>
      <c r="AQ71" s="21" t="n">
        <f>IF(AND(C71="Em atraso",ISNUMBER(D71)),COUNTIFS(Groups!$C$6:$C$127,"Em atraso",Groups!$D$6:$D$127,"&gt;"&amp;D71)+COUNTIFS($C$6:C71,"Em atraso",$D$6:D71,D71),"")</f>
        <v>49</v>
      </c>
      <c r="AR71" s="21" t="n">
        <f>IF(COUNTIF($F$6:F71,F71)=1,1,0)</f>
        <v>1</v>
      </c>
    </row>
    <row r="72" ht="96" customHeight="1">
      <c r="A72" s="3" t="str">
        <v>GT-2025-016</v>
      </c>
      <c r="B72" s="3" t="str">
        <v>grupo de trabalho para promover a articulação com parceiros científicos espanhóis no sentido da criação do Centro Ibérico de Investigação em Armazenamento de Energia</v>
      </c>
      <c r="C72" s="3" t="str">
        <v>Em atraso</v>
      </c>
      <c r="D72" s="21" t="n">
        <f>IF(C72="Em atraso",IF(ISNUMBER(T72),MAX(0,Dashboard!$E$4-T72),""),IF(C72="Concluído com atraso",IF(AND(ISNUMBER(T72),ISNUMBER(AC72)),MAX(0,AC72-T72),""),IF(C72="Concluído no prazo",0,"")))</f>
        <v>528</v>
      </c>
      <c r="E72" s="3" t="str">
        <v>XXIV</v>
      </c>
      <c r="F72" s="3" t="str">
        <v>Despacho n.º 3675/2025</v>
      </c>
      <c r="G72" s="22" t="str">
        <v>Open DR act</v>
      </c>
      <c r="H72" s="20" t="d">
        <v>2025-03-24T00:00:00.000Z</v>
      </c>
      <c r="I72" s="20" t="d">
        <v>2025-03-11T00:00:00.000Z</v>
      </c>
      <c r="J72" s="20" t="d">
        <v>2025-03-25T00:00:00.000Z</v>
      </c>
      <c r="K72" s="3" t="str">
        <v>Educação, Ciência e Inovação, Economia e Ambiente e Energia - Gabinete do Ministro da Educação, Ciência e Inovação, Gabinete do Ministro da Economia e Gabinete da Ministra do Ambiente e Energia</v>
      </c>
      <c r="L72" s="3" t="str">
        <v>a) Pedro André dos Santos Ribeiro Horta, investigador coordenador convidado da Universidade de Évora, em representação da área governativa da Educação, Ciência e Inovação, que coordena;</v>
      </c>
      <c r="M72" s="3" t="str">
        <v>4 - O grupo de trabalho tem a seguinte composição:
a) Pedro André dos Santos Ribeiro Horta, investigador coordenador convidado da Universidade de Évora, em representação da área governativa da Educação, Ciência e Inovação, que coordena;
b) Pedro Manuel Parracho Salomé, investigador principal do Laboratório Internacional Ibérico de Nanotecnologias, em representação da área governativa da Educação, Ciência e Inovação;
c) Paulo Sérgio Duque de Brito, professor coordenador do Instituto Politécnico de Portalegre, em representação da área governativa da Educação, Ciência e Inovação;
d) Maria Helena Sousa Soares de Oliveira Braga, professora associada da Faculdade de Engenharia da Universidade do Porto, em representação da área governativa da Educação, Ciência e Inovação;
e) Pedro Amaral Jorge, presidente da Direção da Associação Portuguesa de Energias Renováveis, em representação da área governativa da Economia;
f) Maria Teresa Costa Pereira da Silva Ponce de Leão, presidente do Laboratório Nacional de Energia e Geologia, em representação da área governativa do Ambiente e Energia;
g) Um representante da Fundação para a Ciência e a Tecnologia, I. P., a designar pelo seu presidente;
h) Um representante da Agência Nacional de Inovação, S. A., a designar pelo seu presidente.</v>
      </c>
      <c r="N72" s="3" t="str">
        <v>Science / Energy</v>
      </c>
      <c r="O72" s="3" t="str">
        <v>Coordinate Portuguese scientific contributions to the Iberian energy-storage research centre in Cáceres.</v>
      </c>
      <c r="P72" s="3" t="str">
        <v>1 - É constituído um grupo de trabalho para promover a articulação técnico-científica com parceiros científicos definidos pelo Governo do Reino de Espanha, doravante designados por parceiros científicos espanhóis, no sentido da criação do Centro Ibérico de Investigação em Armazenamento de Energia (CIIAE), a instalar no Município de Cáceres, em Espanha.</v>
      </c>
      <c r="Q72" s="3" t="str">
        <v>6 - O coordenador do grupo de trabalho poderá solicitar, sempre que considere conveniente, a intervenção nas reuniões e no exercício das demais funções no âmbito do presente despacho de um técnico especializado nas matérias em análise.
10 - Os membros do grupo de trabalho, bem como os técnicos ou outras personalidades e entidades que participem nas reuniões ou sejam consultados no âmbito do presente despacho, não auferem qualquer remuneração ou abono pelo exercício das suas funções.</v>
      </c>
      <c r="R72" s="3" t="str">
        <v>2 - O grupo de trabalho deverá apresentar, até ao dia 30 de abril de 2025, um relatório com os contr: 2025-04-30 — Explicit calendar date in the act.
5 - Os representantes referidos nas alíneas g) e h) do número anterior são designados no prazo de 10: 2025-04-03 — 2025-03-24 + 10 calendar days (monitoring convention). If CPA procedural counting applies: 2025-04-07.
Final report / last specified substantive output: 2025-04-30 — Fixed date / explicit year-end in creating act.</v>
      </c>
      <c r="S72" s="20" t="d">
        <v>2025-04-30T00:00:00.000Z</v>
      </c>
      <c r="T72" s="20" t="d">
        <v>2025-04-30T00:00:00.000Z</v>
      </c>
      <c r="U72" s="3" t="str">
        <v>Fixed date / explicit year-end in creating act.</v>
      </c>
      <c r="V72" s="20"/>
      <c r="W72" s="21" t="str">
        <f>IF(AND(C72="Em atraso",ISNUMBER(V72)),MAX(0,Dashboard!$E$4-V72),"")</f>
      </c>
      <c r="X72" s="3" t="str">
        <v>Unpaid; see the original clause for the scope of the exclusion.</v>
      </c>
      <c r="Y72" s="3" t="str">
        <v>10 - Os membros do grupo de trabalho, bem como os técnicos ou outras personalidades e entidades que participem nas reuniões ou sejam consultados no âmbito do presente despacho, não auferem qualquer remuneração ou abono pelo exercício das suas funções.</v>
      </c>
      <c r="Z72" s="3" t="str">
        <v>Controlling benchmark has passed; no evidence of this output’s delivery identified in the reviewed acts and focused official-source outcome search.</v>
      </c>
      <c r="AA72" s="3" t="str">
        <v>https://diariodarepublica.pt/dr/detalhe/despacho/3675-2025-911850448</v>
      </c>
      <c r="AB72" s="22" t="str">
        <v>Open evidence</v>
      </c>
      <c r="AC72" s="20"/>
      <c r="AD72" s="3" t="str">
        <v>No delivery evidence identified.</v>
      </c>
      <c r="AE72" s="3" t="str">
        <v>Not independently verified.</v>
      </c>
      <c r="AF72" s="3" t="str"/>
      <c r="AG72" s="3" t="str"/>
      <c r="AH72" s="3" t="str"/>
      <c r="AI72" s="3" t="str">
        <v>DR full-period singular/plural/technical phrase inventories; later acts reviewed. Outcome search: "grupo de trabalho" CIIAE armazenamento energia Cáceres relatório conclusões after:2024-04-01 before:2026-10-11. Domains: portugal.gov.pt, gov.pt, parlamento.pt, diariodarepublica.pt, justica.gov.pt, dgav.pt, icnf.pt, anac.pt, dgeg.gov.pt. Official evidence/limitations recorded in this row.</v>
      </c>
      <c r="AJ72" s="20" t="d">
        <v>2026-10-10T00:00:00.000Z</v>
      </c>
      <c r="AK72" s="3" t="str">
        <v>2025-03-09; 2025-03-11</v>
      </c>
      <c r="AL72" s="3" t="str">
        <v>Day after publication.</v>
      </c>
      <c r="AM72" s="3" t="str">
        <v>Express name / creating-act summary; descriptive source label where no formal name is assigned.</v>
      </c>
      <c r="AN72" s="3" t="str">
        <v>Education / Science; Economy; Environment / Energy</v>
      </c>
      <c r="AO72" s="3" t="str">
        <v>Final report / last specified substantive output</v>
      </c>
      <c r="AP72" s="3" t="str">
        <v>Calendar monitoring benchmark; absence of public evidence is not proof of non-delivery.</v>
      </c>
      <c r="AQ72" s="21" t="n">
        <f>IF(AND(C72="Em atraso",ISNUMBER(D72)),COUNTIFS(Groups!$C$6:$C$127,"Em atraso",Groups!$D$6:$D$127,"&gt;"&amp;D72)+COUNTIFS($C$6:C72,"Em atraso",$D$6:D72,D72),"")</f>
        <v>14</v>
      </c>
      <c r="AR72" s="21" t="n">
        <f>IF(COUNTIF($F$6:F72,F72)=1,1,0)</f>
        <v>1</v>
      </c>
    </row>
    <row r="73" ht="96" customHeight="1">
      <c r="A73" s="3" t="str">
        <v>GT-2025-017</v>
      </c>
      <c r="B73" s="3" t="str">
        <v>grupo de trabalho para a preparação da extinção das plataformas associadas ao sistema de acesso e para a implementação do novo Sistema de Informação Nacional de Acesso a Consulta e Cirurgia (SINACC), e outros sistemas conexos, nos termos do previsto no Plano de Emergência e Transformação da Saúde (PETS), tendo como missão coordenar a transição para o SINACC, garantindo a implementação dos novos processos de gestão do acesso a consultas hospitalares, cirurgias e procedimentos terapêuticos no SNS</v>
      </c>
      <c r="C73" s="3" t="str">
        <v>Sem informação pública</v>
      </c>
      <c r="D73" s="21" t="str">
        <f>IF(C73="Em atraso",IF(ISNUMBER(T73),MAX(0,Dashboard!$E$4-T73),""),IF(C73="Concluído com atraso",IF(AND(ISNUMBER(T73),ISNUMBER(AC73)),MAX(0,AC73-T73),""),IF(C73="Concluído no prazo",0,"")))</f>
      </c>
      <c r="E73" s="3" t="str">
        <v>XXIV</v>
      </c>
      <c r="F73" s="3" t="str">
        <v>Despacho n.º 3918/2025</v>
      </c>
      <c r="G73" s="22" t="str">
        <v>Open DR act</v>
      </c>
      <c r="H73" s="20" t="d">
        <v>2025-03-28T00:00:00.000Z</v>
      </c>
      <c r="I73" s="20" t="d">
        <v>2025-03-20T00:00:00.000Z</v>
      </c>
      <c r="J73" s="20" t="d">
        <v>2025-03-29T00:00:00.000Z</v>
      </c>
      <c r="K73" s="3" t="str">
        <v>Saúde - Gabinete da Ministra da Saúde</v>
      </c>
      <c r="L73" s="3" t="str">
        <v>3 - O grupo de trabalho é coordenado por Joana Irene Barros Mourão, cuja sinopse curricular consta do anexo i ao presente despacho e do qual faz parte integrante.
6 - O grupo de trabalho reunirá semanalmente de forma ordinária e, extraordinariamente, sempre que convocado pelo seu coordenador.</v>
      </c>
      <c r="M73" s="3" t="str">
        <v>3 - O grupo de trabalho é coordenado por Joana Irene Barros Mourão, cuja sinopse curricular consta do anexo i ao presente despacho e do qual faz parte integrante.
4 - O grupo de trabalho tem natureza temporária e é constituído pelos seguintes elementos:
a) Pedro Melo Lopes, em representação do Gabinete da Ministra da Saúde;
b) Carlos Galamba, vice-presidente do Conselho Diretivo da Administração Central do Sistema de Saúde;
c) Rui Santos, diretor dos Sistemas de Cuidados de Saúde, Serviços Partilhados do Ministério da Saúde;
d) Bernardo Teixeira, gestor de Núcleo de Sistemas de Mobilidade e Acesso, Serviços Partilhados do Ministério da Saúde;
e) Joana Fonseca Castro, diretora do Gabinete Jurídico e de Contencioso no INFARMED, I. P.;
f) Um representante da Direção Executiva do SNS - a designar;
g) Carla Gonçalo, em representação do IPO Lisboa, E. P. E.;
h) Carlos Martins, em representação da ULS Santa Maria, E. P. E.;
i) Alexandre Lourenço, em representação da ULS Coimbra, E. P. E.;
j) Pedro Marques da Cunha, em representação da ULS Alto Ave, E. P. E.;
k) Luís Campos Pinheiro, médico da ULS São José, E. P. E., Faculdade de Ciências Medicas da Universidade Nova de Lisboa;
l) Jorge Pereira, médico especialista em cirurgia geral da ULS Viseu-Lafões, E. P. E.;
m) Cláudia Belo Ferreira, administradora, Faculdade de Farmácia da Universidade de Lisboa;
n) Paulo Sousa Almeida, médico especialista em medicina interna da ULS de São João, E. P. E., Faculdade de Medicina da Universidade do Porto;
o) Donzília da Conceição Sousa da Silva, médica especialista em cirurgia geral da ULS de Santo António, E. P. E., e Instituto de Ciências Biomédicas de Abel Salazar - Universidade do Porto;
p) Donzília de Sousa Brito, médica especialista em cirurgia geral do Instituto Português de Oncologia do Porto Francisco Gentil, E. P. E.;
q) José Luís de Pinho Fernandes, médico especialista em medicina geral e familiar da ULS de Gaia/Espinho, E. P. E.;</v>
      </c>
      <c r="N73" s="3" t="str">
        <v>Health / Digital</v>
      </c>
      <c r="O73" s="3" t="str">
        <v>Plan the transition from existing waiting-list systems to SINACC and recommend implementation and legal changes.</v>
      </c>
      <c r="P73" s="3" t="str">
        <v>1 - É criado o grupo de trabalho para a preparação da extinção das plataformas associadas ao sistema de acesso e para a implementação do novo Sistema de Informação Nacional de Acesso a Consulta e Cirurgia (SINACC), e outros sistemas conexos, nos termos do previsto no Plano de Emergência e Transformação da Saúde (PETS), tendo como missão coordenar a transição para o SINACC, garantindo a implementação dos novos processos de gestão do acesso a consultas hospitalares, cirurgias e procedimentos terapêuticos no SNS.</v>
      </c>
      <c r="Q73" s="3" t="str">
        <v>1 - É criado o grupo de trabalho para a preparação da extinção das plataformas associadas ao sistema de acesso e para a implementação do novo Sistema de Informação Nacional de Acesso a Consulta e Cirurgia (SINACC), e outros sistemas conexos, nos termos do previsto no Plano de Emergência e Transformação da Saúde (PETS), tendo como missão coordenar a transição para o SINACC, garantindo a implementação dos novos processos de gestão do acesso a consultas hospitalares, cirurgias e procedimentos terapêuticos no SNS.
2 - O grupo de trabalho tem como missão assegurar a transição para o SINACC, tendo em vista os seguintes objetivos:
a) Elaborar um plano de transição garantindo a continuidade assistencial e a minimização de impactos no acesso aos cuidados de saúde programados;
b) Definir os procedimentos operacionais para a gestão das listas de espera de consultas, cirurgias e procedimentos terapêuticos programados, uniformizando os critérios de priorização e referenciação;
c) Coordenar a adaptação dos sistemas de informação, assegurando a interoperabilidade entre as plataformas digitais do SNS e a integração do novo modelo de gestão;
d) Desenvolver um plano de formação para os profissionais envolvidos na gestão do acesso a cuidados programados, garantindo a capacitação para os novos processos;
e) Propor mecanismos de monitorização e auditoria que permitam a avaliação contínua do desempenho do SINACC, assegurando o cumprimento dos Tempos Máximos de Resposta Garantidos (TMRG);
f) Estabelecer estratégias para uma comunicação eficaz com os utentes, garantindo a transparência e acessibilidade das informações sobre os tempos de espera e critérios de acesso;
g) Propor a revisão do quadro normativo vigente e as medidas legislativas necessárias à implementação do programa.
8 - Deve ser concedida dispensa aos profissionais que integram o grupo de trabalho nas horas em que as tarefas a seu cargo os obriguem a ausentar-se dos respetivos locais de trabalho.</v>
      </c>
      <c r="R73" s="3" t="str">
        <v>10 - O grupo de trabalho terá a duração de seis meses, devendo, no prazo de 60 dias, apresentar um r: date not derivable — 6 meses after trigger: anchor not expressly specified; exact date cannot be verified.
Final report / last specified substantive output: 2025-09-29 — effective 2025-03-29 + 6 calendar months (anniversary rule).</v>
      </c>
      <c r="S73" s="20" t="d">
        <v>2025-09-29T00:00:00.000Z</v>
      </c>
      <c r="T73" s="20" t="d">
        <v>2025-09-29T00:00:00.000Z</v>
      </c>
      <c r="U73" s="3" t="str">
        <v>effective 2025-03-29 + 6 calendar months (anniversary rule).</v>
      </c>
      <c r="V73" s="20"/>
      <c r="W73" s="21" t="str">
        <f>IF(AND(C73="Em atraso",ISNUMBER(V73)),MAX(0,Dashboard!$E$4-V73),"")</f>
      </c>
      <c r="X73" s="3" t="str">
        <v>Unpaid group participation; expense/allowance terms are stated in the original clause.</v>
      </c>
      <c r="Y73" s="3" t="str">
        <v>7 - A participação dos membros no grupo de trabalho não confere o direito a qualquer prestação, independentemente da respetiva natureza, designadamente a título de remuneração, compensação, subsídio, senha de presenças ou ajudas de custo.</v>
      </c>
      <c r="Z73" s="3" t="str">
        <v>Delivery is officially confirmed, but the handover date is not public; timeliness cannot be classified.</v>
      </c>
      <c r="AA73" s="3" t="str">
        <v>https://diariodarepublica.pt/dr/detalhe/despacho/3918-2025-912846496
https://diariodarepublica.pt/dr/detalhe/despacho/14188-2025-955733785</v>
      </c>
      <c r="AB73" s="22" t="str">
        <v>Open evidence</v>
      </c>
      <c r="AC73" s="20"/>
      <c r="AD73" s="3" t="str">
        <v>Despacho 14188/2025 expressly acknowledges completion and presentation of the SINACC design group’s final report, but does not date delivery.</v>
      </c>
      <c r="AE73" s="3" t="str">
        <v>SINACC subsequently created by Decreto-Lei 12/2026; implementation handled by a separate group.</v>
      </c>
      <c r="AF73" s="3" t="str">
        <v>https://diariodarepublica.pt/dr/detalhe/decreto-lei/12-2026-1019913911</v>
      </c>
      <c r="AG73" s="3" t="str"/>
      <c r="AH73" s="3" t="str">
        <v> The act has no concise formal name; the label follows its Portuguese creating clause/summary.</v>
      </c>
      <c r="AI73" s="3" t="str">
        <v>DR full-period singular/plural/technical phrase inventories; later acts reviewed. Outcome search: "grupo de trabalho" SINACC relatório preparação relatório conclusões after:2024-04-01 before:2026-10-11. Domains: portugal.gov.pt, gov.pt, parlamento.pt, diariodarepublica.pt, justica.gov.pt, dgav.pt, icnf.pt, anac.pt, dgeg.gov.pt. Official evidence/limitations recorded in this row.</v>
      </c>
      <c r="AJ73" s="20" t="d">
        <v>2026-10-10T00:00:00.000Z</v>
      </c>
      <c r="AK73" s="3" t="str">
        <v>2025-03-20</v>
      </c>
      <c r="AL73" s="3" t="str">
        <v>Day after publication.</v>
      </c>
      <c r="AM73" s="3" t="str">
        <v>Express name / creating-act summary; descriptive source label where no formal name is assigned.</v>
      </c>
      <c r="AN73" s="3" t="str">
        <v>Health</v>
      </c>
      <c r="AO73" s="3" t="str">
        <v>Final report / last specified substantive output</v>
      </c>
      <c r="AP73" s="3" t="str"/>
      <c r="AQ73" s="21" t="str">
        <f>IF(AND(C73="Em atraso",ISNUMBER(D73)),COUNTIFS(Groups!$C$6:$C$127,"Em atraso",Groups!$D$6:$D$127,"&gt;"&amp;D73)+COUNTIFS($C$6:C73,"Em atraso",$D$6:D73,D73),"")</f>
      </c>
      <c r="AR73" s="21" t="n">
        <f>IF(COUNTIF($F$6:F73,F73)=1,1,0)</f>
        <v>1</v>
      </c>
    </row>
    <row r="74" ht="96" customHeight="1">
      <c r="A74" s="3" t="str">
        <v>GT-2025-018</v>
      </c>
      <c r="B74" s="3" t="str">
        <v>GTRI em espaço rural — Zona Norte — 1 de 2</v>
      </c>
      <c r="C74" s="3" t="str">
        <v>Em atraso</v>
      </c>
      <c r="D74" s="21" t="n">
        <f>IF(C74="Em atraso",IF(ISNUMBER(T74),MAX(0,Dashboard!$E$4-T74),""),IF(C74="Concluído com atraso",IF(AND(ISNUMBER(T74),ISNUMBER(AC74)),MAX(0,AC74-T74),""),IF(C74="Concluído no prazo",0,"")))</f>
        <v>283</v>
      </c>
      <c r="E74" s="3" t="str">
        <v>XXIV</v>
      </c>
      <c r="F74" s="3" t="str">
        <v>Despacho n.º 5543-A/2025</v>
      </c>
      <c r="G74" s="22" t="str">
        <v>Open DR act</v>
      </c>
      <c r="H74" s="20" t="d">
        <v>2025-05-15T00:00:00.000Z</v>
      </c>
      <c r="I74" s="20" t="d">
        <v>2025-05-15T00:00:00.000Z</v>
      </c>
      <c r="J74" s="20" t="d">
        <v>2025-05-15T00:00:00.000Z</v>
      </c>
      <c r="K74" s="3" t="str">
        <v>Justiça, Administração Interna e Agricultura e Pescas - Gabinete da Ministra da Justiça, Gabinete do Secretário de Estado da Proteção Civil e Gabinete do Secretário de Estado das Florestas</v>
      </c>
      <c r="L74" s="3" t="str">
        <v>Operational coordinator jointly selected by PJ and GNR (clause 7); criminal-investigation coordination: GPAA/PJ and SEPNA/GNR (clause 8); functional/logistical support: ICNF (clauses 2 and 9).</v>
      </c>
      <c r="M74" s="3" t="str">
        <v>6 - Os grupos de trabalho são constituídos por:
a) Um diretor regional adjunto, responsável pela área de gestão de fogos rurais, a designar pelo conselho diretivo do ICNF, I. P., que enquadra o funcionamento do grupo nas estratégias regionais de redução de ignições;
b) Um representante da PJ;
c) Um representante da GNR.</v>
      </c>
      <c r="N74" s="3" t="str">
        <v>Civil protection / Forests</v>
      </c>
      <c r="O74" s="3" t="str">
        <v>Improve rural-fire cause investigation, surveillance, prevention and inter-agency information sharing.</v>
      </c>
      <c r="P74" s="3" t="str">
        <v>1 - São criados cinco grupos de trabalho, também designados GTRI em espaço rural, que têm como missão aumentar a eficiência no apuramento das causas de incêndios florestais e garantir uma eficaz vigilância do uso indevido do fogo, com vista à redução do número de ignições em espaço rural.</v>
      </c>
      <c r="Q74" s="3" t="str">
        <v>5 - Os grupos de trabalho ora constituídos prosseguem, na respetiva área territorial, os seguintes objetivos:
a) Colaborar na investigação dos incêndios rurais, em especial nos territórios com elevados níveis de causalidade indeterminada ou com causas de tipologia dolosa;
b) Participar em ações de sensibilização que promovam alterações comportamentais e a adoção das melhores práticas de segurança, individual e coletiva;
c) Produzir recomendações sobre a prevenção das ignições;
d) Produzir informação de suporte à tomada de decisão que permita fixar objetivos regionais ao nível da redução no número de ocorrências e aumentar a eficiência e eficácia dos planos operacionais municipais de sensibilização, fiscalização, vigilância e patrulhamento dissuasor;
e) Identificar locais prioritários para intervenção, e respetivo calendário de atuação, caracterizando-os em função dos valores a proteger, concentração de ocorrências no tempo e no espaço, e evidências de causalidade dolosa;
f) Promover a articulação institucional conducente à rápida e total partilha de informação para identificação de prioridades e modo de atuação;
g) Garantir a ligação às comissões sub-regionais de gestão integrada de fogos rurais e municípios, sobretudo em momentos de picos de ocorrências;
h) Disponibilizar capacidade técnica complementar na avaliação e diagnóstico de territórios prioritários.</v>
      </c>
      <c r="R74" s="3" t="str">
        <v>10 - Os representantes das entidades referidas nas alíneas b) e c) do n.º 6 e no n.º 7 são indicados: 2025-06-04 — 2025-05-15 + 20 calendar days (monitoring convention). If CPA procedural counting applies: 2025-06-13.
15 - Anualmente, até 31 de dezembro, os grupos de trabalho apresentam às respetivas tutelas um relat: date not derivable — No uniquely dated deadline derivable from this clause; cadence or trigger is preserved.
16 - Os mandatos dos grupos de trabalho terminam no final do ano de 2028.: 2028-12-31 — Explicit year-end: 31 December 2028.
2025 annual report (five regional groups): 2025-12-31 — Annual report required by 31 December; first statutory reporting year is 2025.
Annual reports: 2026: 2026-12-31 — Every year by 31 December; clause 15.
Annual reports: 2027: 2027-12-31 — Every year by 31 December; clause 15.
Annual reports: 2028 / end of mandate: 2028-12-31 — Every year by 31 December; mandate ends at end of 2028 (clauses 15–16).</v>
      </c>
      <c r="S74" s="20" t="d">
        <v>2025-12-31T00:00:00.000Z</v>
      </c>
      <c r="T74" s="20" t="d">
        <v>2025-12-31T00:00:00.000Z</v>
      </c>
      <c r="U74" s="3" t="str">
        <v>Annual report required by 31 December; first statutory reporting year is 2025.</v>
      </c>
      <c r="V74" s="20"/>
      <c r="W74" s="21" t="str">
        <f>IF(AND(C74="Em atraso",ISNUMBER(V74)),MAX(0,Dashboard!$E$4-V74),"")</f>
      </c>
      <c r="X74" s="3" t="str">
        <v>Unpaid group participation; expense/allowance terms are stated in the original clause.</v>
      </c>
      <c r="Y74" s="3" t="str">
        <v>12 - Os membros dos grupos de trabalho não auferem qualquer remuneração ou abono suplementares aos referidos no número seguinte pelo exercício das suas funções, podendo ser concedida a isenção de horário, nos termos da legislação em vigor.
13 - Os encargos com os vencimentos e com as ajudas de custo associadas ao desenvolvimento da atividade dos grupos de trabalho são da responsabilidade das entidades que designam os representantes.</v>
      </c>
      <c r="Z74" s="3" t="str">
        <v>Controlling benchmark has passed; no evidence of this output’s delivery identified in the reviewed acts and focused official-source outcome search.</v>
      </c>
      <c r="AA74" s="3" t="str">
        <v>https://diariodarepublica.pt/dr/detalhe/despacho/5543-a-2025-918326433</v>
      </c>
      <c r="AB74" s="22" t="str">
        <v>Open evidence</v>
      </c>
      <c r="AC74" s="20"/>
      <c r="AD74" s="3" t="str">
        <v>No delivery evidence identified.</v>
      </c>
      <c r="AE74" s="3" t="str">
        <v>Not independently verified.</v>
      </c>
      <c r="AF74" s="3" t="str"/>
      <c r="AG74" s="3" t="str"/>
      <c r="AH74" s="3" t="str">
        <v>Act creates five groups. Regional suffixes distinguish statutory slots; the act does not assign individual group names.</v>
      </c>
      <c r="AI74" s="3" t="str">
        <v>DR full-period singular/plural/technical phrase inventories; later acts reviewed. Outcome search: "grupo de trabalho" GTRI investigação incêndios espaço rural relatório 2025 relatório conclusões after:2024-04-01 before:2026-10-11. Domains: portugal.gov.pt, gov.pt, parlamento.pt, diariodarepublica.pt, justica.gov.pt, dgav.pt, icnf.pt, anac.pt, dgeg.gov.pt. Official evidence/limitations recorded in this row.</v>
      </c>
      <c r="AJ74" s="20" t="d">
        <v>2026-10-10T00:00:00.000Z</v>
      </c>
      <c r="AK74" s="3" t="str">
        <v>2025-05-14; 2025-05-15</v>
      </c>
      <c r="AL74" s="3" t="str">
        <v>Publication date.</v>
      </c>
      <c r="AM74" s="3" t="str">
        <v>Express name / creating-act summary; descriptive source label where no formal name is assigned.</v>
      </c>
      <c r="AN74" s="3" t="str">
        <v>Justice; Internal affairs; Agriculture / Fisheries / Sea</v>
      </c>
      <c r="AO74" s="3" t="str">
        <v>2025 annual report (five regional groups)</v>
      </c>
      <c r="AP74" s="3" t="str">
        <v>Calendar monitoring benchmark; absence of public evidence is not proof of non-delivery.</v>
      </c>
      <c r="AQ74" s="21" t="n">
        <f>IF(AND(C74="Em atraso",ISNUMBER(D74)),COUNTIFS(Groups!$C$6:$C$127,"Em atraso",Groups!$D$6:$D$127,"&gt;"&amp;D74)+COUNTIFS($C$6:C74,"Em atraso",$D$6:D74,D74),"")</f>
        <v>38</v>
      </c>
      <c r="AR74" s="21" t="n">
        <f>IF(COUNTIF($F$6:F74,F74)=1,1,0)</f>
        <v>1</v>
      </c>
    </row>
    <row r="75" ht="96" customHeight="1">
      <c r="A75" s="3" t="str">
        <v>GT-2025-019</v>
      </c>
      <c r="B75" s="3" t="str">
        <v>GTRI em espaço rural — Zona Norte — 2 de 2</v>
      </c>
      <c r="C75" s="3" t="str">
        <v>Em atraso</v>
      </c>
      <c r="D75" s="21" t="n">
        <f>IF(C75="Em atraso",IF(ISNUMBER(T75),MAX(0,Dashboard!$E$4-T75),""),IF(C75="Concluído com atraso",IF(AND(ISNUMBER(T75),ISNUMBER(AC75)),MAX(0,AC75-T75),""),IF(C75="Concluído no prazo",0,"")))</f>
        <v>283</v>
      </c>
      <c r="E75" s="3" t="str">
        <v>XXIV</v>
      </c>
      <c r="F75" s="3" t="str">
        <v>Despacho n.º 5543-A/2025</v>
      </c>
      <c r="G75" s="22" t="str">
        <v>Open DR act</v>
      </c>
      <c r="H75" s="20" t="d">
        <v>2025-05-15T00:00:00.000Z</v>
      </c>
      <c r="I75" s="20" t="d">
        <v>2025-05-15T00:00:00.000Z</v>
      </c>
      <c r="J75" s="20" t="d">
        <v>2025-05-15T00:00:00.000Z</v>
      </c>
      <c r="K75" s="3" t="str">
        <v>Justiça, Administração Interna e Agricultura e Pescas - Gabinete da Ministra da Justiça, Gabinete do Secretário de Estado da Proteção Civil e Gabinete do Secretário de Estado das Florestas</v>
      </c>
      <c r="L75" s="3" t="str">
        <v>Operational coordinator jointly selected by PJ and GNR (clause 7); criminal-investigation coordination: GPAA/PJ and SEPNA/GNR (clause 8); functional/logistical support: ICNF (clauses 2 and 9).</v>
      </c>
      <c r="M75" s="3" t="str">
        <v>6 - Os grupos de trabalho são constituídos por:
a) Um diretor regional adjunto, responsável pela área de gestão de fogos rurais, a designar pelo conselho diretivo do ICNF, I. P., que enquadra o funcionamento do grupo nas estratégias regionais de redução de ignições;
b) Um representante da PJ;
c) Um representante da GNR.</v>
      </c>
      <c r="N75" s="3" t="str">
        <v>Civil protection / Forests</v>
      </c>
      <c r="O75" s="3" t="str">
        <v>Improve rural-fire cause investigation, surveillance, prevention and inter-agency information sharing.</v>
      </c>
      <c r="P75" s="3" t="str">
        <v>1 - São criados cinco grupos de trabalho, também designados GTRI em espaço rural, que têm como missão aumentar a eficiência no apuramento das causas de incêndios florestais e garantir uma eficaz vigilância do uso indevido do fogo, com vista à redução do número de ignições em espaço rural.</v>
      </c>
      <c r="Q75" s="3" t="str">
        <v>5 - Os grupos de trabalho ora constituídos prosseguem, na respetiva área territorial, os seguintes objetivos:
a) Colaborar na investigação dos incêndios rurais, em especial nos territórios com elevados níveis de causalidade indeterminada ou com causas de tipologia dolosa;
b) Participar em ações de sensibilização que promovam alterações comportamentais e a adoção das melhores práticas de segurança, individual e coletiva;
c) Produzir recomendações sobre a prevenção das ignições;
d) Produzir informação de suporte à tomada de decisão que permita fixar objetivos regionais ao nível da redução no número de ocorrências e aumentar a eficiência e eficácia dos planos operacionais municipais de sensibilização, fiscalização, vigilância e patrulhamento dissuasor;
e) Identificar locais prioritários para intervenção, e respetivo calendário de atuação, caracterizando-os em função dos valores a proteger, concentração de ocorrências no tempo e no espaço, e evidências de causalidade dolosa;
f) Promover a articulação institucional conducente à rápida e total partilha de informação para identificação de prioridades e modo de atuação;
g) Garantir a ligação às comissões sub-regionais de gestão integrada de fogos rurais e municípios, sobretudo em momentos de picos de ocorrências;
h) Disponibilizar capacidade técnica complementar na avaliação e diagnóstico de territórios prioritários.</v>
      </c>
      <c r="R75" s="3" t="str">
        <v>10 - Os representantes das entidades referidas nas alíneas b) e c) do n.º 6 e no n.º 7 são indicados: 2025-06-04 — 2025-05-15 + 20 calendar days (monitoring convention). If CPA procedural counting applies: 2025-06-13.
15 - Anualmente, até 31 de dezembro, os grupos de trabalho apresentam às respetivas tutelas um relat: date not derivable — No uniquely dated deadline derivable from this clause; cadence or trigger is preserved.
16 - Os mandatos dos grupos de trabalho terminam no final do ano de 2028.: 2028-12-31 — Explicit year-end: 31 December 2028.
2025 annual report (five regional groups): 2025-12-31 — Annual report required by 31 December; first statutory reporting year is 2025.
Annual reports: 2026: 2026-12-31 — Every year by 31 December; clause 15.
Annual reports: 2027: 2027-12-31 — Every year by 31 December; clause 15.
Annual reports: 2028 / end of mandate: 2028-12-31 — Every year by 31 December; mandate ends at end of 2028 (clauses 15–16).</v>
      </c>
      <c r="S75" s="20" t="d">
        <v>2025-12-31T00:00:00.000Z</v>
      </c>
      <c r="T75" s="20" t="d">
        <v>2025-12-31T00:00:00.000Z</v>
      </c>
      <c r="U75" s="3" t="str">
        <v>Annual report required by 31 December; first statutory reporting year is 2025.</v>
      </c>
      <c r="V75" s="20"/>
      <c r="W75" s="21" t="str">
        <f>IF(AND(C75="Em atraso",ISNUMBER(V75)),MAX(0,Dashboard!$E$4-V75),"")</f>
      </c>
      <c r="X75" s="3" t="str">
        <v>Unpaid group participation; expense/allowance terms are stated in the original clause.</v>
      </c>
      <c r="Y75" s="3" t="str">
        <v>12 - Os membros dos grupos de trabalho não auferem qualquer remuneração ou abono suplementares aos referidos no número seguinte pelo exercício das suas funções, podendo ser concedida a isenção de horário, nos termos da legislação em vigor.
13 - Os encargos com os vencimentos e com as ajudas de custo associadas ao desenvolvimento da atividade dos grupos de trabalho são da responsabilidade das entidades que designam os representantes.</v>
      </c>
      <c r="Z75" s="3" t="str">
        <v>Controlling benchmark has passed; no evidence of this output’s delivery identified in the reviewed acts and focused official-source outcome search.</v>
      </c>
      <c r="AA75" s="3" t="str">
        <v>https://diariodarepublica.pt/dr/detalhe/despacho/5543-a-2025-918326433</v>
      </c>
      <c r="AB75" s="22" t="str">
        <v>Open evidence</v>
      </c>
      <c r="AC75" s="20"/>
      <c r="AD75" s="3" t="str">
        <v>No delivery evidence identified.</v>
      </c>
      <c r="AE75" s="3" t="str">
        <v>Not independently verified.</v>
      </c>
      <c r="AF75" s="3" t="str"/>
      <c r="AG75" s="3" t="str"/>
      <c r="AH75" s="3" t="str">
        <v>Act creates five groups. Regional suffixes distinguish statutory slots; the act does not assign individual group names.</v>
      </c>
      <c r="AI75" s="3" t="str">
        <v>DR full-period singular/plural/technical phrase inventories; later acts reviewed. Outcome search: "grupo de trabalho" GTRI investigação incêndios espaço rural relatório 2025 relatório conclusões after:2024-04-01 before:2026-10-11. Domains: portugal.gov.pt, gov.pt, parlamento.pt, diariodarepublica.pt, justica.gov.pt, dgav.pt, icnf.pt, anac.pt, dgeg.gov.pt. Official evidence/limitations recorded in this row.</v>
      </c>
      <c r="AJ75" s="20" t="d">
        <v>2026-10-10T00:00:00.000Z</v>
      </c>
      <c r="AK75" s="3" t="str">
        <v>2025-05-14; 2025-05-15</v>
      </c>
      <c r="AL75" s="3" t="str">
        <v>Publication date.</v>
      </c>
      <c r="AM75" s="3" t="str">
        <v>Express name / creating-act summary; descriptive source label where no formal name is assigned.</v>
      </c>
      <c r="AN75" s="3" t="str">
        <v>Justice; Internal affairs; Agriculture / Fisheries / Sea</v>
      </c>
      <c r="AO75" s="3" t="str">
        <v>2025 annual report (five regional groups)</v>
      </c>
      <c r="AP75" s="3" t="str">
        <v>Calendar monitoring benchmark; absence of public evidence is not proof of non-delivery.</v>
      </c>
      <c r="AQ75" s="21" t="n">
        <f>IF(AND(C75="Em atraso",ISNUMBER(D75)),COUNTIFS(Groups!$C$6:$C$127,"Em atraso",Groups!$D$6:$D$127,"&gt;"&amp;D75)+COUNTIFS($C$6:C75,"Em atraso",$D$6:D75,D75),"")</f>
        <v>39</v>
      </c>
      <c r="AR75" s="21" t="n">
        <f>IF(COUNTIF($F$6:F75,F75)=1,1,0)</f>
        <v>0</v>
      </c>
    </row>
    <row r="76" ht="96" customHeight="1">
      <c r="A76" s="3" t="str">
        <v>GT-2025-020</v>
      </c>
      <c r="B76" s="3" t="str">
        <v>GTRI em espaço rural — Zona Centro — 1 de 2</v>
      </c>
      <c r="C76" s="3" t="str">
        <v>Em atraso</v>
      </c>
      <c r="D76" s="21" t="n">
        <f>IF(C76="Em atraso",IF(ISNUMBER(T76),MAX(0,Dashboard!$E$4-T76),""),IF(C76="Concluído com atraso",IF(AND(ISNUMBER(T76),ISNUMBER(AC76)),MAX(0,AC76-T76),""),IF(C76="Concluído no prazo",0,"")))</f>
        <v>283</v>
      </c>
      <c r="E76" s="3" t="str">
        <v>XXIV</v>
      </c>
      <c r="F76" s="3" t="str">
        <v>Despacho n.º 5543-A/2025</v>
      </c>
      <c r="G76" s="22" t="str">
        <v>Open DR act</v>
      </c>
      <c r="H76" s="20" t="d">
        <v>2025-05-15T00:00:00.000Z</v>
      </c>
      <c r="I76" s="20" t="d">
        <v>2025-05-15T00:00:00.000Z</v>
      </c>
      <c r="J76" s="20" t="d">
        <v>2025-05-15T00:00:00.000Z</v>
      </c>
      <c r="K76" s="3" t="str">
        <v>Justiça, Administração Interna e Agricultura e Pescas - Gabinete da Ministra da Justiça, Gabinete do Secretário de Estado da Proteção Civil e Gabinete do Secretário de Estado das Florestas</v>
      </c>
      <c r="L76" s="3" t="str">
        <v>Operational coordinator jointly selected by PJ and GNR (clause 7); criminal-investigation coordination: GPAA/PJ and SEPNA/GNR (clause 8); functional/logistical support: ICNF (clauses 2 and 9).</v>
      </c>
      <c r="M76" s="3" t="str">
        <v>6 - Os grupos de trabalho são constituídos por:
a) Um diretor regional adjunto, responsável pela área de gestão de fogos rurais, a designar pelo conselho diretivo do ICNF, I. P., que enquadra o funcionamento do grupo nas estratégias regionais de redução de ignições;
b) Um representante da PJ;
c) Um representante da GNR.</v>
      </c>
      <c r="N76" s="3" t="str">
        <v>Civil protection / Forests</v>
      </c>
      <c r="O76" s="3" t="str">
        <v>Improve rural-fire cause investigation, surveillance, prevention and inter-agency information sharing.</v>
      </c>
      <c r="P76" s="3" t="str">
        <v>1 - São criados cinco grupos de trabalho, também designados GTRI em espaço rural, que têm como missão aumentar a eficiência no apuramento das causas de incêndios florestais e garantir uma eficaz vigilância do uso indevido do fogo, com vista à redução do número de ignições em espaço rural.</v>
      </c>
      <c r="Q76" s="3" t="str">
        <v>5 - Os grupos de trabalho ora constituídos prosseguem, na respetiva área territorial, os seguintes objetivos:
a) Colaborar na investigação dos incêndios rurais, em especial nos territórios com elevados níveis de causalidade indeterminada ou com causas de tipologia dolosa;
b) Participar em ações de sensibilização que promovam alterações comportamentais e a adoção das melhores práticas de segurança, individual e coletiva;
c) Produzir recomendações sobre a prevenção das ignições;
d) Produzir informação de suporte à tomada de decisão que permita fixar objetivos regionais ao nível da redução no número de ocorrências e aumentar a eficiência e eficácia dos planos operacionais municipais de sensibilização, fiscalização, vigilância e patrulhamento dissuasor;
e) Identificar locais prioritários para intervenção, e respetivo calendário de atuação, caracterizando-os em função dos valores a proteger, concentração de ocorrências no tempo e no espaço, e evidências de causalidade dolosa;
f) Promover a articulação institucional conducente à rápida e total partilha de informação para identificação de prioridades e modo de atuação;
g) Garantir a ligação às comissões sub-regionais de gestão integrada de fogos rurais e municípios, sobretudo em momentos de picos de ocorrências;
h) Disponibilizar capacidade técnica complementar na avaliação e diagnóstico de territórios prioritários.</v>
      </c>
      <c r="R76" s="3" t="str">
        <v>10 - Os representantes das entidades referidas nas alíneas b) e c) do n.º 6 e no n.º 7 são indicados: 2025-06-04 — 2025-05-15 + 20 calendar days (monitoring convention). If CPA procedural counting applies: 2025-06-13.
15 - Anualmente, até 31 de dezembro, os grupos de trabalho apresentam às respetivas tutelas um relat: date not derivable — No uniquely dated deadline derivable from this clause; cadence or trigger is preserved.
16 - Os mandatos dos grupos de trabalho terminam no final do ano de 2028.: 2028-12-31 — Explicit year-end: 31 December 2028.
2025 annual report (five regional groups): 2025-12-31 — Annual report required by 31 December; first statutory reporting year is 2025.
Annual reports: 2026: 2026-12-31 — Every year by 31 December; clause 15.
Annual reports: 2027: 2027-12-31 — Every year by 31 December; clause 15.
Annual reports: 2028 / end of mandate: 2028-12-31 — Every year by 31 December; mandate ends at end of 2028 (clauses 15–16).</v>
      </c>
      <c r="S76" s="20" t="d">
        <v>2025-12-31T00:00:00.000Z</v>
      </c>
      <c r="T76" s="20" t="d">
        <v>2025-12-31T00:00:00.000Z</v>
      </c>
      <c r="U76" s="3" t="str">
        <v>Annual report required by 31 December; first statutory reporting year is 2025.</v>
      </c>
      <c r="V76" s="20"/>
      <c r="W76" s="21" t="str">
        <f>IF(AND(C76="Em atraso",ISNUMBER(V76)),MAX(0,Dashboard!$E$4-V76),"")</f>
      </c>
      <c r="X76" s="3" t="str">
        <v>Unpaid group participation; expense/allowance terms are stated in the original clause.</v>
      </c>
      <c r="Y76" s="3" t="str">
        <v>12 - Os membros dos grupos de trabalho não auferem qualquer remuneração ou abono suplementares aos referidos no número seguinte pelo exercício das suas funções, podendo ser concedida a isenção de horário, nos termos da legislação em vigor.
13 - Os encargos com os vencimentos e com as ajudas de custo associadas ao desenvolvimento da atividade dos grupos de trabalho são da responsabilidade das entidades que designam os representantes.</v>
      </c>
      <c r="Z76" s="3" t="str">
        <v>Controlling benchmark has passed; no evidence of this output’s delivery identified in the reviewed acts and focused official-source outcome search.</v>
      </c>
      <c r="AA76" s="3" t="str">
        <v>https://diariodarepublica.pt/dr/detalhe/despacho/5543-a-2025-918326433</v>
      </c>
      <c r="AB76" s="22" t="str">
        <v>Open evidence</v>
      </c>
      <c r="AC76" s="20"/>
      <c r="AD76" s="3" t="str">
        <v>No delivery evidence identified.</v>
      </c>
      <c r="AE76" s="3" t="str">
        <v>Not independently verified.</v>
      </c>
      <c r="AF76" s="3" t="str"/>
      <c r="AG76" s="3" t="str"/>
      <c r="AH76" s="3" t="str">
        <v>Act creates five groups. Regional suffixes distinguish statutory slots; the act does not assign individual group names.</v>
      </c>
      <c r="AI76" s="3" t="str">
        <v>DR full-period singular/plural/technical phrase inventories; later acts reviewed. Outcome search: "grupo de trabalho" GTRI investigação incêndios espaço rural relatório 2025 relatório conclusões after:2024-04-01 before:2026-10-11. Domains: portugal.gov.pt, gov.pt, parlamento.pt, diariodarepublica.pt, justica.gov.pt, dgav.pt, icnf.pt, anac.pt, dgeg.gov.pt. Official evidence/limitations recorded in this row.</v>
      </c>
      <c r="AJ76" s="20" t="d">
        <v>2026-10-10T00:00:00.000Z</v>
      </c>
      <c r="AK76" s="3" t="str">
        <v>2025-05-14; 2025-05-15</v>
      </c>
      <c r="AL76" s="3" t="str">
        <v>Publication date.</v>
      </c>
      <c r="AM76" s="3" t="str">
        <v>Express name / creating-act summary; descriptive source label where no formal name is assigned.</v>
      </c>
      <c r="AN76" s="3" t="str">
        <v>Justice; Internal affairs; Agriculture / Fisheries / Sea</v>
      </c>
      <c r="AO76" s="3" t="str">
        <v>2025 annual report (five regional groups)</v>
      </c>
      <c r="AP76" s="3" t="str">
        <v>Calendar monitoring benchmark; absence of public evidence is not proof of non-delivery.</v>
      </c>
      <c r="AQ76" s="21" t="n">
        <f>IF(AND(C76="Em atraso",ISNUMBER(D76)),COUNTIFS(Groups!$C$6:$C$127,"Em atraso",Groups!$D$6:$D$127,"&gt;"&amp;D76)+COUNTIFS($C$6:C76,"Em atraso",$D$6:D76,D76),"")</f>
        <v>40</v>
      </c>
      <c r="AR76" s="21" t="n">
        <f>IF(COUNTIF($F$6:F76,F76)=1,1,0)</f>
        <v>0</v>
      </c>
    </row>
    <row r="77" ht="96" customHeight="1">
      <c r="A77" s="3" t="str">
        <v>GT-2025-021</v>
      </c>
      <c r="B77" s="3" t="str">
        <v>GTRI em espaço rural — Zona Centro — 2 de 2</v>
      </c>
      <c r="C77" s="3" t="str">
        <v>Em atraso</v>
      </c>
      <c r="D77" s="21" t="n">
        <f>IF(C77="Em atraso",IF(ISNUMBER(T77),MAX(0,Dashboard!$E$4-T77),""),IF(C77="Concluído com atraso",IF(AND(ISNUMBER(T77),ISNUMBER(AC77)),MAX(0,AC77-T77),""),IF(C77="Concluído no prazo",0,"")))</f>
        <v>283</v>
      </c>
      <c r="E77" s="3" t="str">
        <v>XXIV</v>
      </c>
      <c r="F77" s="3" t="str">
        <v>Despacho n.º 5543-A/2025</v>
      </c>
      <c r="G77" s="22" t="str">
        <v>Open DR act</v>
      </c>
      <c r="H77" s="20" t="d">
        <v>2025-05-15T00:00:00.000Z</v>
      </c>
      <c r="I77" s="20" t="d">
        <v>2025-05-15T00:00:00.000Z</v>
      </c>
      <c r="J77" s="20" t="d">
        <v>2025-05-15T00:00:00.000Z</v>
      </c>
      <c r="K77" s="3" t="str">
        <v>Justiça, Administração Interna e Agricultura e Pescas - Gabinete da Ministra da Justiça, Gabinete do Secretário de Estado da Proteção Civil e Gabinete do Secretário de Estado das Florestas</v>
      </c>
      <c r="L77" s="3" t="str">
        <v>Operational coordinator jointly selected by PJ and GNR (clause 7); criminal-investigation coordination: GPAA/PJ and SEPNA/GNR (clause 8); functional/logistical support: ICNF (clauses 2 and 9).</v>
      </c>
      <c r="M77" s="3" t="str">
        <v>6 - Os grupos de trabalho são constituídos por:
a) Um diretor regional adjunto, responsável pela área de gestão de fogos rurais, a designar pelo conselho diretivo do ICNF, I. P., que enquadra o funcionamento do grupo nas estratégias regionais de redução de ignições;
b) Um representante da PJ;
c) Um representante da GNR.</v>
      </c>
      <c r="N77" s="3" t="str">
        <v>Civil protection / Forests</v>
      </c>
      <c r="O77" s="3" t="str">
        <v>Improve rural-fire cause investigation, surveillance, prevention and inter-agency information sharing.</v>
      </c>
      <c r="P77" s="3" t="str">
        <v>1 - São criados cinco grupos de trabalho, também designados GTRI em espaço rural, que têm como missão aumentar a eficiência no apuramento das causas de incêndios florestais e garantir uma eficaz vigilância do uso indevido do fogo, com vista à redução do número de ignições em espaço rural.</v>
      </c>
      <c r="Q77" s="3" t="str">
        <v>5 - Os grupos de trabalho ora constituídos prosseguem, na respetiva área territorial, os seguintes objetivos:
a) Colaborar na investigação dos incêndios rurais, em especial nos territórios com elevados níveis de causalidade indeterminada ou com causas de tipologia dolosa;
b) Participar em ações de sensibilização que promovam alterações comportamentais e a adoção das melhores práticas de segurança, individual e coletiva;
c) Produzir recomendações sobre a prevenção das ignições;
d) Produzir informação de suporte à tomada de decisão que permita fixar objetivos regionais ao nível da redução no número de ocorrências e aumentar a eficiência e eficácia dos planos operacionais municipais de sensibilização, fiscalização, vigilância e patrulhamento dissuasor;
e) Identificar locais prioritários para intervenção, e respetivo calendário de atuação, caracterizando-os em função dos valores a proteger, concentração de ocorrências no tempo e no espaço, e evidências de causalidade dolosa;
f) Promover a articulação institucional conducente à rápida e total partilha de informação para identificação de prioridades e modo de atuação;
g) Garantir a ligação às comissões sub-regionais de gestão integrada de fogos rurais e municípios, sobretudo em momentos de picos de ocorrências;
h) Disponibilizar capacidade técnica complementar na avaliação e diagnóstico de territórios prioritários.</v>
      </c>
      <c r="R77" s="3" t="str">
        <v>10 - Os representantes das entidades referidas nas alíneas b) e c) do n.º 6 e no n.º 7 são indicados: 2025-06-04 — 2025-05-15 + 20 calendar days (monitoring convention). If CPA procedural counting applies: 2025-06-13.
15 - Anualmente, até 31 de dezembro, os grupos de trabalho apresentam às respetivas tutelas um relat: date not derivable — No uniquely dated deadline derivable from this clause; cadence or trigger is preserved.
16 - Os mandatos dos grupos de trabalho terminam no final do ano de 2028.: 2028-12-31 — Explicit year-end: 31 December 2028.
2025 annual report (five regional groups): 2025-12-31 — Annual report required by 31 December; first statutory reporting year is 2025.
Annual reports: 2026: 2026-12-31 — Every year by 31 December; clause 15.
Annual reports: 2027: 2027-12-31 — Every year by 31 December; clause 15.
Annual reports: 2028 / end of mandate: 2028-12-31 — Every year by 31 December; mandate ends at end of 2028 (clauses 15–16).</v>
      </c>
      <c r="S77" s="20" t="d">
        <v>2025-12-31T00:00:00.000Z</v>
      </c>
      <c r="T77" s="20" t="d">
        <v>2025-12-31T00:00:00.000Z</v>
      </c>
      <c r="U77" s="3" t="str">
        <v>Annual report required by 31 December; first statutory reporting year is 2025.</v>
      </c>
      <c r="V77" s="20"/>
      <c r="W77" s="21" t="str">
        <f>IF(AND(C77="Em atraso",ISNUMBER(V77)),MAX(0,Dashboard!$E$4-V77),"")</f>
      </c>
      <c r="X77" s="3" t="str">
        <v>Unpaid group participation; expense/allowance terms are stated in the original clause.</v>
      </c>
      <c r="Y77" s="3" t="str">
        <v>12 - Os membros dos grupos de trabalho não auferem qualquer remuneração ou abono suplementares aos referidos no número seguinte pelo exercício das suas funções, podendo ser concedida a isenção de horário, nos termos da legislação em vigor.
13 - Os encargos com os vencimentos e com as ajudas de custo associadas ao desenvolvimento da atividade dos grupos de trabalho são da responsabilidade das entidades que designam os representantes.</v>
      </c>
      <c r="Z77" s="3" t="str">
        <v>Controlling benchmark has passed; no evidence of this output’s delivery identified in the reviewed acts and focused official-source outcome search.</v>
      </c>
      <c r="AA77" s="3" t="str">
        <v>https://diariodarepublica.pt/dr/detalhe/despacho/5543-a-2025-918326433</v>
      </c>
      <c r="AB77" s="22" t="str">
        <v>Open evidence</v>
      </c>
      <c r="AC77" s="20"/>
      <c r="AD77" s="3" t="str">
        <v>No delivery evidence identified.</v>
      </c>
      <c r="AE77" s="3" t="str">
        <v>Not independently verified.</v>
      </c>
      <c r="AF77" s="3" t="str"/>
      <c r="AG77" s="3" t="str"/>
      <c r="AH77" s="3" t="str">
        <v>Act creates five groups. Regional suffixes distinguish statutory slots; the act does not assign individual group names.</v>
      </c>
      <c r="AI77" s="3" t="str">
        <v>DR full-period singular/plural/technical phrase inventories; later acts reviewed. Outcome search: "grupo de trabalho" GTRI investigação incêndios espaço rural relatório 2025 relatório conclusões after:2024-04-01 before:2026-10-11. Domains: portugal.gov.pt, gov.pt, parlamento.pt, diariodarepublica.pt, justica.gov.pt, dgav.pt, icnf.pt, anac.pt, dgeg.gov.pt. Official evidence/limitations recorded in this row.</v>
      </c>
      <c r="AJ77" s="20" t="d">
        <v>2026-10-10T00:00:00.000Z</v>
      </c>
      <c r="AK77" s="3" t="str">
        <v>2025-05-14; 2025-05-15</v>
      </c>
      <c r="AL77" s="3" t="str">
        <v>Publication date.</v>
      </c>
      <c r="AM77" s="3" t="str">
        <v>Express name / creating-act summary; descriptive source label where no formal name is assigned.</v>
      </c>
      <c r="AN77" s="3" t="str">
        <v>Justice; Internal affairs; Agriculture / Fisheries / Sea</v>
      </c>
      <c r="AO77" s="3" t="str">
        <v>2025 annual report (five regional groups)</v>
      </c>
      <c r="AP77" s="3" t="str">
        <v>Calendar monitoring benchmark; absence of public evidence is not proof of non-delivery.</v>
      </c>
      <c r="AQ77" s="21" t="n">
        <f>IF(AND(C77="Em atraso",ISNUMBER(D77)),COUNTIFS(Groups!$C$6:$C$127,"Em atraso",Groups!$D$6:$D$127,"&gt;"&amp;D77)+COUNTIFS($C$6:C77,"Em atraso",$D$6:D77,D77),"")</f>
        <v>41</v>
      </c>
      <c r="AR77" s="21" t="n">
        <f>IF(COUNTIF($F$6:F77,F77)=1,1,0)</f>
        <v>0</v>
      </c>
    </row>
    <row r="78" ht="96" customHeight="1">
      <c r="A78" s="3" t="str">
        <v>GT-2025-022</v>
      </c>
      <c r="B78" s="3" t="str">
        <v>GTRI em espaço rural — Zona Sul — 1 de 1</v>
      </c>
      <c r="C78" s="3" t="str">
        <v>Em atraso</v>
      </c>
      <c r="D78" s="21" t="n">
        <f>IF(C78="Em atraso",IF(ISNUMBER(T78),MAX(0,Dashboard!$E$4-T78),""),IF(C78="Concluído com atraso",IF(AND(ISNUMBER(T78),ISNUMBER(AC78)),MAX(0,AC78-T78),""),IF(C78="Concluído no prazo",0,"")))</f>
        <v>283</v>
      </c>
      <c r="E78" s="3" t="str">
        <v>XXIV</v>
      </c>
      <c r="F78" s="3" t="str">
        <v>Despacho n.º 5543-A/2025</v>
      </c>
      <c r="G78" s="22" t="str">
        <v>Open DR act</v>
      </c>
      <c r="H78" s="20" t="d">
        <v>2025-05-15T00:00:00.000Z</v>
      </c>
      <c r="I78" s="20" t="d">
        <v>2025-05-15T00:00:00.000Z</v>
      </c>
      <c r="J78" s="20" t="d">
        <v>2025-05-15T00:00:00.000Z</v>
      </c>
      <c r="K78" s="3" t="str">
        <v>Justiça, Administração Interna e Agricultura e Pescas - Gabinete da Ministra da Justiça, Gabinete do Secretário de Estado da Proteção Civil e Gabinete do Secretário de Estado das Florestas</v>
      </c>
      <c r="L78" s="3" t="str">
        <v>Operational coordinator jointly selected by PJ and GNR (clause 7); criminal-investigation coordination: GPAA/PJ and SEPNA/GNR (clause 8); functional/logistical support: ICNF (clauses 2 and 9).</v>
      </c>
      <c r="M78" s="3" t="str">
        <v>6 - Os grupos de trabalho são constituídos por:
a) Um diretor regional adjunto, responsável pela área de gestão de fogos rurais, a designar pelo conselho diretivo do ICNF, I. P., que enquadra o funcionamento do grupo nas estratégias regionais de redução de ignições;
b) Um representante da PJ;
c) Um representante da GNR.</v>
      </c>
      <c r="N78" s="3" t="str">
        <v>Civil protection / Forests</v>
      </c>
      <c r="O78" s="3" t="str">
        <v>Improve rural-fire cause investigation, surveillance, prevention and inter-agency information sharing.</v>
      </c>
      <c r="P78" s="3" t="str">
        <v>1 - São criados cinco grupos de trabalho, também designados GTRI em espaço rural, que têm como missão aumentar a eficiência no apuramento das causas de incêndios florestais e garantir uma eficaz vigilância do uso indevido do fogo, com vista à redução do número de ignições em espaço rural.</v>
      </c>
      <c r="Q78" s="3" t="str">
        <v>5 - Os grupos de trabalho ora constituídos prosseguem, na respetiva área territorial, os seguintes objetivos:
a) Colaborar na investigação dos incêndios rurais, em especial nos territórios com elevados níveis de causalidade indeterminada ou com causas de tipologia dolosa;
b) Participar em ações de sensibilização que promovam alterações comportamentais e a adoção das melhores práticas de segurança, individual e coletiva;
c) Produzir recomendações sobre a prevenção das ignições;
d) Produzir informação de suporte à tomada de decisão que permita fixar objetivos regionais ao nível da redução no número de ocorrências e aumentar a eficiência e eficácia dos planos operacionais municipais de sensibilização, fiscalização, vigilância e patrulhamento dissuasor;
e) Identificar locais prioritários para intervenção, e respetivo calendário de atuação, caracterizando-os em função dos valores a proteger, concentração de ocorrências no tempo e no espaço, e evidências de causalidade dolosa;
f) Promover a articulação institucional conducente à rápida e total partilha de informação para identificação de prioridades e modo de atuação;
g) Garantir a ligação às comissões sub-regionais de gestão integrada de fogos rurais e municípios, sobretudo em momentos de picos de ocorrências;
h) Disponibilizar capacidade técnica complementar na avaliação e diagnóstico de territórios prioritários.</v>
      </c>
      <c r="R78" s="3" t="str">
        <v>10 - Os representantes das entidades referidas nas alíneas b) e c) do n.º 6 e no n.º 7 são indicados: 2025-06-04 — 2025-05-15 + 20 calendar days (monitoring convention). If CPA procedural counting applies: 2025-06-13.
15 - Anualmente, até 31 de dezembro, os grupos de trabalho apresentam às respetivas tutelas um relat: date not derivable — No uniquely dated deadline derivable from this clause; cadence or trigger is preserved.
16 - Os mandatos dos grupos de trabalho terminam no final do ano de 2028.: 2028-12-31 — Explicit year-end: 31 December 2028.
2025 annual report (five regional groups): 2025-12-31 — Annual report required by 31 December; first statutory reporting year is 2025.
Annual reports: 2026: 2026-12-31 — Every year by 31 December; clause 15.
Annual reports: 2027: 2027-12-31 — Every year by 31 December; clause 15.
Annual reports: 2028 / end of mandate: 2028-12-31 — Every year by 31 December; mandate ends at end of 2028 (clauses 15–16).</v>
      </c>
      <c r="S78" s="20" t="d">
        <v>2025-12-31T00:00:00.000Z</v>
      </c>
      <c r="T78" s="20" t="d">
        <v>2025-12-31T00:00:00.000Z</v>
      </c>
      <c r="U78" s="3" t="str">
        <v>Annual report required by 31 December; first statutory reporting year is 2025.</v>
      </c>
      <c r="V78" s="20"/>
      <c r="W78" s="21" t="str">
        <f>IF(AND(C78="Em atraso",ISNUMBER(V78)),MAX(0,Dashboard!$E$4-V78),"")</f>
      </c>
      <c r="X78" s="3" t="str">
        <v>Unpaid group participation; expense/allowance terms are stated in the original clause.</v>
      </c>
      <c r="Y78" s="3" t="str">
        <v>12 - Os membros dos grupos de trabalho não auferem qualquer remuneração ou abono suplementares aos referidos no número seguinte pelo exercício das suas funções, podendo ser concedida a isenção de horário, nos termos da legislação em vigor.
13 - Os encargos com os vencimentos e com as ajudas de custo associadas ao desenvolvimento da atividade dos grupos de trabalho são da responsabilidade das entidades que designam os representantes.</v>
      </c>
      <c r="Z78" s="3" t="str">
        <v>Controlling benchmark has passed; no evidence of this output’s delivery identified in the reviewed acts and focused official-source outcome search.</v>
      </c>
      <c r="AA78" s="3" t="str">
        <v>https://diariodarepublica.pt/dr/detalhe/despacho/5543-a-2025-918326433</v>
      </c>
      <c r="AB78" s="22" t="str">
        <v>Open evidence</v>
      </c>
      <c r="AC78" s="20"/>
      <c r="AD78" s="3" t="str">
        <v>No delivery evidence identified.</v>
      </c>
      <c r="AE78" s="3" t="str">
        <v>Not independently verified.</v>
      </c>
      <c r="AF78" s="3" t="str"/>
      <c r="AG78" s="3" t="str"/>
      <c r="AH78" s="3" t="str">
        <v>Act creates five groups. Regional suffixes distinguish statutory slots; the act does not assign individual group names.</v>
      </c>
      <c r="AI78" s="3" t="str">
        <v>DR full-period singular/plural/technical phrase inventories; later acts reviewed. Outcome search: "grupo de trabalho" GTRI investigação incêndios espaço rural relatório 2025 relatório conclusões after:2024-04-01 before:2026-10-11. Domains: portugal.gov.pt, gov.pt, parlamento.pt, diariodarepublica.pt, justica.gov.pt, dgav.pt, icnf.pt, anac.pt, dgeg.gov.pt. Official evidence/limitations recorded in this row.</v>
      </c>
      <c r="AJ78" s="20" t="d">
        <v>2026-10-10T00:00:00.000Z</v>
      </c>
      <c r="AK78" s="3" t="str">
        <v>2025-05-14; 2025-05-15</v>
      </c>
      <c r="AL78" s="3" t="str">
        <v>Publication date.</v>
      </c>
      <c r="AM78" s="3" t="str">
        <v>Express name / creating-act summary; descriptive source label where no formal name is assigned.</v>
      </c>
      <c r="AN78" s="3" t="str">
        <v>Justice; Internal affairs; Agriculture / Fisheries / Sea</v>
      </c>
      <c r="AO78" s="3" t="str">
        <v>2025 annual report (five regional groups)</v>
      </c>
      <c r="AP78" s="3" t="str">
        <v>Calendar monitoring benchmark; absence of public evidence is not proof of non-delivery.</v>
      </c>
      <c r="AQ78" s="21" t="n">
        <f>IF(AND(C78="Em atraso",ISNUMBER(D78)),COUNTIFS(Groups!$C$6:$C$127,"Em atraso",Groups!$D$6:$D$127,"&gt;"&amp;D78)+COUNTIFS($C$6:C78,"Em atraso",$D$6:D78,D78),"")</f>
        <v>42</v>
      </c>
      <c r="AR78" s="21" t="n">
        <f>IF(COUNTIF($F$6:F78,F78)=1,1,0)</f>
        <v>0</v>
      </c>
    </row>
    <row r="79" ht="96" customHeight="1">
      <c r="A79" s="3" t="str">
        <v>GT-2025-023</v>
      </c>
      <c r="B79" s="3" t="str">
        <v>grupo de trabalho para reforçar o modelo de governação da gestão de riscos no património cultural</v>
      </c>
      <c r="C79" s="3" t="str">
        <v>Em curso – dentro do prazo</v>
      </c>
      <c r="D79" s="21" t="str">
        <f>IF(C79="Em atraso",IF(ISNUMBER(T79),MAX(0,Dashboard!$E$4-T79),""),IF(C79="Concluído com atraso",IF(AND(ISNUMBER(T79),ISNUMBER(AC79)),MAX(0,AC79-T79),""),IF(C79="Concluído no prazo",0,"")))</f>
      </c>
      <c r="E79" s="3" t="str">
        <v>XXIV</v>
      </c>
      <c r="F79" s="3" t="str">
        <v>Despacho n.º 5725/2025</v>
      </c>
      <c r="G79" s="22" t="str">
        <v>Open DR act</v>
      </c>
      <c r="H79" s="20" t="d">
        <v>2025-05-22T00:00:00.000Z</v>
      </c>
      <c r="I79" s="20" t="d">
        <v>2025-05-15T00:00:00.000Z</v>
      </c>
      <c r="J79" s="20" t="d">
        <v>2025-05-23T00:00:00.000Z</v>
      </c>
      <c r="K79" s="3" t="str">
        <v>Defesa Nacional e Cultura - Gabinete do Ministro da Defesa Nacional e Gabinete da Ministra da Cultura</v>
      </c>
      <c r="L79" s="3" t="str">
        <v>i) O Museu de Marinha, que coordena, em representação do Ministério da Defesa Nacional;
d) Do Património Cultural, I. P., o Centro Nacional de Arqueologia Náutica e Subaquática, que coordena, em representação do Ministério da Cultura;</v>
      </c>
      <c r="M79" s="3" t="str">
        <v>4 - Integram o GT-PCS representantes das seguintes entidades:
a) Da Marinha:
i) O Museu de Marinha, que coordena, em representação do Ministério da Defesa Nacional;
ii) O Centro de Gestão de Dados Técnico-Científicos do Instituto Hidrográfico;
iii) O Centro de Investigação Naval da Escola Naval;
iv) O Agrupamento de Mergulhadores do Comando Naval;
b) Da Autoridade Marítima Nacional, a Divisão de Ordenamento e Atividades do Domínio Público Marítimo;
c) Um representante do Ministro da Defesa Nacional;
d) Do Património Cultural, I. P., o Centro Nacional de Arqueologia Náutica e Subaquática, que coordena, em representação do Ministério da Cultura;
e) Um representante do Ministro da Cultura.</v>
      </c>
      <c r="N79" s="3" t="str">
        <v>Culture / Defence</v>
      </c>
      <c r="O79" s="3" t="str">
        <v>Coordinate protection, study, monitoring and preservation of underwater cultural heritage.</v>
      </c>
      <c r="P79" s="3" t="str">
        <v>1 - A constituição de um grupo de trabalho para reforçar o modelo de governação da gestão de riscos no património cultural, definindo estratégias para redução de riscos decorrentes das alterações climáticas e de catástrofes naturais, designado Grupo de Trabalho Interministerial para a Salvaguarda do Património Cultural Subaquático (GT-PCS).</v>
      </c>
      <c r="Q79" s="3" t="str">
        <v>2 - Compete ao GT-PCS definir e implementar as ações que contribuam para a identificação, estudo, valorização, salvaguarda, monitorização e preservação do património cultural subaquático em espaços sob soberania e jurisdição nacional.
9 - O GT-PCS apresenta ao Ministério da Defesa Nacional e ao Ministério da Cultura, a partir de 2025, um relatório anual, e submete o relatório final de missão com o trabalho produzido até 31 de dezembro de 2029.
10 - Os membros do GT-PCS não auferem qualquer remuneração ou abono pelo exercício das suas funções no presente âmbito, sem prejuízo de eventuais encargos relativos a despesas de deslocação, nos termos da legislação em vigor, as quais são suportadas pelos respetivos serviços de origem.</v>
      </c>
      <c r="R79" s="3" t="str">
        <v>f) Definir um programa anual de trabalhos.: date not derivable — No uniquely dated deadline derivable from this clause; cadence or trigger is preserved.
6 - As entidades referidas no n.º 4 indicam os representantes aos coordenadores, no prazo de 30 dias: 2025-06-22 — 2025-05-23 + 30 calendar days (monitoring convention). If CPA procedural counting applies: 2025-07-08.
8 - O GT-PCS tem a duração de cinco anos, a contar da data de entrada em vigor do presente despacho.: 2030-05-23 — 2025-05-23 + 5 anos by calendar anniversary, end-of-month capped if necessary.
9 - O GT-PCS apresenta ao Ministério da Defesa Nacional e ao Ministério da Cultura, a partir de 2025: 2029-12-31 — Explicit calendar date in the act.
Final report / last specified substantive output: 2029-12-31 — Fixed date / explicit year-end in creating act.</v>
      </c>
      <c r="S79" s="20" t="d">
        <v>2029-12-31T00:00:00.000Z</v>
      </c>
      <c r="T79" s="20" t="d">
        <v>2029-12-31T00:00:00.000Z</v>
      </c>
      <c r="U79" s="3" t="str">
        <v>Fixed date / explicit year-end in creating act.</v>
      </c>
      <c r="V79" s="20"/>
      <c r="W79" s="21" t="str">
        <f>IF(AND(C79="Em atraso",ISNUMBER(V79)),MAX(0,Dashboard!$E$4-V79),"")</f>
      </c>
      <c r="X79" s="3" t="str">
        <v>Unpaid group participation; expense/allowance terms are stated in the original clause.</v>
      </c>
      <c r="Y79" s="3" t="str">
        <v>10 - Os membros do GT-PCS não auferem qualquer remuneração ou abono pelo exercício das suas funções no presente âmbito, sem prejuízo de eventuais encargos relativos a despesas de deslocação, nos termos da legislação em vigor, as quais são suportadas pelos respetivos serviços de origem.</v>
      </c>
      <c r="Z79" s="3" t="str">
        <v>Current controlling deadline has not passed; delivery not independently verified.</v>
      </c>
      <c r="AA79" s="3" t="str">
        <v>https://diariodarepublica.pt/dr/detalhe/despacho/5725-2025-918884615</v>
      </c>
      <c r="AB79" s="22" t="str">
        <v>Open evidence</v>
      </c>
      <c r="AC79" s="20"/>
      <c r="AD79" s="3" t="str">
        <v>No delivery evidence identified.</v>
      </c>
      <c r="AE79" s="3" t="str">
        <v>Not independently verified.</v>
      </c>
      <c r="AF79" s="3" t="str"/>
      <c r="AG79" s="3" t="str"/>
      <c r="AH79" s="3" t="str">
        <v> Annual reporting duty also applies during a five-year mandate; no exact annual report day is fixed. Final report due 31 December 2029. Earlier annual reporting cannot be verified.</v>
      </c>
      <c r="AI79" s="3" t="str">
        <v>DR full-period singular/plural/technical phrase inventories; later acts reviewed. Outcome search: "grupo de trabalho" património cultural subaquático relatório conclusões after:2024-04-01 before:2026-10-11. Domains: portugal.gov.pt, gov.pt, parlamento.pt, diariodarepublica.pt, justica.gov.pt, dgav.pt, icnf.pt, anac.pt, dgeg.gov.pt. Official evidence/limitations recorded in this row.</v>
      </c>
      <c r="AJ79" s="20" t="d">
        <v>2026-10-10T00:00:00.000Z</v>
      </c>
      <c r="AK79" s="3" t="str">
        <v>2025-05-15</v>
      </c>
      <c r="AL79" s="3" t="str">
        <v>First working day after publication.</v>
      </c>
      <c r="AM79" s="3" t="str">
        <v>Express name / creating-act summary; descriptive source label where no formal name is assigned.</v>
      </c>
      <c r="AN79" s="3" t="str">
        <v>Defence; Culture</v>
      </c>
      <c r="AO79" s="3" t="str">
        <v>Final report / last specified substantive output</v>
      </c>
      <c r="AP79" s="3" t="str"/>
      <c r="AQ79" s="21" t="str">
        <f>IF(AND(C79="Em atraso",ISNUMBER(D79)),COUNTIFS(Groups!$C$6:$C$127,"Em atraso",Groups!$D$6:$D$127,"&gt;"&amp;D79)+COUNTIFS($C$6:C79,"Em atraso",$D$6:D79,D79),"")</f>
      </c>
      <c r="AR79" s="21" t="n">
        <f>IF(COUNTIF($F$6:F79,F79)=1,1,0)</f>
        <v>1</v>
      </c>
    </row>
    <row r="80" ht="96" customHeight="1">
      <c r="A80" s="3" t="str">
        <v>GT-2025-024</v>
      </c>
      <c r="B80" s="3" t="str">
        <v>Grupo de trabalho — projetos de investimento privado em terminais portuários (PORTOS 5+)</v>
      </c>
      <c r="C80" s="3" t="str">
        <v>Em curso – dentro do prazo</v>
      </c>
      <c r="D80" s="21" t="str">
        <f>IF(C80="Em atraso",IF(ISNUMBER(T80),MAX(0,Dashboard!$E$4-T80),""),IF(C80="Concluído com atraso",IF(AND(ISNUMBER(T80),ISNUMBER(AC80)),MAX(0,AC80-T80),""),IF(C80="Concluído no prazo",0,"")))</f>
      </c>
      <c r="E80" s="3" t="str">
        <v>XXV</v>
      </c>
      <c r="F80" s="3" t="str">
        <v>Resolução do Conselho de Ministros n.º 119/2025</v>
      </c>
      <c r="G80" s="22" t="str">
        <v>Open DR act</v>
      </c>
      <c r="H80" s="20" t="d">
        <v>2025-08-12T00:00:00.000Z</v>
      </c>
      <c r="I80" s="20" t="d">
        <v>2025-07-24T00:00:00.000Z</v>
      </c>
      <c r="J80" s="20" t="d">
        <v>2025-08-13T00:00:00.000Z</v>
      </c>
      <c r="K80" s="3" t="str">
        <v>Presidência do Conselho de Ministros</v>
      </c>
      <c r="L80" s="3" t="str">
        <v>Not individually specified; under the member of Government responsible for infrastructures.</v>
      </c>
      <c r="M80" s="3" t="str">
        <v>10 - Determinar a constituição de um grupo de trabalho, sem qualquer remuneração ou abono pelo desempenho de funções, com o objetivo de apresentar uma proposta de revisão do atual enquadramento da organização da administração marítimo-portuária constituído pela Direção-Geral de Recursos Naturais, Segurança e Serviços Marítimos, pela Autoridade Marítima Nacional, pelo Instituto da Mobilidade e dos Transportes, IP, e pelas administrações portuárias do continente, que devem auscultar a Associação Nacional de Municípios Portugueses e as Comunidades Marítimas e Portuárias.</v>
      </c>
      <c r="N80" s="3" t="str">
        <v>Transport / Ports</v>
      </c>
      <c r="O80" s="3" t="str">
        <v>Prepare proposals for private investment in port terminals within the PORTOS 5+ strategy.</v>
      </c>
      <c r="P80" s="3" t="str">
        <v>10 - Determinar a constituição de um grupo de trabalho, sem qualquer remuneração ou abono pelo desempenho de funções, com o objetivo de apresentar uma proposta de revisão do atual enquadramento da organização da administração marítimo-portuária constituído pela Direção-Geral de Recursos Naturais, Segurança e Serviços Marítimos, pela Autoridade Marítima Nacional, pelo Instituto da Mobilidade e dos Transportes, IP, e pelas administrações portuárias do continente, que devem auscultar a Associação Nacional de Municípios Portugueses e as Comunidades Marítimas e Portuárias.</v>
      </c>
      <c r="Q80" s="3" t="str">
        <v>10 - Determinar a constituição de um grupo de trabalho, sem qualquer remuneração ou abono pelo desempenho de funções, com o objetivo de apresentar uma proposta de revisão do atual enquadramento da organização da administração marítimo-portuária constituído pela Direção-Geral de Recursos Naturais, Segurança e Serviços Marítimos, pela Autoridade Marítima Nacional, pelo Instituto da Mobilidade e dos Transportes, IP, e pelas administrações portuárias do continente, que devem auscultar a Associação Nacional de Municípios Portugueses e as Comunidades Marítimas e Portuárias.</v>
      </c>
      <c r="R80" s="3" t="str">
        <v>4 - Determinar que, até 31 de dezembro de 2026, são apresentadas propostas de alterações legislativa: 2026-12-31 — Explicit calendar date in the act.
Final report / last specified substantive output: 2026-12-31 — Fixed date / explicit year-end in creating act.</v>
      </c>
      <c r="S80" s="20" t="d">
        <v>2026-12-31T00:00:00.000Z</v>
      </c>
      <c r="T80" s="20" t="d">
        <v>2026-12-31T00:00:00.000Z</v>
      </c>
      <c r="U80" s="3" t="str">
        <v>Fixed date / explicit year-end in creating act.</v>
      </c>
      <c r="V80" s="20"/>
      <c r="W80" s="21" t="str">
        <f>IF(AND(C80="Em atraso",ISNUMBER(V80)),MAX(0,Dashboard!$E$4-V80),"")</f>
      </c>
      <c r="X80" s="3" t="str">
        <v>Unpaid; see the original clause for the scope of the exclusion.</v>
      </c>
      <c r="Y80" s="3" t="str">
        <v>8 - Determinar que, para efeitos do previsto no número anterior, o membro do Governo responsável pela área das infraestruturas é coadjuvado por cinco elementos das administrações portuárias, designados por despacho, os quais não auferem qualquer remuneração ou abono pelo desempenho de funções, sendo um deles o coordenador.
10 - Determinar a constituição de um grupo de trabalho, sem qualquer remuneração ou abono pelo desempenho de funções, com o objetivo de apresentar uma proposta de revisão do atual enquadramento da organização da administração marítimo-portuária constituído pela Direção-Geral de Recursos Naturais, Segurança e Serviços Marítimos, pela Autoridade Marítima Nacional, pelo Instituto da Mobilidade e dos Transportes, IP, e pelas administrações portuárias do continente, que devem auscultar a Associação Nacional de Municípios Portugueses e as Comunidades Marítimas e Portuárias.</v>
      </c>
      <c r="Z80" s="3" t="str">
        <v>Current controlling deadline has not passed; delivery not independently verified.</v>
      </c>
      <c r="AA80" s="3" t="str">
        <v>https://diariodarepublica.pt/dr/detalhe/resolucao-conselho-ministros/119-2025-928506357</v>
      </c>
      <c r="AB80" s="22" t="str">
        <v>Open evidence</v>
      </c>
      <c r="AC80" s="20"/>
      <c r="AD80" s="3" t="str">
        <v>No delivery evidence identified.</v>
      </c>
      <c r="AE80" s="3" t="str">
        <v>Not independently verified.</v>
      </c>
      <c r="AF80" s="3" t="str"/>
      <c r="AG80" s="3" t="str"/>
      <c r="AH80" s="3" t="str">
        <v> 31 December 2026 is the resolution’s general legislative-proposal target; no separate date is assigned specifically to this group. Descriptive label follows the Portuguese creating clause; the full act title and exact mandate are retained separately.</v>
      </c>
      <c r="AI80" s="3" t="str">
        <v>DR full-period singular/plural/technical phrase inventories; later acts reviewed. Outcome search: "grupo de trabalho" PORTOS 5+ administração marítimo portuária relatório conclusões after:2024-04-01 before:2026-10-11. Domains: portugal.gov.pt, gov.pt, parlamento.pt, diariodarepublica.pt, justica.gov.pt, dgav.pt, icnf.pt, anac.pt, dgeg.gov.pt. Official evidence/limitations recorded in this row.</v>
      </c>
      <c r="AJ80" s="20" t="d">
        <v>2026-10-10T00:00:00.000Z</v>
      </c>
      <c r="AK80" s="3" t="str">
        <v>2025-07-24</v>
      </c>
      <c r="AL80" s="3" t="str">
        <v>Day after publication.</v>
      </c>
      <c r="AM80" s="3" t="str">
        <v>Express name / creating-act summary; descriptive source label where no formal name is assigned.</v>
      </c>
      <c r="AN80" s="3" t="str">
        <v>Presidency / Council of Ministers</v>
      </c>
      <c r="AO80" s="3" t="str">
        <v>Final report / last specified substantive output</v>
      </c>
      <c r="AP80" s="3" t="str"/>
      <c r="AQ80" s="21" t="str">
        <f>IF(AND(C80="Em atraso",ISNUMBER(D80)),COUNTIFS(Groups!$C$6:$C$127,"Em atraso",Groups!$D$6:$D$127,"&gt;"&amp;D80)+COUNTIFS($C$6:C80,"Em atraso",$D$6:D80,D80),"")</f>
      </c>
      <c r="AR80" s="21" t="n">
        <f>IF(COUNTIF($F$6:F80,F80)=1,1,0)</f>
        <v>1</v>
      </c>
    </row>
    <row r="81" ht="96" customHeight="1">
      <c r="A81" s="3" t="str">
        <v>GT-2025-025</v>
      </c>
      <c r="B81" s="3" t="str">
        <v>grupo de trabalho com a missão de avaliar o impacto da implementação do Regime Ponto Parceiro no Serviço Nacional de Saúde (SNS), tendo em vista aferir dos benefícios e da sustentabilidade financeira do mesmo</v>
      </c>
      <c r="C81" s="3" t="str">
        <v>Sem informação pública</v>
      </c>
      <c r="D81" s="21" t="str">
        <f>IF(C81="Em atraso",IF(ISNUMBER(T81),MAX(0,Dashboard!$E$4-T81),""),IF(C81="Concluído com atraso",IF(AND(ISNUMBER(T81),ISNUMBER(AC81)),MAX(0,AC81-T81),""),IF(C81="Concluído no prazo",0,"")))</f>
      </c>
      <c r="E81" s="3" t="str">
        <v>XXV</v>
      </c>
      <c r="F81" s="3" t="str">
        <v>Despacho n.º 9698/2025</v>
      </c>
      <c r="G81" s="22" t="str">
        <v>Open DR act</v>
      </c>
      <c r="H81" s="20" t="d">
        <v>2025-08-14T00:00:00.000Z</v>
      </c>
      <c r="I81" s="20" t="d">
        <v>2025-08-08T00:00:00.000Z</v>
      </c>
      <c r="J81" s="20" t="d">
        <v>2025-08-14T00:00:00.000Z</v>
      </c>
      <c r="K81" s="3" t="str">
        <v>Saúde - Gabinete do Secretário de Estado da Gestão da Saúde</v>
      </c>
      <c r="L81" s="3" t="str">
        <v>a) Um representante da Administração Central do Sistema de Saúde, IP (ACSS IP), que coordena;</v>
      </c>
      <c r="M81" s="3" t="str">
        <v>2 - O grupo de trabalho é constituído por:
a) Um representante da Administração Central do Sistema de Saúde, IP (ACSS IP), que coordena;
b) Um representante da SPMS - Serviços Partilhados do Ministério da Saúde, EPE;
c) Um representante da Direção Executiva do Serviço Nacional de Saúde.</v>
      </c>
      <c r="N81" s="3" t="str">
        <v>Health</v>
      </c>
      <c r="O81" s="3" t="str">
        <v>Assess the impact of the Regime do Ponto Parceiro and recommend improvements.</v>
      </c>
      <c r="P81" s="3" t="str">
        <v>1 - É criado um grupo de trabalho com a missão de avaliar o impacto da implementação do Regime Ponto Parceiro no SNS, tendo em vista:
i) Uma análise do custo-benefício e consequente revisão de benefícios da implementação deste regime; e
ii) Medidas que o harmonizem nas estratégias de combate à desigualdade de acesso à saúde e de alargamento de cuidados de proximidade, constantes no Programa do XXV Governo Constitucional, e que permitam uma previsão e controlo adequados da despesa contribuindo desta forma para a sustentabilidade do SNS.</v>
      </c>
      <c r="Q81" s="3" t="str">
        <v>1 - É criado um grupo de trabalho com a missão de avaliar o impacto da implementação do Regime Ponto Parceiro no SNS, tendo em vista:
i) Uma análise do custo-benefício e consequente revisão de benefícios da implementação deste regime; e
ii) Medidas que o harmonizem nas estratégias de combate à desigualdade de acesso à saúde e de alargamento de cuidados de proximidade, constantes no Programa do XXV Governo Constitucional, e que permitam uma previsão e controlo adequados da despesa contribuindo desta forma para a sustentabilidade do SNS.
3 - Determina-se, ainda, que o grupo de trabalho deverá, no prazo de 30 dias após a sua constituição, apresentar um relatório que responda às tarefas elencadas no n.º 1 do presente despacho.
4 - Os membros do grupo de trabalho não auferem qualquer remuneração ou abono pelo exercício das suas funções, ressalvadas as ajudas de custo a que haja lugar nos termos legais.
5 - O grupo de trabalho pode solicitar a colaboração e o apoio técnico de outros elementos, devendo os serviços e organismos do Ministério da Saúde prestar, no âmbito das respetivas atribuições, todo o apoio que lhes for solicitado para o desempenho da sua missão.</v>
      </c>
      <c r="R81" s="3" t="str">
        <v>3 - Determina-se, ainda, que o grupo de trabalho deverá, no prazo de 30 dias após a sua constituição: date not derivable — 30 dias after trigger: Actual constitution / start date not independently public.; exact date cannot be verified.
6 - Os representantes das entidades referidas no n.º 2 são designados no prazo máximo de 15 dias apó: 2025-08-29 — 2025-08-14 + 15 calendar days (monitoring convention). If CPA procedural counting applies: 2025-09-05.
Final report / last specified substantive output: 2025-09-13 — effective 2025-08-14 + 30 calendar days; plain “dias” benchmark. Alternative working-day date: 2025-09-26. Constitution is treated as the creating act’s effective date; later designation of members may move the operational start.</v>
      </c>
      <c r="S81" s="20" t="d">
        <v>2025-09-13T00:00:00.000Z</v>
      </c>
      <c r="T81" s="20" t="d">
        <v>2025-09-13T00:00:00.000Z</v>
      </c>
      <c r="U81" s="3" t="str">
        <v>effective 2025-08-14 + 30 calendar days; plain “dias” benchmark. Alternative working-day date: 2025-09-26. Constitution is treated as the creating act’s effective date; later designation of members may move the operational start.</v>
      </c>
      <c r="V81" s="20" t="d">
        <v>2025-09-26T00:00:00.000Z</v>
      </c>
      <c r="W81" s="21" t="str">
        <f>IF(AND(C81="Em atraso",ISNUMBER(V81)),MAX(0,Dashboard!$E$4-V81),"")</f>
      </c>
      <c r="X81" s="3" t="str">
        <v>Unpaid group participation; expense/allowance terms are stated in the original clause.</v>
      </c>
      <c r="Y81" s="3" t="str">
        <v>4 - Os membros do grupo de trabalho não auferem qualquer remuneração ou abono pelo exercício das suas funções, ressalvadas as ajudas de custo a que haja lugar nos termos legais.</v>
      </c>
      <c r="Z81" s="3" t="str">
        <v>No dated delivery evidence; an unspecified anchor or plausible alternative counting rule prevents a firm overdue assessment.</v>
      </c>
      <c r="AA81" s="3" t="str">
        <v>https://diariodarepublica.pt/dr/detalhe/despacho/9698-2025-928825171</v>
      </c>
      <c r="AB81" s="22" t="str">
        <v>Open evidence</v>
      </c>
      <c r="AC81" s="20"/>
      <c r="AD81" s="3" t="str">
        <v>No delivery evidence identified.</v>
      </c>
      <c r="AE81" s="3" t="str">
        <v>Not independently verified.</v>
      </c>
      <c r="AF81" s="3" t="str"/>
      <c r="AG81" s="3" t="str"/>
      <c r="AH81" s="3" t="str"/>
      <c r="AI81" s="3" t="str">
        <v>DR full-period singular/plural/technical phrase inventories; later acts reviewed. Outcome search: "grupo de trabalho" Regime Ponto Parceiro relatório conclusões after:2024-04-01 before:2026-10-11. Domains: portugal.gov.pt, gov.pt, parlamento.pt, diariodarepublica.pt, justica.gov.pt, dgav.pt, icnf.pt, anac.pt, dgeg.gov.pt. Official evidence/limitations recorded in this row.</v>
      </c>
      <c r="AJ81" s="20" t="d">
        <v>2026-10-10T00:00:00.000Z</v>
      </c>
      <c r="AK81" s="3" t="str">
        <v>2025-08-08</v>
      </c>
      <c r="AL81" s="3" t="str">
        <v>Publication date.</v>
      </c>
      <c r="AM81" s="3" t="str">
        <v>Express name / creating-act summary; descriptive source label where no formal name is assigned.</v>
      </c>
      <c r="AN81" s="3" t="str">
        <v>Health</v>
      </c>
      <c r="AO81" s="3" t="str">
        <v>Final report / last specified substantive output</v>
      </c>
      <c r="AP81" s="3" t="str"/>
      <c r="AQ81" s="21" t="str">
        <f>IF(AND(C81="Em atraso",ISNUMBER(D81)),COUNTIFS(Groups!$C$6:$C$127,"Em atraso",Groups!$D$6:$D$127,"&gt;"&amp;D81)+COUNTIFS($C$6:C81,"Em atraso",$D$6:D81,D81),"")</f>
      </c>
      <c r="AR81" s="21" t="n">
        <f>IF(COUNTIF($F$6:F81,F81)=1,1,0)</f>
        <v>1</v>
      </c>
    </row>
    <row r="82" ht="96" customHeight="1">
      <c r="A82" s="3" t="str">
        <v>GT-2025-026</v>
      </c>
      <c r="B82" s="3" t="str">
        <v>Grupo de Trabalho — Plano Nacional para matérias-primas do Setor da Construção</v>
      </c>
      <c r="C82" s="3" t="str">
        <v>Em atraso</v>
      </c>
      <c r="D82" s="21" t="n">
        <f>IF(C82="Em atraso",IF(ISNUMBER(T82),MAX(0,Dashboard!$E$4-T82),""),IF(C82="Concluído com atraso",IF(AND(ISNUMBER(T82),ISNUMBER(AC82)),MAX(0,AC82-T82),""),IF(C82="Concluído no prazo",0,"")))</f>
        <v>357</v>
      </c>
      <c r="E82" s="3" t="str">
        <v>XXV</v>
      </c>
      <c r="F82" s="3" t="str">
        <v>Despacho n.º 9795/2025</v>
      </c>
      <c r="G82" s="22" t="str">
        <v>Open DR act</v>
      </c>
      <c r="H82" s="20" t="d">
        <v>2025-08-19T00:00:00.000Z</v>
      </c>
      <c r="I82" s="20" t="d">
        <v>2025-07-21T00:00:00.000Z</v>
      </c>
      <c r="J82" s="20" t="d">
        <v>2025-08-19T00:00:00.000Z</v>
      </c>
      <c r="K82" s="3" t="str">
        <v>Presidência do Conselho de Ministros - Gabinete do Ministro das Infraestruturas e Habitação</v>
      </c>
      <c r="L82" s="3" t="str">
        <v>Not specified; group is under the Minister of Infrastructure and Housing and reports to that minister.</v>
      </c>
      <c r="M82" s="3" t="str">
        <v>3 - Composição
O Grupo de Trabalho é constituído por:
a) Um representante do Gabinete do Ministro das Infraestruturas e Habitação;
b) Um representante do Laboratório Nacional de Engenharia Civil (LNEC);
c) Um representante do Instituto da Habitação e da Reabilitação Urbana (IHRU);
d) Um representante do Instituto dos Mercados Públicos, do Imobiliário e da Construção (IMPIC);
e) Um representante da Construção Pública, EPE (CP);
f) Um representante da Associação dos Industriais da Construção Civil e Obras Públicas (AICCOPN);
g) Um representante da Associação Portuguesa dos Comerciantes de Materiais de Construção (APCMC);
h) Um representante da Associação Cluster AEC - Arquitetura, Engenharia e Construção.
Os membros deverão ser designados no prazo máximo de oito dias úteis após a publicação do presente despacho no Diário da República.</v>
      </c>
      <c r="N82" s="3" t="str">
        <v>Housing / Construction</v>
      </c>
      <c r="O82" s="3" t="str">
        <v>Assess construction-material supply, critical materials and alternatives and propose a national construction-materials plan.</v>
      </c>
      <c r="P82" s="3" t="str">
        <v>1 - Criação do grupo de trabalho
É criado, na dependência direta do Ministro das Infraestruturas e Habitação, o Grupo de Trabalho para o Estudo da Criação de um Plano Nacional para os Materiais de Construção, adiante designado por Grupo de Trabalho.</v>
      </c>
      <c r="Q82" s="3" t="str">
        <v>2 - Missão
O Grupo de Trabalho tem por missão estudar e apresentar propostas que visem a criação de um Plano Nacional para os Materiais de Construção, nomeadamente através de:
a) Análise das necessidades estratégicas do setor da construção, com especial enfoque na habitação;
b) Identificação de materiais críticos para o setor;
c) Avaliação de materiais alternativos, nomeadamente reutilizáveis ou de menor pegada ecológica;
d) Mapeamento de potenciais fontes e cadeias de abastecimento;
e) Estudo de modelos internacionais e boas práticas relevantes.
4 - Funcionamento:
a) O Grupo de Trabalho poderá convidar a participar, sem direito a voto, representantes de outras entidades públicas ou privadas, bem como especialistas cujos contributos se revelem relevantes para a prossecução dos seus objetivos;
b) O apoio técnico, logístico e administrativo ao funcionamento do Grupo de Trabalho é assegurado pelo Gabinete do Ministro das Infraestruturas e Habitação;
c) A participação no Grupo de Trabalho não confere direito a qualquer remuneração adicional ou abono.</v>
      </c>
      <c r="R82" s="3" t="str">
        <v>Os membros deverão ser designados no prazo máximo de oito dias úteis após a publicação do presente d: 2025-08-29 — 2025-08-19 + 8 working days; anchor excluded, weekends and national statutory holidays excluded.
5 - Relatórios e prazos:: date not derivable — No uniquely dated deadline derivable from this clause; cadence or trigger is preserved.
a) O Grupo de Trabalho apresentará um relatório preliminar no prazo de 30 dias e um relatório final,: 2025-09-18 — 2025-08-19 + 30 calendar days (monitoring convention). If CPA procedural counting applies: 2025-09-30.
Final report / last specified substantive output: 2025-10-18 — published 2025-08-19 + 60 calendar days; plain “dias” benchmark. Alternative working-day date: 2025-11-11.</v>
      </c>
      <c r="S82" s="20" t="d">
        <v>2025-10-18T00:00:00.000Z</v>
      </c>
      <c r="T82" s="20" t="d">
        <v>2025-10-18T00:00:00.000Z</v>
      </c>
      <c r="U82" s="3" t="str">
        <v>published 2025-08-19 + 60 calendar days; plain “dias” benchmark. Alternative working-day date: 2025-11-11.</v>
      </c>
      <c r="V82" s="20" t="d">
        <v>2025-11-11T00:00:00.000Z</v>
      </c>
      <c r="W82" s="21" t="n">
        <f>IF(AND(C82="Em atraso",ISNUMBER(V82)),MAX(0,Dashboard!$E$4-V82),"")</f>
        <v>333</v>
      </c>
      <c r="X82" s="3" t="str">
        <v>Unpaid; see the original clause for the scope of the exclusion.</v>
      </c>
      <c r="Y82" s="3" t="str">
        <v>4 - Funcionamento:
a) O Grupo de Trabalho poderá convidar a participar, sem direito a voto, representantes de outras entidades públicas ou privadas, bem como especialistas cujos contributos se revelem relevantes para a prossecução dos seus objetivos;
b) O apoio técnico, logístico e administrativo ao funcionamento do Grupo de Trabalho é assegurado pelo Gabinete do Ministro das Infraestruturas e Habitação;
c) A participação no Grupo de Trabalho não confere direito a qualquer remuneração adicional ou abono.</v>
      </c>
      <c r="Z82" s="3" t="str">
        <v>Controlling benchmark has passed; no evidence of this output’s delivery identified in the reviewed acts and focused official-source outcome search.</v>
      </c>
      <c r="AA82" s="3" t="str">
        <v>https://diariodarepublica.pt/dr/detalhe/despacho/9795-2025-932537244</v>
      </c>
      <c r="AB82" s="22" t="str">
        <v>Open evidence</v>
      </c>
      <c r="AC82" s="20"/>
      <c r="AD82" s="3" t="str">
        <v>No delivery evidence identified.</v>
      </c>
      <c r="AE82" s="3" t="str">
        <v>Not independently verified.</v>
      </c>
      <c r="AF82" s="3" t="str"/>
      <c r="AG82" s="3" t="str"/>
      <c r="AH82" s="3" t="str">
        <v> Descriptive label follows the Portuguese creating clause; the full act title and exact mandate are retained separately.</v>
      </c>
      <c r="AI82" s="3" t="str">
        <v>DR full-period singular/plural/technical phrase inventories; later acts reviewed. Outcome search: "grupo de trabalho" Plano Nacional Materiais Construção relatório conclusões after:2024-04-01 before:2026-10-11. Domains: portugal.gov.pt, gov.pt, parlamento.pt, diariodarepublica.pt, justica.gov.pt, dgav.pt, icnf.pt, anac.pt, dgeg.gov.pt. Official evidence/limitations recorded in this row.</v>
      </c>
      <c r="AJ82" s="20" t="d">
        <v>2026-10-10T00:00:00.000Z</v>
      </c>
      <c r="AK82" s="3" t="str">
        <v>2025-07-21</v>
      </c>
      <c r="AL82" s="3" t="str">
        <v>Publication date.</v>
      </c>
      <c r="AM82" s="3" t="str">
        <v>Express name / creating-act summary; descriptive source label where no formal name is assigned.</v>
      </c>
      <c r="AN82" s="3" t="str">
        <v>Presidency / Council of Ministers; Infrastructure / Housing</v>
      </c>
      <c r="AO82" s="3" t="str">
        <v>Final report / last specified substantive output</v>
      </c>
      <c r="AP82" s="3" t="str">
        <v>Calendar monitoring benchmark; absence of public evidence is not proof of non-delivery.</v>
      </c>
      <c r="AQ82" s="21" t="n">
        <f>IF(AND(C82="Em atraso",ISNUMBER(D82)),COUNTIFS(Groups!$C$6:$C$127,"Em atraso",Groups!$D$6:$D$127,"&gt;"&amp;D82)+COUNTIFS($C$6:C82,"Em atraso",$D$6:D82,D82),"")</f>
        <v>31</v>
      </c>
      <c r="AR82" s="21" t="n">
        <f>IF(COUNTIF($F$6:F82,F82)=1,1,0)</f>
        <v>1</v>
      </c>
    </row>
    <row r="83" ht="96" customHeight="1">
      <c r="A83" s="3" t="str">
        <v>GT-2025-027</v>
      </c>
      <c r="B83" s="3" t="str">
        <v>Grupo de trabalho — redes de urgência de obstetrícia e ginecologia e referenciação de neonatologia e pediatria</v>
      </c>
      <c r="C83" s="3" t="str">
        <v>Em atraso</v>
      </c>
      <c r="D83" s="21" t="n">
        <f>IF(C83="Em atraso",IF(ISNUMBER(T83),MAX(0,Dashboard!$E$4-T83),""),IF(C83="Concluído com atraso",IF(AND(ISNUMBER(T83),ISNUMBER(AC83)),MAX(0,AC83-T83),""),IF(C83="Concluído no prazo",0,"")))</f>
        <v>325</v>
      </c>
      <c r="E83" s="3" t="str">
        <v>XXV</v>
      </c>
      <c r="F83" s="3" t="str">
        <v>Despacho n.º 9990/2025</v>
      </c>
      <c r="G83" s="22" t="str">
        <v>Open DR act</v>
      </c>
      <c r="H83" s="20" t="d">
        <v>2025-08-21T00:00:00.000Z</v>
      </c>
      <c r="I83" s="20" t="d">
        <v>2025-08-19T00:00:00.000Z</v>
      </c>
      <c r="J83" s="20" t="d">
        <v>2025-08-21T00:00:00.000Z</v>
      </c>
      <c r="K83" s="3" t="str">
        <v>Saúde - Gabinete da Ministra da Saúde</v>
      </c>
      <c r="L83" s="3" t="str">
        <v>2 - Fica incumbida da elaboração das propostas referida no n.º 1 um grupo de trabalho criado no âmbito da Comissão Nacional da Saúde da Mulher, da Criança e do Adolescente, coordenado pelo seu presidente, Alberto António Moreira Caldas Afonso, cuja composição será definida pelo seu coordenador.</v>
      </c>
      <c r="M83" s="3" t="str">
        <v>2 - Fica incumbida da elaboração das propostas referida no n.º 1 um grupo de trabalho criado no âmbito da Comissão Nacional da Saúde da Mulher, da Criança e do Adolescente, coordenado pelo seu presidente, Alberto António Moreira Caldas Afonso, cuja composição será definida pelo seu coordenador.</v>
      </c>
      <c r="N83" s="3" t="str">
        <v>Health</v>
      </c>
      <c r="O83" s="3" t="str">
        <v>Propose emergency obstetric and gynaecological services and a coordinated neonatal and paediatric referral network.</v>
      </c>
      <c r="P83" s="3" t="str">
        <v>2 - Fica incumbida da elaboração das propostas referida no n.º 1 um grupo de trabalho criado no âmbito da Comissão Nacional da Saúde da Mulher, da Criança e do Adolescente, coordenado pelo seu presidente, Alberto António Moreira Caldas Afonso, cuja composição será definida pelo seu coordenador.</v>
      </c>
      <c r="Q83" s="3" t="str">
        <v>5 - Os membros do grupo de trabalho não auferem qualquer remuneração ou abono pelo exercício das suas funções, ressalvadas as ajudas de custo a que haja lugar nos termos legais.
6 - O grupo de trabalho pode solicitar a colaboração e o apoio técnico de outros elementos, devendo os serviços e organismos do Ministério da Saúde prestar, no âmbito das respetivas atribuições, todo o apoio que lhes for solicitado para o desempenho da sua missão.</v>
      </c>
      <c r="R83" s="3" t="str">
        <v>3 - O grupo de trabalho deverá apresentar, no prazo de 30 dias, uma proposta de rede de serviços de : date not derivable — 30 dias after trigger: anchor not expressly specified; exact date cannot be verified.
4 - O grupo de trabalho deverá apresentar, no prazo de 90 dias, uma proposta de rede de referenciaçã: date not derivable — 90 dias after trigger: anchor not expressly specified; exact date cannot be verified.
Final report / last specified substantive output: 2025-11-19 — published 2025-08-21 + 90 calendar days; plain “dias” benchmark. Alternative working-day date: 2025-12-30.</v>
      </c>
      <c r="S83" s="20" t="d">
        <v>2025-11-19T00:00:00.000Z</v>
      </c>
      <c r="T83" s="20" t="d">
        <v>2025-11-19T00:00:00.000Z</v>
      </c>
      <c r="U83" s="3" t="str">
        <v>published 2025-08-21 + 90 calendar days; plain “dias” benchmark. Alternative working-day date: 2025-12-30.</v>
      </c>
      <c r="V83" s="20" t="d">
        <v>2025-12-30T00:00:00.000Z</v>
      </c>
      <c r="W83" s="21" t="n">
        <f>IF(AND(C83="Em atraso",ISNUMBER(V83)),MAX(0,Dashboard!$E$4-V83),"")</f>
        <v>284</v>
      </c>
      <c r="X83" s="3" t="str">
        <v>Unpaid group participation; expense/allowance terms are stated in the original clause.</v>
      </c>
      <c r="Y83" s="3" t="str">
        <v>5 - Os membros do grupo de trabalho não auferem qualquer remuneração ou abono pelo exercício das suas funções, ressalvadas as ajudas de custo a que haja lugar nos termos legais.</v>
      </c>
      <c r="Z83" s="3" t="str">
        <v>Controlling benchmark has passed; no evidence of this output’s delivery identified in the reviewed acts and focused official-source outcome search.</v>
      </c>
      <c r="AA83" s="3" t="str">
        <v>https://diariodarepublica.pt/dr/detalhe/despacho/9990-2025-932720961</v>
      </c>
      <c r="AB83" s="22" t="str">
        <v>Open evidence</v>
      </c>
      <c r="AC83" s="20"/>
      <c r="AD83" s="3" t="str">
        <v>No delivery evidence identified.</v>
      </c>
      <c r="AE83" s="3" t="str">
        <v>Not independently verified.</v>
      </c>
      <c r="AF83" s="3" t="str"/>
      <c r="AG83" s="3" t="str"/>
      <c r="AH83" s="3" t="str">
        <v> Descriptive label follows the Portuguese creating clause; the full act title and exact mandate are retained separately.</v>
      </c>
      <c r="AI83" s="3" t="str">
        <v>DR full-period singular/plural/technical phrase inventories; later acts reviewed. Outcome search: "grupo de trabalho" urgência obstétrica ginecológica rede pediátrica relatório conclusões after:2024-04-01 before:2026-10-11. Domains: portugal.gov.pt, gov.pt, parlamento.pt, diariodarepublica.pt, justica.gov.pt, dgav.pt, icnf.pt, anac.pt, dgeg.gov.pt. Official evidence/limitations recorded in this row.</v>
      </c>
      <c r="AJ83" s="20" t="d">
        <v>2026-10-10T00:00:00.000Z</v>
      </c>
      <c r="AK83" s="3" t="str">
        <v>2025-08-19</v>
      </c>
      <c r="AL83" s="3" t="str">
        <v>Publication date.</v>
      </c>
      <c r="AM83" s="3" t="str">
        <v>Express name / creating-act summary; descriptive source label where no formal name is assigned.</v>
      </c>
      <c r="AN83" s="3" t="str">
        <v>Health</v>
      </c>
      <c r="AO83" s="3" t="str">
        <v>Final report / last specified substantive output</v>
      </c>
      <c r="AP83" s="3" t="str">
        <v>Calendar monitoring benchmark; absence of public evidence is not proof of non-delivery.</v>
      </c>
      <c r="AQ83" s="21" t="n">
        <f>IF(AND(C83="Em atraso",ISNUMBER(D83)),COUNTIFS(Groups!$C$6:$C$127,"Em atraso",Groups!$D$6:$D$127,"&gt;"&amp;D83)+COUNTIFS($C$6:C83,"Em atraso",$D$6:D83,D83),"")</f>
        <v>34</v>
      </c>
      <c r="AR83" s="21" t="n">
        <f>IF(COUNTIF($F$6:F83,F83)=1,1,0)</f>
        <v>1</v>
      </c>
    </row>
    <row r="84" ht="96" customHeight="1">
      <c r="A84" s="3" t="str">
        <v>GT-2025-028</v>
      </c>
      <c r="B84" s="3" t="str">
        <v>grupo de trabalho encarregue de avaliar e propor um modelo de financiamento e monitorização no âmbito do acesso a medicamentos inovadores</v>
      </c>
      <c r="C84" s="3" t="str">
        <v>Em atraso</v>
      </c>
      <c r="D84" s="21" t="n">
        <f>IF(C84="Em atraso",IF(ISNUMBER(T84),MAX(0,Dashboard!$E$4-T84),""),IF(C84="Concluído com atraso",IF(AND(ISNUMBER(T84),ISNUMBER(AC84)),MAX(0,AC84-T84),""),IF(C84="Concluído no prazo",0,"")))</f>
        <v>269</v>
      </c>
      <c r="E84" s="3" t="str">
        <v>XXV</v>
      </c>
      <c r="F84" s="3" t="str">
        <v>Despacho n.º 10519/2025</v>
      </c>
      <c r="G84" s="22" t="str">
        <v>Open DR act</v>
      </c>
      <c r="H84" s="20" t="d">
        <v>2025-09-05T00:00:00.000Z</v>
      </c>
      <c r="I84" s="20" t="d">
        <v>2025-09-01T00:00:00.000Z</v>
      </c>
      <c r="J84" s="20" t="d">
        <v>2025-09-06T00:00:00.000Z</v>
      </c>
      <c r="K84" s="3" t="str">
        <v>Saúde - Gabinete da Secretária de Estado da Saúde</v>
      </c>
      <c r="L84" s="3" t="str">
        <v>a) Dr. João Pedro Ribeiro da Silva Barbosa Carvalho e o Dr. Miguel Mendes Pinto, em representação do Gabinete da Secretária de Estado da Saúde, que coordenam;</v>
      </c>
      <c r="M84" s="3" t="str">
        <v>3 - O grupo de trabalho tem a seguinte composição:
a) Dr. João Pedro Ribeiro da Silva Barbosa Carvalho e o Dr. Miguel Mendes Pinto, em representação do Gabinete da Secretária de Estado da Saúde, que coordenam;
b) Dr. Fernando Paulo dos Santos, em representação do Gabinete do Secretário de Estado da Gestão da Saúde;
c) Prof.ª Doutora Cláudia Furtado, em representação do INFARMED - Autoridade Nacional do Medicamento e Produtos de Saúde, I. P. (INFARMED, I. P.);
d) Dr.ª Nadine Jesus Pinto Ribeiro Ferrão Gonçalves, em representação da Direção Executiva do Serviço Nacional de Saúde, I. P. (DE-SNS, I. P.);
e) Dr.ª Isaura Vieira, em representação da Administração Central do Sistema de Saúde, I. P. (ACSS, I. P.);
f) Em representação de cada uma das entidades do Serviço Nacional de Saúde (SNS) a seguir discriminadas:
i) Dr.ª Ana Cristina Martins Lopes Lebre, Unidade Local de Saúde de Coimbra, E. P. E.;
ii) Dr.ª Maria Helena Alves Farinha Martins, Unidade Local de Saúde de Lisboa Ocidental, E. P. E.;
iii) Prof. Doutor João Paulo Cruz, Unidade Local de Saúde de Santa Maria, E. P. E.;
iv) Dr. Paulo Paiva, Unidade Local de Saúde de Santo António, E. P. E.;
v) Dr. Pedro Manuel Magalhães Silva Soares, Unidade Local de Saúde de São João, E. P. E.;
vi) Dr.ª Raquel Maria Sousa e Ascensão, Unidade Local de Saúde de São José, E. P. E.;
vii) Dr.ª Ana Filipa Horta Oliveira Cardoso Pais, Instituto Português de Oncologia de Coimbra Francisco Gentil, E. P. E.;
viii) Prof. Doutor Fernando Leal da Costa, Instituto Português de Oncologia de Lisboa Francisco Gentil, E. P. E.;
ix) Dr.ª Beatrice Mainolo, Instituto Português de Oncologia do Porto Francisco Gentil, E. P. E.;
g) Dr.ª Sandra Isabel Mansinho, em representação da SPMS - Serviços Partilhados do Ministério da Saúde, E. P. E.;
h) Dr.ª Raquel Chantre, em representação da Associação Portuguesa de Administradores Hospitalares (APAH);
i) Dr.ª Cristina Lopes, em representação da APIFARMA - Associação Portuguesa da Indústria Farmacêutica.</v>
      </c>
      <c r="N84" s="3" t="str">
        <v>Health</v>
      </c>
      <c r="O84" s="3" t="str">
        <v>Assess funding and monitoring of innovative medicines and propose improvements in access and financial sustainability.</v>
      </c>
      <c r="P84" s="3" t="str">
        <v>1 -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v>
      </c>
      <c r="Q84" s="3" t="str">
        <v>1 - É criado um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
2 - O grupo de trabalho deve, no cumprimento dos seus objetivos, produzir um relatório preliminar, a apresentar até 26 de novembro de 2025, e um relatório final, a apresentar até 14 de janeiro de 2026, que reflita(m) a análise, conclusões e propostas concretas de soluções.
4 - Os membros do grupo de trabalho não auferem qualquer remuneração ou abono pelo exercício das suas funções, ressalvadas as ajudas de custo a que haja lugar nos termos legais.
5 - O grupo de trabalho pode solicitar a colaboração e o apoio técnico de outros elementos, devendo os serviços e organismos do Ministério da Saúde prestar, no âmbito das respetivas atribuições, todo o apoio que lhes for solicitado para o desempenho da sua missão.</v>
      </c>
      <c r="R84" s="3" t="str">
        <v>2 - O grupo de trabalho deve, no cumprimento dos seus objetivos, produzir um relatório preliminar, a: 2026-01-14 — Explicit calendar date in the act.
Final report / last specified substantive output: 2026-01-14 — Fixed date / explicit year-end in creating act.</v>
      </c>
      <c r="S84" s="20" t="d">
        <v>2026-01-14T00:00:00.000Z</v>
      </c>
      <c r="T84" s="20" t="d">
        <v>2026-01-14T00:00:00.000Z</v>
      </c>
      <c r="U84" s="3" t="str">
        <v>Fixed date / explicit year-end in creating act.</v>
      </c>
      <c r="V84" s="20"/>
      <c r="W84" s="21" t="str">
        <f>IF(AND(C84="Em atraso",ISNUMBER(V84)),MAX(0,Dashboard!$E$4-V84),"")</f>
      </c>
      <c r="X84" s="3" t="str">
        <v>Unpaid group participation; expense/allowance terms are stated in the original clause.</v>
      </c>
      <c r="Y84" s="3" t="str">
        <v>4 - Os membros do grupo de trabalho não auferem qualquer remuneração ou abono pelo exercício das suas funções, ressalvadas as ajudas de custo a que haja lugar nos termos legais.</v>
      </c>
      <c r="Z84" s="3" t="str">
        <v>Controlling benchmark has passed; no evidence of this output’s delivery identified in the reviewed acts and focused official-source outcome search.</v>
      </c>
      <c r="AA84" s="3" t="str">
        <v>https://diariodarepublica.pt/dr/detalhe/despacho/10519-2025-934179787</v>
      </c>
      <c r="AB84" s="22" t="str">
        <v>Open evidence</v>
      </c>
      <c r="AC84" s="20"/>
      <c r="AD84" s="3" t="str">
        <v>No delivery evidence identified.</v>
      </c>
      <c r="AE84" s="3" t="str">
        <v>Not independently verified.</v>
      </c>
      <c r="AF84" s="3" t="str"/>
      <c r="AG84" s="3" t="str"/>
      <c r="AH84" s="3" t="str">
        <v> Separate acts each expressly create a group with substantially overlapping mission; no express revocation/continuity clause found. Both legal constitutions retained; possible institutional overlap affects totals.</v>
      </c>
      <c r="AI84" s="3" t="str">
        <v>DR full-period singular/plural/technical phrase inventories; later acts reviewed. Outcome search: "grupo de trabalho" acesso medicamentos inovadores 2026 relatório conclusões after:2024-04-01 before:2026-10-11. Domains: portugal.gov.pt, gov.pt, parlamento.pt, diariodarepublica.pt, justica.gov.pt, dgav.pt, icnf.pt, anac.pt, dgeg.gov.pt. Official evidence/limitations recorded in this row.</v>
      </c>
      <c r="AJ84" s="20" t="d">
        <v>2026-10-10T00:00:00.000Z</v>
      </c>
      <c r="AK84" s="3" t="str">
        <v>2025-09-01</v>
      </c>
      <c r="AL84" s="3" t="str">
        <v>Day after publication.</v>
      </c>
      <c r="AM84" s="3" t="str">
        <v>Express name / creating-act summary; descriptive source label where no formal name is assigned.</v>
      </c>
      <c r="AN84" s="3" t="str">
        <v>Health</v>
      </c>
      <c r="AO84" s="3" t="str">
        <v>Final report / last specified substantive output</v>
      </c>
      <c r="AP84" s="3" t="str">
        <v>Calendar monitoring benchmark; absence of public evidence is not proof of non-delivery.</v>
      </c>
      <c r="AQ84" s="21" t="n">
        <f>IF(AND(C84="Em atraso",ISNUMBER(D84)),COUNTIFS(Groups!$C$6:$C$127,"Em atraso",Groups!$D$6:$D$127,"&gt;"&amp;D84)+COUNTIFS($C$6:C84,"Em atraso",$D$6:D84,D84),"")</f>
        <v>44</v>
      </c>
      <c r="AR84" s="21" t="n">
        <f>IF(COUNTIF($F$6:F84,F84)=1,1,0)</f>
        <v>1</v>
      </c>
    </row>
    <row r="85" ht="96" customHeight="1">
      <c r="A85" s="3" t="str">
        <v>GT-2025-029</v>
      </c>
      <c r="B85" s="3" t="str">
        <v>grupo de trabalho interministerial para o espaço</v>
      </c>
      <c r="C85" s="3" t="str">
        <v>Extinto / substituído</v>
      </c>
      <c r="D85" s="21" t="str">
        <f>IF(C85="Em atraso",IF(ISNUMBER(T85),MAX(0,Dashboard!$E$4-T85),""),IF(C85="Concluído com atraso",IF(AND(ISNUMBER(T85),ISNUMBER(AC85)),MAX(0,AC85-T85),""),IF(C85="Concluído no prazo",0,"")))</f>
      </c>
      <c r="E85" s="3" t="str">
        <v>XXV</v>
      </c>
      <c r="F85" s="3" t="str">
        <v>Despacho n.º 10547/2025</v>
      </c>
      <c r="G85" s="22" t="str">
        <v>Open DR act</v>
      </c>
      <c r="H85" s="20" t="d">
        <v>2025-09-08T00:00:00.000Z</v>
      </c>
      <c r="I85" s="20" t="d">
        <v>2025-08-28T00:00:00.000Z</v>
      </c>
      <c r="J85" s="20" t="d">
        <v>2025-09-09T00:00:00.000Z</v>
      </c>
      <c r="K85"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L85" s="3" t="str">
        <v>6 - A coordenação do grupo de trabalho é assegurada pela área governativa da educação, ciência e inovação, suportada tecnicamente pela Agência Espacial Portuguesa, criada ao abrigo da Resolução do Conselho de Ministros n.º 55/2019, de 13 de março, à qual caberá providenciar o apoio logístico, documental e administrativo necessários ao bom funcionamento e ao cumprimento dos objetivos do grupo de trabalho indicados no n.º 1, sem prejuízo do número seguinte.</v>
      </c>
      <c r="M85" s="3" t="str">
        <v>2 - O grupo de trabalho é composto por membros do Governo das áreas governativas dos negócios estrangeiros, da economia e da coesão territorial, da defesa nacional, da educação, ciência e inovação, podendo a sua composição ser alargada às áreas governativas das infraestruturas e habitação, da administração interna, do ambiente e energia, da agricultura e mar, e a outras que se justifiquem.</v>
      </c>
      <c r="N85" s="3" t="str">
        <v>Science / Space</v>
      </c>
      <c r="O85" s="3" t="str">
        <v>Coordinate national positions and strategy for space policy and European Space Agency programmes.</v>
      </c>
      <c r="P85" s="3" t="str">
        <v>1 - É constituído, ao abrigo do n.º 8 do artigo 28.º da Lei n.º 4/2004, de 15 de janeiro, na sua redação atual, um grupo de trabalho interministerial para o espaço («Grupo de Trabalho Interministerial para o Espaço») com os objetivos de:
i) Contribuir para informar e definir as posições nacionais a defender no Conselho da ESA a nível ministerial, incluindo a subscrição de programas espaciais;
ii) Contribuir para informar e definir as posições nacionais a defender no Conselho de Competitividade da UE (vertente espaço) e na definição e implementação de iniciativas dos programas espaciais da UE;
iii) Definir orientações relacionadas com tratados, acordos e parcerias internacionais na área do espaço, no que respeita à implementação de iniciativas em curso e no que respeita ao estabelecimento de novas iniciativas;
iv) Propor ao Conselho de Ministros atualizações, sempre que se justifique, à Estratégia Nacional para o Espaço e aos planos de ação que lhe estejam associados;
v) Propor ao Conselho de Ministros, sempre que se justifique, a definição de políticas que potenciem o desenvolvimento do setor e a revisão da lei do espaço, nomeadamente, em virtude de atos aprovados no âmbito da UE;
vi) Discutir e propor ao Conselho de Ministros a definição de posições nacionais noutras matérias relevantes para o desenvolvimento do setor espacial nacional e para a defesa dos interesses geoestratégicos do País no espaço;
vii) Propor a alocação de recursos para o período 2026-29 referente à subscrição de programas espaciais da ESA e outras iniciativas a implementar ao abrigo da Estratégia Nacional para o Espaço;
viii) Nos casos em que seja relevante, promover a articulação com instrumentos de política económica, tais como as Agendas Mobilizadoras, os programas de apoio à inovação empresarial e mecanismos de internacionalização.</v>
      </c>
      <c r="Q85" s="3" t="str">
        <v>1 - É constituído, ao abrigo do n.º 8 do artigo 28.º da Lei n.º 4/2004, de 15 de janeiro, na sua redação atual, um grupo de trabalho interministerial para o espaço («Grupo de Trabalho Interministerial para o Espaço») com os objetivos de:
i) Contribuir para informar e definir as posições nacionais a defender no Conselho da ESA a nível ministerial, incluindo a subscrição de programas espaciais;
ii) Contribuir para informar e definir as posições nacionais a defender no Conselho de Competitividade da UE (vertente espaço) e na definição e implementação de iniciativas dos programas espaciais da UE;
iii) Definir orientações relacionadas com tratados, acordos e parcerias internacionais na área do espaço, no que respeita à implementação de iniciativas em curso e no que respeita ao estabelecimento de novas iniciativas;
iv) Propor ao Conselho de Ministros atualizações, sempre que se justifique, à Estratégia Nacional para o Espaço e aos planos de ação que lhe estejam associados;
v) Propor ao Conselho de Ministros, sempre que se justifique, a definição de políticas que potenciem o desenvolvimento do setor e a revisão da lei do espaço, nomeadamente, em virtude de atos aprovados no âmbito da UE;
vi) Discutir e propor ao Conselho de Ministros a definição de posições nacionais noutras matérias relevantes para o desenvolvimento do setor espacial nacional e para a defesa dos interesses geoestratégicos do País no espaço;
vii) Propor a alocação de recursos para o período 2026-29 referente à subscrição de programas espaciais da ESA e outras iniciativas a implementar ao abrigo da Estratégia Nacional para o Espaço;
viii) Nos casos em que seja relevante, promover a articulação com instrumentos de política económica, tais como as Agendas Mobilizadoras, os programas de apoio à inovação empresarial e mecanismos de internacionalização.
6 - A coordenação do grupo de trabalho é assegurada pela área governativa da educação, ciência e inovação, suportada tecnicamente pela Agência Espacial Portuguesa, criada ao abrigo da Resolução do Conselho de Ministros n.º 55/2019, de 13 de março, à qual caberá providenciar o apoio logístico, documental e administrativo necessários ao bom funcionamento e ao cumprimento dos objetivos do grupo de trabalho indicados no n.º 1, sem prejuízo do número seguinte.
9 - Para cumprir os objetivos indicados no n.º 1 e consoante as matérias em discussão em cada momento, o grupo de trabalho pode consultar peritos e representantes do setor espacial, incluindo empresas, centros de inovação e investidores estratégicos, e de outros setores relevantes para a implementação da Estratégia Nacional para o Espaço.</v>
      </c>
      <c r="R85" s="3" t="str">
        <v>11 - O grupo de trabalho apresenta aos membros do Governo mencionados no n.º 2 um relatório anual co: date not derivable — No uniquely dated deadline derivable from this clause; cadence or trigger is preserved.
12 - As agendas provisórias das reuniões do grupo de trabalho são circuladas pelos respetivos elemen: date not derivable — 5 dias úteis after trigger: anchor not expressly specified; exact date cannot be verified.
13 - O grupo de trabalho tem duração até 31 de dezembro de 2028.: 2028-12-31 — Explicit calendar date in the act.
Mandate end: 2028-12-31 — Fixed date / explicit year-end in creating act.</v>
      </c>
      <c r="S85" s="20" t="d">
        <v>2028-12-31T00:00:00.000Z</v>
      </c>
      <c r="T85" s="20" t="d">
        <v>2028-12-31T00:00:00.000Z</v>
      </c>
      <c r="U85" s="3" t="str">
        <v>Fixed date / explicit year-end in creating act.</v>
      </c>
      <c r="V85" s="20"/>
      <c r="W85" s="21" t="str">
        <f>IF(AND(C85="Em atraso",ISNUMBER(V85)),MAX(0,Dashboard!$E$4-V85),"")</f>
      </c>
      <c r="X85" s="3" t="str">
        <v>Unpaid group participation; expense/allowance terms are stated in the original clause.</v>
      </c>
      <c r="Y85" s="3" t="str">
        <v>10 - Aos membros do grupo de trabalho e às pessoas que com ele colaboram não é devido o pagamento de qualquer remuneração ou abono pelo trabalho desenvolvido, sem prejuízo de eventuais encargos relativos a despesas de deslocação, nos termos da legislação em vigor, serem suportados pelos respetivos serviços de origem.</v>
      </c>
      <c r="Z85" s="3" t="str">
        <v>Creating act expressly revoked by Despacho n.º 4643/2026, de 9 de abril.</v>
      </c>
      <c r="AA85" s="3" t="str">
        <v>https://diariodarepublica.pt/dr/detalhe/despacho/10547-2025-934422161
https://diariodarepublica.pt/dr/detalhe/despacho/4643-2026-1082906758</v>
      </c>
      <c r="AB85" s="22" t="str">
        <v>Open evidence</v>
      </c>
      <c r="AC85" s="20"/>
      <c r="AD85" s="3" t="str">
        <v>No delivery evidence identified.</v>
      </c>
      <c r="AE85" s="3" t="str">
        <v>Not independently verified.</v>
      </c>
      <c r="AF85" s="3" t="str"/>
      <c r="AG85" s="3" t="str">
        <v>Despacho n.º 4643/2026, de 9 de abril — https://diariodarepublica.pt/dr/detalhe/despacho/4643-2026-1082906758</v>
      </c>
      <c r="AH85" s="3" t="str"/>
      <c r="AI85" s="3" t="str">
        <v>DR full-period singular/plural/technical phrase inventories; later acts reviewed. Outcome search: "grupo de trabalho" política espacial espaço ESA relatório conclusões after:2024-04-01 before:2026-10-11. Domains: portugal.gov.pt, gov.pt, parlamento.pt, diariodarepublica.pt, justica.gov.pt, dgav.pt, icnf.pt, anac.pt, dgeg.gov.pt. Official evidence/limitations recorded in this row.</v>
      </c>
      <c r="AJ85" s="20" t="d">
        <v>2026-10-10T00:00:00.000Z</v>
      </c>
      <c r="AK85" s="3" t="str">
        <v>2025-08-27; 2025-08-28</v>
      </c>
      <c r="AL85" s="3" t="str">
        <v>Day after publication.</v>
      </c>
      <c r="AM85" s="3" t="str">
        <v>Express name / creating-act summary; descriptive source label where no formal name is assigned.</v>
      </c>
      <c r="AN85" s="3" t="str">
        <v>Foreign affairs; Defence; Education / Science; Economy; Territorial cohesion</v>
      </c>
      <c r="AO85" s="3" t="str">
        <v>Mandate end</v>
      </c>
      <c r="AP85" s="3" t="str"/>
      <c r="AQ85" s="21" t="str">
        <f>IF(AND(C85="Em atraso",ISNUMBER(D85)),COUNTIFS(Groups!$C$6:$C$127,"Em atraso",Groups!$D$6:$D$127,"&gt;"&amp;D85)+COUNTIFS($C$6:C85,"Em atraso",$D$6:D85,D85),"")</f>
      </c>
      <c r="AR85" s="21" t="n">
        <f>IF(COUNTIF($F$6:F85,F85)=1,1,0)</f>
        <v>1</v>
      </c>
    </row>
    <row r="86" ht="96" customHeight="1">
      <c r="A86" s="3" t="str">
        <v>GT-2025-030</v>
      </c>
      <c r="B86" s="3" t="str">
        <v>grupo de trabalho para a revisão do regime jurídico dos graus e diplomas do ensino superior</v>
      </c>
      <c r="C86" s="3" t="str">
        <v>Em atraso</v>
      </c>
      <c r="D86" s="21" t="n">
        <f>IF(C86="Em atraso",IF(ISNUMBER(T86),MAX(0,Dashboard!$E$4-T86),""),IF(C86="Concluído com atraso",IF(AND(ISNUMBER(T86),ISNUMBER(AC86)),MAX(0,AC86-T86),""),IF(C86="Concluído no prazo",0,"")))</f>
        <v>344</v>
      </c>
      <c r="E86" s="3" t="str">
        <v>XXV</v>
      </c>
      <c r="F86" s="3" t="str">
        <v>Despacho n.º 10662/2025</v>
      </c>
      <c r="G86" s="22" t="str">
        <v>Open DR act</v>
      </c>
      <c r="H86" s="20" t="d">
        <v>2025-09-10T00:00:00.000Z</v>
      </c>
      <c r="I86" s="20" t="d">
        <v>2025-09-05T00:00:00.000Z</v>
      </c>
      <c r="J86" s="20" t="d">
        <v>2025-09-11T00:00:00.000Z</v>
      </c>
      <c r="K86" s="3" t="str">
        <v>Educação, Ciência e Inovação - Gabinete da Secretária de Estado do Ensino Superior</v>
      </c>
      <c r="L86" s="3" t="str">
        <v>4 - O grupo de trabalho, coordenado pela Secretária de Estado do Ensino Superior, é constituído pelas seguintes individualidades:</v>
      </c>
      <c r="M86" s="3" t="str">
        <v>4 - O grupo de trabalho, coordenado pela Secretária de Estado do Ensino Superior, é constituído pelas seguintes individualidades:
a) Prof. Doutor Paulo Jorge Ferreira, presidente do Conselho de Reitores das Universidades Portuguesas (CRUP);
b) Prof.ª Doutora Maria José Fernandes, presidente do Conselho Coordenador dos Institutos Superiores Politécnicos (CCISP);
c) Prof. Doutor António Almeida Dias, presidente da Associação Portuguesa do Ensino Superior Privado (APESP);
d) Prof. Doutor Domingos Fernandes, Presidente do Conselho Nacional de Educação (CNE);
e) Um representante da Agência de Avaliação e Acreditação do Ensino Superior (A3ES);
f) Um representante da Direção-Geral do Ensino Superior (DGES);
g) Um representante da Fundação para a Ciência e a Tecnologia (FCT);
h) Um representante do Conselho Nacional de Ciência, Tecnologia e Inovação (CNCTI);
i) Um representante do Conselho Nacional para a Inovação Pedagógica no Ensino Superior (CNIPES).</v>
      </c>
      <c r="N86" s="3" t="str">
        <v>Education / Higher education</v>
      </c>
      <c r="O86" s="3" t="str">
        <v>Review the higher-education degrees and diplomas regime and requirements for awarding academic qualifications.</v>
      </c>
      <c r="P86" s="3" t="str">
        <v>1 - É criado um grupo de trabalho com a missão de proceder à revisão do atual regime jurídico dos graus e diplomas do ensino superior, com especial incidência na redefinição dos requisitos a observar pelas instituições de ensino superior para a atribuição de graus académicos.</v>
      </c>
      <c r="Q86" s="3" t="str">
        <v>1 - É criado um grupo de trabalho com a missão de proceder à revisão do atual regime jurídico dos graus e diplomas do ensino superior, com especial incidência na redefinição dos requisitos a observar pelas instituições de ensino superior para a atribuição de graus académicos.
2 - São objetivos do grupo de trabalho:
a) Analisar criticamente o regime jurídico atualmente em vigor, identificando lacunas, insuficiências e desajustamentos face à realidade do sistema de ensino superior;
b) Avaliar os impactos decorrentes das alterações propostas ao novo regime jurídico das instituições de ensino superior, promovendo a articulação e coerência normativa e funcional entre ambos os diplomas;
c) Formular propostas que reforcem os requisitos de qualidade e exigência científica, pedagógica e institucional na organização e oferta dos ciclos de estudos conducentes à atribuição de graus académicos.
6 - O grupo de trabalho pode, sempre que necessário para o cumprimento da sua missão, consultar outras entidades, públicas ou privadas, associações, especialistas ou personalidades com reconhecido mérito.</v>
      </c>
      <c r="R86" s="3" t="str">
        <v>5 - As entidades referidas nas alíneas e) a i) do número anterior devem indicar os nomes dos respeti: 2025-09-18 — 2025-09-11 + 7 calendar days (monitoring convention). If CPA procedural counting applies: 2025-09-22.
9 - O grupo de trabalho deve apresentar um relatório final, contendo as suas conclusões e propostas,: 2025-10-31 — Explicit calendar date in the act.
Final report / last specified substantive output: 2025-10-31 — Fixed date / explicit year-end in creating act.</v>
      </c>
      <c r="S86" s="20" t="d">
        <v>2025-10-31T00:00:00.000Z</v>
      </c>
      <c r="T86" s="20" t="d">
        <v>2025-10-31T00:00:00.000Z</v>
      </c>
      <c r="U86" s="3" t="str">
        <v>Fixed date / explicit year-end in creating act.</v>
      </c>
      <c r="V86" s="20"/>
      <c r="W86" s="21" t="str">
        <f>IF(AND(C86="Em atraso",ISNUMBER(V86)),MAX(0,Dashboard!$E$4-V86),"")</f>
      </c>
      <c r="X86" s="3" t="str">
        <v>Unpaid; see the original clause for the scope of the exclusion.</v>
      </c>
      <c r="Y86" s="3" t="str">
        <v>8 - A participação no grupo de trabalho não confere aos respetivos membros, nem a quem com ele colabora, o direito ao pagamento de qualquer tipo de prestação remuneratória ou compensatória, independentemente da sua natureza, nomeadamente a título de remuneração, compensação, subsídio ou senha de presença, nem implica a assunção de encargos adicionais.</v>
      </c>
      <c r="Z86" s="3" t="str">
        <v>Controlling benchmark has passed; no evidence of this output’s delivery identified in the reviewed acts and focused official-source outcome search.</v>
      </c>
      <c r="AA86" s="3" t="str">
        <v>https://diariodarepublica.pt/dr/detalhe/despacho/10662-2025-934744248</v>
      </c>
      <c r="AB86" s="22" t="str">
        <v>Open evidence</v>
      </c>
      <c r="AC86" s="20"/>
      <c r="AD86" s="3" t="str">
        <v>No delivery evidence identified.</v>
      </c>
      <c r="AE86" s="3" t="str">
        <v>Not independently verified.</v>
      </c>
      <c r="AF86" s="3" t="str"/>
      <c r="AG86" s="3" t="str"/>
      <c r="AH86" s="3" t="str"/>
      <c r="AI86" s="3" t="str">
        <v>DR full-period singular/plural/technical phrase inventories; later acts reviewed. Outcome search: "grupo de trabalho" graus diplomas ensino superior revisão relatório conclusões after:2024-04-01 before:2026-10-11. Domains: portugal.gov.pt, gov.pt, parlamento.pt, diariodarepublica.pt, justica.gov.pt, dgav.pt, icnf.pt, anac.pt, dgeg.gov.pt. Official evidence/limitations recorded in this row.</v>
      </c>
      <c r="AJ86" s="20" t="d">
        <v>2026-10-10T00:00:00.000Z</v>
      </c>
      <c r="AK86" s="3" t="str">
        <v>2025-09-05</v>
      </c>
      <c r="AL86" s="3" t="str">
        <v>Day after publication.</v>
      </c>
      <c r="AM86" s="3" t="str">
        <v>Express name / creating-act summary; descriptive source label where no formal name is assigned.</v>
      </c>
      <c r="AN86" s="3" t="str">
        <v>Education / Science</v>
      </c>
      <c r="AO86" s="3" t="str">
        <v>Final report / last specified substantive output</v>
      </c>
      <c r="AP86" s="3" t="str">
        <v>Calendar monitoring benchmark; absence of public evidence is not proof of non-delivery.</v>
      </c>
      <c r="AQ86" s="21" t="n">
        <f>IF(AND(C86="Em atraso",ISNUMBER(D86)),COUNTIFS(Groups!$C$6:$C$127,"Em atraso",Groups!$D$6:$D$127,"&gt;"&amp;D86)+COUNTIFS($C$6:C86,"Em atraso",$D$6:D86,D86),"")</f>
        <v>32</v>
      </c>
      <c r="AR86" s="21" t="n">
        <f>IF(COUNTIF($F$6:F86,F86)=1,1,0)</f>
        <v>1</v>
      </c>
    </row>
    <row r="87" ht="96" customHeight="1">
      <c r="A87" s="3" t="str">
        <v>GT-2025-031</v>
      </c>
      <c r="B87" s="3" t="str">
        <v>Grupo de Trabalho no âmbito da implementação de uma reserva estratégia nacional</v>
      </c>
      <c r="C87" s="3" t="str">
        <v>Em atraso</v>
      </c>
      <c r="D87" s="21" t="n">
        <f>IF(C87="Em atraso",IF(ISNUMBER(T87),MAX(0,Dashboard!$E$4-T87),""),IF(C87="Concluído com atraso",IF(AND(ISNUMBER(T87),ISNUMBER(AC87)),MAX(0,AC87-T87),""),IF(C87="Concluído no prazo",0,"")))</f>
        <v>299</v>
      </c>
      <c r="E87" s="3" t="str">
        <v>XXV</v>
      </c>
      <c r="F87" s="3" t="str">
        <v>Despacho n.º 10903/2025</v>
      </c>
      <c r="G87" s="22" t="str">
        <v>Open DR act</v>
      </c>
      <c r="H87" s="20" t="d">
        <v>2025-09-16T00:00:00.000Z</v>
      </c>
      <c r="I87" s="20" t="d">
        <v>2025-09-10T00:00:00.000Z</v>
      </c>
      <c r="J87" s="20" t="d">
        <v>2025-09-17T00:00:00.000Z</v>
      </c>
      <c r="K87" s="3" t="str">
        <v>Defesa Nacional e Saúde - Gabinete do Secretário de Estado Adjunto e da Defesa Nacional e Gabinete da Secretária de Estado da Saúde</v>
      </c>
      <c r="L87" s="3" t="str">
        <v>a) Um representante do INFARMED - Autoridade Nacional do Medicamento e Produtos de Saúde, I. P., que coordena;</v>
      </c>
      <c r="M87" s="3" t="str">
        <v>3 - O Grupo de Trabalho é constituído por representantes das entidades nacionais que compõe o consórcio RescEU, designadamente:
a) Um representante do INFARMED - Autoridade Nacional do Medicamento e Produtos de Saúde, I. P., que coordena;
b) Um representante da Direção-Geral da Saúde, que co-coordena;
c) Um representante do Instituto Nacional de Emergência Médica, I. P.;
d) Um representante do Instituto Nacional de Saúde Doutor Ricardo Jorge, I. P.;
e) Um representante da SPMS - Serviços Partilhados do Ministério da Saúde, E. P. E.;
f) Um representante do SUCH - Serviço de Utilização Comum dos Hospitais;
g) Um representante do Laboratório Nacional do Medicamento.
4 - O Grupo de Trabalho é, ainda, constituído por:
a) Um representante da Direção de Saúde Militar do Estado-Maior-General das Forças Armadas;
b) Um representante da Direção Executiva do Serviço Nacional de Saúde, I. P.;
c) Um representante da Administração Central do Sistema de Saúde, I. P.</v>
      </c>
      <c r="N87" s="3" t="str">
        <v>Health / Defence</v>
      </c>
      <c r="O87" s="3" t="str">
        <v>Propose governance, purchasing, storage and contingency arrangements for a national strategic health reserve.</v>
      </c>
      <c r="P87" s="3" t="str">
        <v>1 - É criado o Grupo de Trabalho no âmbito da implementação de uma reserva estratégia nacional.</v>
      </c>
      <c r="Q87" s="3" t="str">
        <v>2 - É objetivo deste Grupo de Trabalho propor o modelo de governação em alinhamento com as estratégias, orientações e boas práticas europeias, nomeadamente do RescEU.</v>
      </c>
      <c r="R87" s="3" t="str">
        <v>5 - As referidas entidades devem indicar no prazo de 5 dias os representantes referidos no número an: date not derivable — 5 dias after trigger: anchor not expressly specified; exact date cannot be verified.
8 - O Grupo de Trabalho deverá apresentar um relatório final com as suas propostas no prazo máximo d: 2025-12-15 — 2025-09-16 + 90 calendar days (monitoring convention). If CPA procedural counting applies: 2026-01-26.
Final report / last specified substantive output: 2025-12-15 — published 2025-09-16 + 90 calendar days; plain “dias” benchmark. Alternative working-day date: 2026-01-26.</v>
      </c>
      <c r="S87" s="20" t="d">
        <v>2025-12-15T00:00:00.000Z</v>
      </c>
      <c r="T87" s="20" t="d">
        <v>2025-12-15T00:00:00.000Z</v>
      </c>
      <c r="U87" s="3" t="str">
        <v>published 2025-09-16 + 90 calendar days; plain “dias” benchmark. Alternative working-day date: 2026-01-26.</v>
      </c>
      <c r="V87" s="20" t="d">
        <v>2026-01-26T00:00:00.000Z</v>
      </c>
      <c r="W87" s="21" t="n">
        <f>IF(AND(C87="Em atraso",ISNUMBER(V87)),MAX(0,Dashboard!$E$4-V87),"")</f>
        <v>257</v>
      </c>
      <c r="X87" s="3" t="str">
        <v>Unpaid group participation; expense/allowance terms are stated in the original clause.</v>
      </c>
      <c r="Y87" s="3" t="str">
        <v>10 - Os elementos que integram o grupo de trabalho têm direito à afetação de tempo específico para a realização dos trabalhos, não lhes sendo devida remuneração adicional.
11 - Aos elementos do grupo de trabalho e aos colaboradores referidos no n.º 5 do presente despacho, não é devido o pagamento de qualquer remuneração ou abono pelo trabalho desenvolvido, sem prejuízo de eventuais encargos relativos a despesas de deslocação e ajudas de custo, nos termos da legislação em vigor, serem suportados pelas respetivas instituições de origem.</v>
      </c>
      <c r="Z87" s="3" t="str">
        <v>Controlling benchmark has passed; no evidence of this output’s delivery identified in the reviewed acts and focused official-source outcome search.</v>
      </c>
      <c r="AA87" s="3" t="str">
        <v>https://diariodarepublica.pt/dr/detalhe/despacho/10903-2025-935441970</v>
      </c>
      <c r="AB87" s="22" t="str">
        <v>Open evidence</v>
      </c>
      <c r="AC87" s="20"/>
      <c r="AD87" s="3" t="str">
        <v>No delivery evidence identified.</v>
      </c>
      <c r="AE87" s="3" t="str">
        <v>Not independently verified.</v>
      </c>
      <c r="AF87" s="3" t="str"/>
      <c r="AG87" s="3" t="str"/>
      <c r="AH87" s="3" t="str"/>
      <c r="AI87" s="3" t="str">
        <v>DR full-period singular/plural/technical phrase inventories; later acts reviewed. Outcome search: "grupo de trabalho" Reserva Estratégica Nacional saúde relatório conclusões after:2024-04-01 before:2026-10-11. Domains: portugal.gov.pt, gov.pt, parlamento.pt, diariodarepublica.pt, justica.gov.pt, dgav.pt, icnf.pt, anac.pt, dgeg.gov.pt. Official evidence/limitations recorded in this row.</v>
      </c>
      <c r="AJ87" s="20" t="d">
        <v>2026-10-10T00:00:00.000Z</v>
      </c>
      <c r="AK87" s="3" t="str">
        <v>2025-08-26; 2025-09-10</v>
      </c>
      <c r="AL87" s="3" t="str">
        <v>Day after publication.</v>
      </c>
      <c r="AM87" s="3" t="str">
        <v>Express name / creating-act summary; descriptive source label where no formal name is assigned.</v>
      </c>
      <c r="AN87" s="3" t="str">
        <v>Defence; Health</v>
      </c>
      <c r="AO87" s="3" t="str">
        <v>Final report / last specified substantive output</v>
      </c>
      <c r="AP87" s="3" t="str">
        <v>Calendar monitoring benchmark; absence of public evidence is not proof of non-delivery.</v>
      </c>
      <c r="AQ87" s="21" t="n">
        <f>IF(AND(C87="Em atraso",ISNUMBER(D87)),COUNTIFS(Groups!$C$6:$C$127,"Em atraso",Groups!$D$6:$D$127,"&gt;"&amp;D87)+COUNTIFS($C$6:C87,"Em atraso",$D$6:D87,D87),"")</f>
        <v>35</v>
      </c>
      <c r="AR87" s="21" t="n">
        <f>IF(COUNTIF($F$6:F87,F87)=1,1,0)</f>
        <v>1</v>
      </c>
    </row>
    <row r="88" ht="96" customHeight="1">
      <c r="A88" s="3" t="str">
        <v>GT-2025-032</v>
      </c>
      <c r="B88" s="3" t="str">
        <v>grupo de trabalho para definição de prazos de conservação de dados relativos à saúde em arquivo nos sistemas de informação utilizados no âmbito dos cuidados de saúde primários e cuidados hospitalares</v>
      </c>
      <c r="C88" s="3" t="str">
        <v>Em atraso</v>
      </c>
      <c r="D88" s="21" t="n">
        <f>IF(C88="Em atraso",IF(ISNUMBER(T88),MAX(0,Dashboard!$E$4-T88),""),IF(C88="Concluído com atraso",IF(AND(ISNUMBER(T88),ISNUMBER(AC88)),MAX(0,AC88-T88),""),IF(C88="Concluído no prazo",0,"")))</f>
        <v>23</v>
      </c>
      <c r="E88" s="3" t="str">
        <v>XXV</v>
      </c>
      <c r="F88" s="3" t="str">
        <v>Despacho n.º 10918/2025</v>
      </c>
      <c r="G88" s="22" t="str">
        <v>Open DR act</v>
      </c>
      <c r="H88" s="20" t="d">
        <v>2025-09-16T00:00:00.000Z</v>
      </c>
      <c r="I88" s="20" t="d">
        <v>2025-09-10T00:00:00.000Z</v>
      </c>
      <c r="J88" s="20" t="d">
        <v>2025-09-17T00:00:00.000Z</v>
      </c>
      <c r="K88" s="3" t="str">
        <v>Saúde - Gabinete do Secretário de Estado da Gestão da Saúde</v>
      </c>
      <c r="L88" s="3" t="str">
        <v>5 - A coordenação do grupo de trabalho é efetuada pela Secretaria-Geral do Ministério da Saúde, a quem compete prestar o apoio administrativo e logístico ao funcionamento do grupo de trabalho.</v>
      </c>
      <c r="M88" s="3" t="str">
        <v>2 - O grupo de trabalho será composto por:
a) Um representante da Secretaria-Geral do Ministério da Saúde;
b) Um representante da SPMS - Serviços Partilhados do Ministério da Saúde, E. P. E.;
c) Um representante da Direção Executiva do Serviço Nacional de Saúde;
d) Um representante da Administração Central do Sistema de Saúde, I. P.;
e) Um representante da Direção-Geral da Saúde;
f) Um representante de cada uma das Unidades Locais de Saúde, E. P. E.;
g) Um representante de cada um dos Institutos de Oncologia, E. P. E.</v>
      </c>
      <c r="N88" s="3" t="str">
        <v>Health / Data</v>
      </c>
      <c r="O88" s="3" t="str">
        <v>Review retention of health records and data and recommend legal or regulatory changes.</v>
      </c>
      <c r="P88" s="3" t="str">
        <v>1 - É criado um grupo de trabalho com a missão de definir os prazos de conservação de dados, relativos à saúde, constantes dos sistemas de informação geridos pela SPMS, E. P. E., e utilizados nos cuidados de saúde primários e hospitalares para registo de processo clínico e atos administrativos.</v>
      </c>
      <c r="Q88" s="3" t="str">
        <v>1 - É criado um grupo de trabalho com a missão de definir os prazos de conservação de dados, relativos à saúde, constantes dos sistemas de informação geridos pela SPMS, E. P. E., e utilizados nos cuidados de saúde primários e hospitalares para registo de processo clínico e atos administrativos.
4 - O grupo de trabalho terá as seguintes competências:
a) Proceder ao levantamento dos requisitos relevantes para determinação de prazo de conservação uniforme identificando os elementos normativos e operacionais aplicáveis à conservação de dados;
b) Analisar as melhores práticas e enquadramento legal para a definição de prazos de conservação;
c) Elaborar uma proposta fundamentada de prazos de conservação aplicáveis aos diferentes tipos de dados armazenados no sistema;
d) Apresentar um relatório final que contemple o resultado das tarefas supra identificadas.
6 - O grupo de trabalho deve consultar a Comissão Nacional de Proteção de Dados, autoridade de controlo nacional para efeitos do RGPD, sobre medidas legislativas e regulamentares relativas à conservação de dados relativos à saúde.</v>
      </c>
      <c r="R88" s="3" t="str">
        <v>1 - É criado um grupo de trabalho com a missão de definir os prazos de conservação de dados, relativ: date not derivable — No uniquely dated deadline derivable from this clause; cadence or trigger is preserved.
3 - As entidades identificadas devem indicar, no prazo de cinco dias após publicação do presente des: 2025-09-21 — 2025-09-16 + 5 calendar days (monitoring convention). If CPA procedural counting applies: 2025-09-23.
a) Proceder ao levantamento dos requisitos relevantes para determinação de prazo de conservação unif: date not derivable — No uniquely dated deadline derivable from this clause; cadence or trigger is preserved.
b) Analisar as melhores práticas e enquadramento legal para a definição de prazos de conservação;: date not derivable — No uniquely dated deadline derivable from this clause; cadence or trigger is preserved.
c) Elaborar uma proposta fundamentada de prazos de conservação aplicáveis aos diferentes tipos de da: date not derivable — No uniquely dated deadline derivable from this clause; cadence or trigger is preserved.
8 - O mandato do grupo de trabalho tem a duração de 12 meses, a contar da entrada em vigor do presen: 2026-09-17 — 2025-09-17 + 12 meses by calendar anniversary, end-of-month capped if necessary.
a) No prazo máximo de 6 meses a contar da entrada em vigor do presente despacho, um relatório, com p: 2026-03-17 — 2025-09-17 + 6 meses by calendar anniversary, end-of-month capped if necessary.
b) No prazo máximo de 12 meses, o relatório final referido na alínea d) do n.º 4 do presente despach: 2026-09-17 — 2025-09-17 + 12 meses by calendar anniversary, end-of-month capped if necessary.
Final report / last specified substantive output: 2026-09-17 — effective 2025-09-17 + 12 calendar months (anniversary rule).</v>
      </c>
      <c r="S88" s="20" t="d">
        <v>2026-09-17T00:00:00.000Z</v>
      </c>
      <c r="T88" s="20" t="d">
        <v>2026-09-17T00:00:00.000Z</v>
      </c>
      <c r="U88" s="3" t="str">
        <v>effective 2025-09-17 + 12 calendar months (anniversary rule).</v>
      </c>
      <c r="V88" s="20"/>
      <c r="W88" s="21" t="str">
        <f>IF(AND(C88="Em atraso",ISNUMBER(V88)),MAX(0,Dashboard!$E$4-V88),"")</f>
      </c>
      <c r="X88" s="3" t="str">
        <v>Unpaid group participation; expense/allowance terms are stated in the original clause.</v>
      </c>
      <c r="Y88" s="3" t="str">
        <v>7 - Aos membros do grupo de trabalho referidos no n.º 3 do presente despacho não é devido o pagamento de qualquer remuneração ou abono pelo trabalho desenvolvido, sem prejuízo de eventuais encargos relativos a despesas de deslocação e ajudas de custo, nos termos da legislação em vigor, serem suportados pelos respetivos serviços de origem.</v>
      </c>
      <c r="Z88" s="3" t="str">
        <v>Controlling benchmark has passed; no evidence of this output’s delivery identified in the reviewed acts and focused official-source outcome search.</v>
      </c>
      <c r="AA88" s="3" t="str">
        <v>https://diariodarepublica.pt/dr/detalhe/despacho/10918-2025-935495088</v>
      </c>
      <c r="AB88" s="22" t="str">
        <v>Open evidence</v>
      </c>
      <c r="AC88" s="20"/>
      <c r="AD88" s="3" t="str">
        <v>No delivery evidence identified.</v>
      </c>
      <c r="AE88" s="3" t="str">
        <v>Not independently verified.</v>
      </c>
      <c r="AF88" s="3" t="str"/>
      <c r="AG88" s="3" t="str"/>
      <c r="AH88" s="3" t="str"/>
      <c r="AI88" s="3" t="str">
        <v>DR full-period singular/plural/technical phrase inventories; later acts reviewed. Outcome search: "grupo de trabalho" conservação dados saúde SPMS relatório conclusões after:2024-04-01 before:2026-10-11. Domains: portugal.gov.pt, gov.pt, parlamento.pt, diariodarepublica.pt, justica.gov.pt, dgav.pt, icnf.pt, anac.pt, dgeg.gov.pt. Official evidence/limitations recorded in this row.</v>
      </c>
      <c r="AJ88" s="20" t="d">
        <v>2026-10-10T00:00:00.000Z</v>
      </c>
      <c r="AK88" s="3" t="str">
        <v>2025-09-10</v>
      </c>
      <c r="AL88" s="3" t="str">
        <v>Day after publication.</v>
      </c>
      <c r="AM88" s="3" t="str">
        <v>Express name / creating-act summary; descriptive source label where no formal name is assigned.</v>
      </c>
      <c r="AN88" s="3" t="str">
        <v>Health</v>
      </c>
      <c r="AO88" s="3" t="str">
        <v>Final report / last specified substantive output</v>
      </c>
      <c r="AP88" s="3" t="str">
        <v>Calendar monitoring benchmark; absence of public evidence is not proof of non-delivery.</v>
      </c>
      <c r="AQ88" s="21" t="n">
        <f>IF(AND(C88="Em atraso",ISNUMBER(D88)),COUNTIFS(Groups!$C$6:$C$127,"Em atraso",Groups!$D$6:$D$127,"&gt;"&amp;D88)+COUNTIFS($C$6:C88,"Em atraso",$D$6:D88,D88),"")</f>
        <v>60</v>
      </c>
      <c r="AR88" s="21" t="n">
        <f>IF(COUNTIF($F$6:F88,F88)=1,1,0)</f>
        <v>1</v>
      </c>
    </row>
    <row r="89" ht="96" customHeight="1">
      <c r="A89" s="3" t="str">
        <v>GT-2025-033</v>
      </c>
      <c r="B89" s="3" t="str">
        <v>Grupo de Trabalho «Digital e IA na Educação» (doravante, Grupo de Trabalho) com a missão de:</v>
      </c>
      <c r="C89" s="3" t="str">
        <v>Em atraso</v>
      </c>
      <c r="D89" s="21" t="n">
        <f>IF(C89="Em atraso",IF(ISNUMBER(T89),MAX(0,Dashboard!$E$4-T89),""),IF(C89="Concluído com atraso",IF(AND(ISNUMBER(T89),ISNUMBER(AC89)),MAX(0,AC89-T89),""),IF(C89="Concluído no prazo",0,"")))</f>
        <v>132</v>
      </c>
      <c r="E89" s="3" t="str">
        <v>XXV</v>
      </c>
      <c r="F89" s="3" t="str">
        <v>Despacho n.º 10945/2025</v>
      </c>
      <c r="G89" s="22" t="str">
        <v>Open DR act</v>
      </c>
      <c r="H89" s="20" t="d">
        <v>2025-09-17T00:00:00.000Z</v>
      </c>
      <c r="I89" s="20" t="d">
        <v>2025-09-12T00:00:00.000Z</v>
      </c>
      <c r="J89" s="20" t="d">
        <v>2025-09-13T00:00:00.000Z</v>
      </c>
      <c r="K89" s="3" t="str">
        <v>Educação, Ciência e Inovação - Gabinete do Ministro da Educação, Ciência e Inovação</v>
      </c>
      <c r="L89" s="3" t="str">
        <v>a) Um representante do Gabinete do Ministro da Educação, Ciência e Inovação, que coordena;
6 - Os membros do Grupo de Trabalho podem, excecionalmente, fazer-se representar nas reuniões por elementos das respetivas entidades por si indicados ao coordenador, mediante fundamentação da sua ausência.</v>
      </c>
      <c r="M89" s="3" t="str">
        <v>3 - O Grupo de Trabalho é constituído por:
a) Um representante do Gabinete do Ministro da Educação, Ciência e Inovação, que coordena;
b) Um representante do Gabinete do Secretário de Estado Adjunto e da Educação;
c) Um representante do Gabinete da Secretária de Estado da Administração Escolar;
d) Um representante do Gabinete da Secretária de Estado da Ciência e Inovação;
e) Um representante do Gabinete da Secretária de Estado do Ensino Superior;
f) Dois representantes da Direção-Geral da Educação;
g) Dois representantes da Direção-Geral do Ensino Superior;
h) Dois representantes da Agência para a Gestão do Sistema Educativo, I. P. (AGSE, I. P.);
i) Um representante da Direção-Geral de Estudos, Planeamento e Avaliação (DGEPA) do Ministério da Educação, Ciência e Inovação;
j) Um representante do Carnegie Mellon Portugal Program.</v>
      </c>
      <c r="N89" s="3" t="str">
        <v>Education / Digital</v>
      </c>
      <c r="O89" s="3" t="str">
        <v>Assess digital transformation in education and propose a strategy, targets, governance and funding for digital technology and AI.</v>
      </c>
      <c r="P89" s="3" t="str">
        <v>1 - É criado o Grupo de Trabalho «Digital e IA na Educação» (doravante, Grupo de Trabalho) com a missão de:
a) Realizar o diagnóstico da transição digital no sistema educativo português, ao nível do ensino obrigatório e do ensino superior;
b) Definir objetivos estratégicos, iniciativas prioritárias e metas, até 2030, para potenciar o papel do digital e da inteligência artificial na educação;
c) Propor um modelo de governança e acompanhamento, bem como um plano de implementação e financiamento, com vista à concretização do disposto na alínea anterior.</v>
      </c>
      <c r="Q89" s="3" t="str">
        <v>1 - É criado o Grupo de Trabalho «Digital e IA na Educação» (doravante, Grupo de Trabalho) com a missão de:
a) Realizar o diagnóstico da transição digital no sistema educativo português, ao nível do ensino obrigatório e do ensino superior;
b) Definir objetivos estratégicos, iniciativas prioritárias e metas, até 2030, para potenciar o papel do digital e da inteligência artificial na educação;
c) Propor um modelo de governança e acompanhamento, bem como um plano de implementação e financiamento, com vista à concretização do disposto na alínea anterior.
8 - Na prossecução da sua missão, o Grupo de Trabalho deve ouvir os órgãos consultivos do Ministério da Educação, Ciência e Inovação, os parceiros sociais relevantes e outras entidades de reconhecido mérito que desenvolvam a sua atividade nas áreas da inovação pedagógica e do digital.
9 - Sempre que necessário para a prossecução da sua missão, o Grupo de Trabalho recolhe contributos junto de alunos, docentes e equipas educativas, assegurando os mecanismos adequados para o efeito, designadamente inquéritos eletrónicos, sessões de auscultação presenciais ou por via telemática e demais iniciativas que promovam uma participação representativa e diversificada.</v>
      </c>
      <c r="R89" s="3" t="str">
        <v>b) Definir objetivos estratégicos, iniciativas prioritárias e metas, até 2030, para potenciar o pape: date not derivable — No uniquely dated deadline derivable from this clause; cadence or trigger is preserved.
2 - O Grupo de Trabalho deve apresentar o previsto na alínea a) do número anterior até ao final do m: 2025-11-30 — Explicit month-end: 2025-11-30.
2 - O Grupo de Trabalho deve apresentar o previsto na alínea a) do número anteri — additional dated phase: 2026-03-31 — Explicit month-end: final do mês de março de 2026; last day of the stated window.
2 - O Grupo de Trabalho deve apresentar o previsto na alínea a) do número anteri — additional dated phase: 2026-05-31 — Explicit month-end: final do mês de maio de 2026; last day of the stated window.
4 - Os representantes do Grupo de Trabalho são designados no prazo de 10 dias a contar da data da pu: 2025-09-27 — 2025-09-17 + 10 calendar days (monitoring convention). If CPA procedural counting applies: 2025-10-01.
5 - O representante da DGEPA é designado no prazo de 10 dias a contar de 1 de outubro de 2025.: 2025-10-01 — 10 dias after trigger: anchor not expressly specified; exact date cannot be verified.
13 - O Grupo de Trabalho tem duração até 31 de dezembro de 2026.: 2026-12-31 — Explicit calendar date in the act.
Implementation proposals: 2026-05-31 — Fixed date / explicit year-end in creating act.</v>
      </c>
      <c r="S89" s="20" t="d">
        <v>2026-05-31T00:00:00.000Z</v>
      </c>
      <c r="T89" s="20" t="d">
        <v>2026-05-31T00:00:00.000Z</v>
      </c>
      <c r="U89" s="3" t="str">
        <v>Fixed date / explicit year-end in creating act.</v>
      </c>
      <c r="V89" s="20"/>
      <c r="W89" s="21" t="str">
        <f>IF(AND(C89="Em atraso",ISNUMBER(V89)),MAX(0,Dashboard!$E$4-V89),"")</f>
      </c>
      <c r="X89" s="3" t="str">
        <v>Unpaid group participation; expense/allowance terms are stated in the original clause.</v>
      </c>
      <c r="Y89" s="3" t="str">
        <v>11 - A constituição e o funcionamento do Grupo de Trabalho não conferem aos seus membros ou a quem com eles colaborar o direito ao pagamento de qualquer remuneração ou compensação, sem prejuízo de eventuais encargos relativos a despesas de deslocação que devem ser suportados pelos respetivos serviços de origem, nos termos da legislação em vigor.</v>
      </c>
      <c r="Z89" s="3" t="str">
        <v>Controlling benchmark has passed; no evidence of this output’s delivery identified in the reviewed acts and focused official-source outcome search.</v>
      </c>
      <c r="AA89" s="3" t="str">
        <v>https://diariodarepublica.pt/dr/detalhe/despacho/10945-2025-935495442
https://dges.gov.pt/pt/noticia/cnipes-divulga-relatorio-nacional-sobre-inteligencia-artificial-no-ensino-superior-e-propoe?canal=noticias</v>
      </c>
      <c r="AB89" s="22" t="str">
        <v>Open evidence</v>
      </c>
      <c r="AC89" s="20"/>
      <c r="AD89" s="3" t="str">
        <v>Partial output: CNIPES publishes an April 2026 national higher-education AI diagnostic. Delivery of the complete cross-level strategy/proposals by 31 May is not verified.</v>
      </c>
      <c r="AE89" s="3" t="str">
        <v>Not independently verified.</v>
      </c>
      <c r="AF89" s="3" t="str"/>
      <c r="AG89" s="3" t="str"/>
      <c r="AH89" s="3" t="str"/>
      <c r="AI89" s="3" t="str">
        <v>DR full-period singular/plural/technical phrase inventories; later acts reviewed. Outcome search: "grupo de trabalho" inteligência artificial educação transformação digital relatório conclusões after:2024-04-01 before:2026-10-11. Domains: portugal.gov.pt, gov.pt, parlamento.pt, diariodarepublica.pt, justica.gov.pt, dgav.pt, icnf.pt, anac.pt, dgeg.gov.pt. Official evidence/limitations recorded in this row.</v>
      </c>
      <c r="AJ89" s="20" t="d">
        <v>2026-10-10T00:00:00.000Z</v>
      </c>
      <c r="AK89" s="3" t="str">
        <v>2025-09-12</v>
      </c>
      <c r="AL89" s="3" t="str">
        <v>Day after latest signature.</v>
      </c>
      <c r="AM89" s="3" t="str">
        <v>Express name / creating-act summary; descriptive source label where no formal name is assigned.</v>
      </c>
      <c r="AN89" s="3" t="str">
        <v>Education / Science</v>
      </c>
      <c r="AO89" s="3" t="str">
        <v>Implementation proposals</v>
      </c>
      <c r="AP89" s="3" t="str">
        <v>Calendar monitoring benchmark; absence of public evidence is not proof of non-delivery.</v>
      </c>
      <c r="AQ89" s="21" t="n">
        <f>IF(AND(C89="Em atraso",ISNUMBER(D89)),COUNTIFS(Groups!$C$6:$C$127,"Em atraso",Groups!$D$6:$D$127,"&gt;"&amp;D89)+COUNTIFS($C$6:C89,"Em atraso",$D$6:D89,D89),"")</f>
        <v>51</v>
      </c>
      <c r="AR89" s="21" t="n">
        <f>IF(COUNTIF($F$6:F89,F89)=1,1,0)</f>
        <v>1</v>
      </c>
    </row>
    <row r="90" ht="96" customHeight="1">
      <c r="A90" s="3" t="str">
        <v>GT-2025-034</v>
      </c>
      <c r="B90" s="3" t="str">
        <v>grupo de trabalho para definição de requisitos e procedimentos para obtenção de habilitação própria para a docência nos ensinos básico e secundário aos titulares de cursos conferentes de grau académico de licenciatura ou superior, obtidos ao abrigo dos regimes pré-Bolonha e pós-Bolonha</v>
      </c>
      <c r="C90" s="3" t="str">
        <v>Em atraso</v>
      </c>
      <c r="D90" s="21" t="n">
        <f>IF(C90="Em atraso",IF(ISNUMBER(T90),MAX(0,Dashboard!$E$4-T90),""),IF(C90="Concluído com atraso",IF(AND(ISNUMBER(T90),ISNUMBER(AC90)),MAX(0,AC90-T90),""),IF(C90="Concluído no prazo",0,"")))</f>
        <v>283</v>
      </c>
      <c r="E90" s="3" t="str">
        <v>XXV</v>
      </c>
      <c r="F90" s="3" t="str">
        <v>Despacho n.º 11297/2025</v>
      </c>
      <c r="G90" s="22" t="str">
        <v>Open DR act</v>
      </c>
      <c r="H90" s="20" t="d">
        <v>2025-09-25T00:00:00.000Z</v>
      </c>
      <c r="I90" s="20" t="d">
        <v>2025-09-19T00:00:00.000Z</v>
      </c>
      <c r="J90" s="20" t="d">
        <v>2025-09-26T00:00:00.000Z</v>
      </c>
      <c r="K90" s="3" t="str">
        <v>Educação, Ciência e Inovação - Gabinete da Secretária de Estado da Administração Escolar</v>
      </c>
      <c r="L90" s="3" t="str">
        <v>2 - O grupo de trabalho é coordenado por um representante do Gabinete da Secretária de Estado da Administração Escolar.</v>
      </c>
      <c r="M90" s="3" t="str">
        <v>3 - Para além do coordenador, o grupo de trabalho é constituído por:
a) Um representante indicado pela Secretária de Estado do Ensino Superior;
b) Um representante indicado pela Direção-Geral do Ensino Superior;
c) Dois representantes indicados pela Agência para a Gestão do Sistema Educativo;
d) Três personalidades de reconhecido mérito na área da educação.</v>
      </c>
      <c r="N90" s="3" t="str">
        <v>Education</v>
      </c>
      <c r="O90" s="3" t="str">
        <v>Propose qualification requirements and procedures enabling degree holders to teach in basic and secondary education.</v>
      </c>
      <c r="P90" s="3" t="str">
        <v>1 - É criado um grupo de trabalho com o objetivo de submeter ao membro do Governo responsável pela área da educação, ciência e inovação uma proposta para a definição de requisitos e procedimentos para obtenção de habilitação própria para a docência nos ensinos básico e secundário aos titulares de cursos conferentes de grau académico de licenciatura ou superior, obtidos ao abrigo dos regimes pré-Bolonha e pós-Bolonha.</v>
      </c>
      <c r="Q90" s="3" t="str">
        <v>1 - É criado um grupo de trabalho com o objetivo de submeter ao membro do Governo responsável pela área da educação, ciência e inovação uma proposta para a definição de requisitos e procedimentos para obtenção de habilitação própria para a docência nos ensinos básico e secundário aos titulares de cursos conferentes de grau académico de licenciatura ou superior, obtidos ao abrigo dos regimes pré-Bolonha e pós-Bolonha.
6 - A participação no grupo de trabalho não confere aos respetivos membros, bem como às individualidades ou aos representantes das entidades convidadas a participar nos termos do número anterior, o direito ao pagamento de qualquer tipo de remuneração ou compensação pelo exercício de funções, sem prejuízo de eventuais encargos relativos a despesas de deslocação que devem ser suportados pelo Gabinete da Secretária de Estado da Administração Escolar, nos termos da legislação em vigor.</v>
      </c>
      <c r="R90" s="3" t="str">
        <v>5 - Os representantes das entidades referidas nos n.os 2 e 3 são designados no prazo máximo de cinco: 2025-10-03 — 2025-09-26 + 5 working days; anchor excluded, weekends and national statutory holidays excluded.
8 - O grupo de trabalho deve apresentar um Relatório Preliminar, contendo as suas conclusões e propo: 2025-10-06 — Explicit calendar date in the act.
Mandate end: 2025-12-31 — Fixed date / explicit year-end in creating act.</v>
      </c>
      <c r="S90" s="20" t="d">
        <v>2025-12-31T00:00:00.000Z</v>
      </c>
      <c r="T90" s="20" t="d">
        <v>2025-12-31T00:00:00.000Z</v>
      </c>
      <c r="U90" s="3" t="str">
        <v>Fixed date / explicit year-end in creating act.</v>
      </c>
      <c r="V90" s="20"/>
      <c r="W90" s="21" t="str">
        <f>IF(AND(C90="Em atraso",ISNUMBER(V90)),MAX(0,Dashboard!$E$4-V90),"")</f>
      </c>
      <c r="X90" s="3" t="str">
        <v>Unpaid group participation; expense/allowance terms are stated in the original clause.</v>
      </c>
      <c r="Y90" s="3" t="str">
        <v>6 - A participação no grupo de trabalho não confere aos respetivos membros, bem como às individualidades ou aos representantes das entidades convidadas a participar nos termos do número anterior, o direito ao pagamento de qualquer tipo de remuneração ou compensação pelo exercício de funções, sem prejuízo de eventuais encargos relativos a despesas de deslocação que devem ser suportados pelo Gabinete da Secretária de Estado da Administração Escolar, nos termos da legislação em vigor.</v>
      </c>
      <c r="Z90" s="3" t="str">
        <v>Controlling benchmark has passed; no evidence of this output’s delivery identified in the reviewed acts and focused official-source outcome search.</v>
      </c>
      <c r="AA90" s="3" t="str">
        <v>https://diariodarepublica.pt/dr/detalhe/despacho/11297-2025-936527063</v>
      </c>
      <c r="AB90" s="22" t="str">
        <v>Open evidence</v>
      </c>
      <c r="AC90" s="20"/>
      <c r="AD90" s="3" t="str">
        <v>No delivery evidence identified.</v>
      </c>
      <c r="AE90" s="3" t="str">
        <v>Not independently verified.</v>
      </c>
      <c r="AF90" s="3" t="str"/>
      <c r="AG90" s="3" t="str"/>
      <c r="AH90" s="3" t="str">
        <v> The act has no concise formal name; the label follows its Portuguese creating clause/summary.</v>
      </c>
      <c r="AI90" s="3" t="str">
        <v>DR full-period singular/plural/technical phrase inventories; later acts reviewed. Outcome search: "grupo de trabalho" habilitação docência titulares licenciatura relatório conclusões after:2024-04-01 before:2026-10-11. Domains: portugal.gov.pt, gov.pt, parlamento.pt, diariodarepublica.pt, justica.gov.pt, dgav.pt, icnf.pt, anac.pt, dgeg.gov.pt. Official evidence/limitations recorded in this row.</v>
      </c>
      <c r="AJ90" s="20" t="d">
        <v>2026-10-10T00:00:00.000Z</v>
      </c>
      <c r="AK90" s="3" t="str">
        <v>2025-09-19</v>
      </c>
      <c r="AL90" s="3" t="str">
        <v>Day after publication.</v>
      </c>
      <c r="AM90" s="3" t="str">
        <v>Express name / creating-act summary; descriptive source label where no formal name is assigned.</v>
      </c>
      <c r="AN90" s="3" t="str">
        <v>Education / Science</v>
      </c>
      <c r="AO90" s="3" t="str">
        <v>Mandate end</v>
      </c>
      <c r="AP90" s="3" t="str">
        <v>Calendar monitoring benchmark; absence of public evidence is not proof of non-delivery.</v>
      </c>
      <c r="AQ90" s="21" t="n">
        <f>IF(AND(C90="Em atraso",ISNUMBER(D90)),COUNTIFS(Groups!$C$6:$C$127,"Em atraso",Groups!$D$6:$D$127,"&gt;"&amp;D90)+COUNTIFS($C$6:C90,"Em atraso",$D$6:D90,D90),"")</f>
        <v>43</v>
      </c>
      <c r="AR90" s="21" t="n">
        <f>IF(COUNTIF($F$6:F90,F90)=1,1,0)</f>
        <v>1</v>
      </c>
    </row>
    <row r="91" ht="96" customHeight="1">
      <c r="A91" s="3" t="str">
        <v>GT-2025-035</v>
      </c>
      <c r="B91" s="3" t="str">
        <v>Grupo de trabalho — revisão do regime jurídico das instituições de investigação e inovação</v>
      </c>
      <c r="C91" s="3" t="str">
        <v>Em atraso</v>
      </c>
      <c r="D91" s="21" t="n">
        <f>IF(C91="Em atraso",IF(ISNUMBER(T91),MAX(0,Dashboard!$E$4-T91),""),IF(C91="Concluído com atraso",IF(AND(ISNUMBER(T91),ISNUMBER(AC91)),MAX(0,AC91-T91),""),IF(C91="Concluído no prazo",0,"")))</f>
        <v>224</v>
      </c>
      <c r="E91" s="3" t="str">
        <v>XXV</v>
      </c>
      <c r="F91" s="3" t="str">
        <v>Despacho n.º 11412-A/2025</v>
      </c>
      <c r="G91" s="22" t="str">
        <v>Open DR act</v>
      </c>
      <c r="H91" s="20" t="d">
        <v>2025-09-26T00:00:00.000Z</v>
      </c>
      <c r="I91" s="20" t="d">
        <v>2025-09-26T00:00:00.000Z</v>
      </c>
      <c r="J91" s="20" t="d">
        <v>2025-09-27T00:00:00.000Z</v>
      </c>
      <c r="K91" s="3" t="str">
        <v>Economia e Coesão Territorial e Educação, Ciência e Inovação - Gabinete do Ministro da Economia e da Coesão Territorial e Gabinete do Ministro da Educação, Ciência e Inovação</v>
      </c>
      <c r="L91" s="3" t="str">
        <v>4 - O grupo de trabalho, coordenado pelo Secretário de Estado da Economia e pela Secretária de Estado da Ciência e Inovação, é constituído pelas seguintes individualidades:</v>
      </c>
      <c r="M91" s="3" t="str">
        <v>4 - O grupo de trabalho, coordenado pelo Secretário de Estado da Economia e pela Secretária de Estado da Ciência e Inovação, é constituído pelas seguintes individualidades:
a) Dr.ª Ana Casaca (Galp);
b) Prof.ª Doutora Anabela Raymundo (Universidade de Lisboa);
c) Eng. André Matos (DTx CoLAB);
d) Eng. António Braz Costa (CITEVE);
e) Prof. Doutor António Grilo (ANI);
f) Doutor Claudio Sunkel (i3S);
g) Prof. Doutor João Rocha (Universidade de Aveiro);
h) Doutor Jorge Portugal (COTEC Portugal);
i) Prof.ª Doutora Madalena Alves (FCT);
j) Prof. Doutor Miguel Bastos Araújo (CSIC, Universidade de Évora);
k) Prof. Doutor Orlando Rodrigues (Instituto Politécnico de Bragança);
l) Prof.ª Doutora Paula Alves (iBET);
m) Doutor Pedro Bizarro (Feedzai);
n) Doutor Pedro Magalhães (Universidade de Lisboa);
o) Prof. Doutor Pedro Pita Barros (Universidade NOVA de Lisboa);
p) Prof. Doutor Raul Fangueiro (Universidade do Minho);
q) Doutora Vera Aldeias (Universidade do Algarve).
O grupo de trabalho deverá produzir um relatório até ao dia 31 de janeiro de 2026.
O relatório produzido pelo grupo de trabalho será submetido para análise e discussão pelas seguintes entidades:
a) Academia das Ciências de Lisboa (ACL);
b) Agência para a Competitividade e Inovação (IAPMEI);
c) Agência Nacional de Inovação (ANI);
d) Associação Nacional de Investigadores em Ciência e Tecnologia (ANICT);
e) Comissão de Acompanhamento Estratégico da Missão Interface (IMSMC);
f) Conselho Coordenador dos Institutos Superiores Politécnicos (CCISP);
g) Comissões de Coordenação e Desenvolvimento Regional (CCDR);
h) Conselho dos Laboratórios Associados (CLA);
i) Conselho Nacional de Ciência, Tecnologia e Inovação (CNCTI);
j) Conselho de Reitores das Universidades Portuguesas (CRUP);
k) COTEC Portugal;
l) Fórum Laboratórios Colaborativos (CoLAB);
m) Fundação para a Ciência e Tecnologia (FCT);
n) CTI Alliance - Rede de Centros de Tecnologia e Inovação;
o) Startup Portugal;
p) Grupo de trabalho do Roteiro Nacional das Infraestruturas de Investigação de Interesse Estratégico (RNIE).</v>
      </c>
      <c r="N91" s="3" t="str">
        <v>Science / Economy</v>
      </c>
      <c r="O91" s="3" t="str">
        <v>Review research and innovation institutions and draft a new Science and Innovation Law.</v>
      </c>
      <c r="P91" s="3" t="str">
        <v>1 - É criado um grupo de trabalho com a missão de rever o atual regime jurídico, modelos de reconhecimento, avaliação e financiamento das instituições que se dedicam à investigação e inovação (I&amp;I), bem como os princípios gerais de relação com outros intervenientes no sistema nacional de ciência, tecnologia e inovação, da respetiva avaliação e financiamento, e apresentar propostas de melhoria. Este grupo de trabalho deve elaborar uma proposta de anteprojeto de diploma para o novo regime jurídico, a designar por «Lei da Ciência e Inovação».</v>
      </c>
      <c r="Q91" s="3" t="str">
        <v>1 - É criado um grupo de trabalho com a missão de rever o atual regime jurídico, modelos de reconhecimento, avaliação e financiamento das instituições que se dedicam à investigação e inovação (I&amp;I), bem como os princípios gerais de relação com outros intervenientes no sistema nacional de ciência, tecnologia e inovação, da respetiva avaliação e financiamento, e apresentar propostas de melhoria. Este grupo de trabalho deve elaborar uma proposta de anteprojeto de diploma para o novo regime jurídico, a designar por «Lei da Ciência e Inovação».
2 - São objetivos e tarefas do grupo de trabalho:
a) Analisar o atual regime jurídico das entidades que integram o SNCT, identificando limitações, sobreposições e oportunidades de melhoria;
b) Avaliar os atuais mecanismos de governação, reconhecimento, avaliação e financiamento aplicáveis das entidades do sistema, propondo um novo modelo integrado que promova a sua diferenciação positiva, modernização, e assegure a sua viabilidade económico-financeira a médio e longo prazo e adaptabilidade face aos desafios que se lhes colocam;
c) Definir critérios objetivos e transparentes para a eventual revalidação dos reconhecimentos em vigor, bem como para a atribuição de novos reconhecimentos;
d) Avaliar o papel e o enquadramento institucional das diferentes tipologias de entidades científicas, tecnológicas e de inovação, nomeadamente universidades e institutos politécnicos, unidades de I&amp;D, laboratórios do Estado, laboratórios associados, laboratórios colaborativos, centros de tecnologia e inovação, centros de investigação clínica, infraestruturas de investigação e infraestruturas tecnológicas, redes e consórcios de ciência e tecnologia, e outras entidades relevantes, nomeadamente na dimensão de inovação do sistema;
e) Recomendar mecanismos de incentivo à reorganização do SNCT com vista à sua consolidação, sustentabilidade e maximização de impacto, nomeadamente incentivos à agregação de entidades com competências semelhantes ou complementares, com vista à consolidação e ao reforço da escala, impacto e sustentabilidade;
f) Propor alterações legislativas que reforcem a articulação entre a investigação científica, a inovação e o desenvolvimento económico e social, promovendo a valorização do conhecimento, a sua integração na sociedade e a sua aplicação no mercado;
g) Identificar boas práticas internacionais em matéria de financiamento e governação, e propor instrumentos que contribuam para o fortalecimento da competitividade, da sustentabilidade e do impacto do SNCTI, com as devidas adaptações ao contexto nacional.
6 - O grupo de trabalho pode ainda consultar outras entidades públicas ou privadas, associações, especialistas académicos ou personalidades com reconhecido mérito, sempre que tal se revele pertinente para o cumprimento da sua missão.</v>
      </c>
      <c r="R91" s="3" t="str">
        <v>b) Avaliar os atuais mecanismos de governação, reconhecimento, avaliação e financiamento aplicáveis : date not derivable — No uniquely dated deadline derivable from this clause; cadence or trigger is preserved.
O grupo de trabalho deverá produzir um relatório até ao dia 31 de janeiro de 2026.: 2026-01-31 — Explicit calendar date in the act.
5 - As entidades referidas no número anterior devem indicar os respetivos representantes aos membros: 2025-10-04 — 2025-09-27 + 7 calendar days (monitoring convention). If CPA procedural counting applies: 2025-10-07.
9 - O grupo de trabalho deve apresentar um relatório final até ao dia 28 de fevereiro de 2026.: 2026-02-28 — Explicit calendar date in the act.
Final report / last specified substantive output: 2026-02-28 — Fixed date / explicit year-end in creating act.</v>
      </c>
      <c r="S91" s="20" t="d">
        <v>2026-02-28T00:00:00.000Z</v>
      </c>
      <c r="T91" s="20" t="d">
        <v>2026-02-28T00:00:00.000Z</v>
      </c>
      <c r="U91" s="3" t="str">
        <v>Fixed date / explicit year-end in creating act.</v>
      </c>
      <c r="V91" s="20"/>
      <c r="W91" s="21" t="str">
        <f>IF(AND(C91="Em atraso",ISNUMBER(V91)),MAX(0,Dashboard!$E$4-V91),"")</f>
      </c>
      <c r="X91" s="3" t="str">
        <v>Unpaid; see the original clause for the scope of the exclusion.</v>
      </c>
      <c r="Y91" s="3" t="str">
        <v>8 - A participação do grupo de trabalho não confere aos respetivos membros nem a quem com ele colabora o direito a qualquer prestação ao pagamento de qualquer remuneração, independentemente da respetiva natureza, designadamente a título de remuneração, compensação, subsídio, senhas de presença e não dá lugar à assunção de quaisquer encargos adicionais.</v>
      </c>
      <c r="Z91" s="3" t="str">
        <v>Controlling benchmark has passed; no evidence of this output’s delivery identified in the reviewed acts and focused official-source outcome search.</v>
      </c>
      <c r="AA91" s="3" t="str">
        <v>https://diariodarepublica.pt/dr/detalhe/despacho/11412-a-2025-937049215</v>
      </c>
      <c r="AB91" s="22" t="str">
        <v>Open evidence</v>
      </c>
      <c r="AC91" s="20"/>
      <c r="AD91" s="3" t="str">
        <v>No delivery evidence identified.</v>
      </c>
      <c r="AE91" s="3" t="str">
        <v>Not independently verified.</v>
      </c>
      <c r="AF91" s="3" t="str"/>
      <c r="AG91" s="3" t="str"/>
      <c r="AH91" s="3" t="str">
        <v> The act has no concise formal name; the label follows its Portuguese creating clause/summary. Descriptive label follows the Portuguese creating clause; the full act title and exact mandate are retained separately.</v>
      </c>
      <c r="AI91" s="3" t="str">
        <v>DR full-period singular/plural/technical phrase inventories; later acts reviewed. Outcome search: "grupo de trabalho" Lei Ciência Inovação relatório relatório conclusões after:2024-04-01 before:2026-10-11. Domains: portugal.gov.pt, gov.pt, parlamento.pt, diariodarepublica.pt, justica.gov.pt, dgav.pt, icnf.pt, anac.pt, dgeg.gov.pt. Official evidence/limitations recorded in this row.</v>
      </c>
      <c r="AJ91" s="20" t="d">
        <v>2026-10-10T00:00:00.000Z</v>
      </c>
      <c r="AK91" s="3" t="str">
        <v>2025-09-26</v>
      </c>
      <c r="AL91" s="3" t="str">
        <v>Day after publication.</v>
      </c>
      <c r="AM91" s="3" t="str">
        <v>Express name / creating-act summary; descriptive source label where no formal name is assigned.</v>
      </c>
      <c r="AN91" s="3" t="str">
        <v>Education / Science; Economy; Territorial cohesion</v>
      </c>
      <c r="AO91" s="3" t="str">
        <v>Final report / last specified substantive output</v>
      </c>
      <c r="AP91" s="3" t="str">
        <v>Calendar monitoring benchmark; absence of public evidence is not proof of non-delivery.</v>
      </c>
      <c r="AQ91" s="21" t="n">
        <f>IF(AND(C91="Em atraso",ISNUMBER(D91)),COUNTIFS(Groups!$C$6:$C$127,"Em atraso",Groups!$D$6:$D$127,"&gt;"&amp;D91)+COUNTIFS($C$6:C91,"Em atraso",$D$6:D91,D91),"")</f>
        <v>47</v>
      </c>
      <c r="AR91" s="21" t="n">
        <f>IF(COUNTIF($F$6:F91,F91)=1,1,0)</f>
        <v>1</v>
      </c>
    </row>
    <row r="92" ht="96" customHeight="1">
      <c r="A92" s="3" t="str">
        <v>GT-2025-036</v>
      </c>
      <c r="B92" s="3" t="str">
        <v>grupo de trabalho para a análise e proposta de medidas no âmbito da prevenção e gestão da doença crónica</v>
      </c>
      <c r="C92" s="3" t="str">
        <v>Em atraso</v>
      </c>
      <c r="D92" s="21" t="n">
        <f>IF(C92="Em atraso",IF(ISNUMBER(T92),MAX(0,Dashboard!$E$4-T92),""),IF(C92="Concluído com atraso",IF(AND(ISNUMBER(T92),ISNUMBER(AC92)),MAX(0,AC92-T92),""),IF(C92="Concluído no prazo",0,"")))</f>
        <v>251</v>
      </c>
      <c r="E92" s="3" t="str">
        <v>XXV</v>
      </c>
      <c r="F92" s="3" t="str">
        <v>Despacho n.º 11649/2025</v>
      </c>
      <c r="G92" s="22" t="str">
        <v>Open DR act</v>
      </c>
      <c r="H92" s="20" t="d">
        <v>2025-10-03T00:00:00.000Z</v>
      </c>
      <c r="I92" s="20" t="d">
        <v>2025-09-30T00:00:00.000Z</v>
      </c>
      <c r="J92" s="20" t="d">
        <v>2025-10-04T00:00:00.000Z</v>
      </c>
      <c r="K92" s="3" t="str">
        <v>Saúde - Gabinete da Secretária de Estado da Saúde</v>
      </c>
      <c r="L92" s="3" t="str">
        <v>a) Um representante da Direção-Geral da Saúde (DGS) que coordena;</v>
      </c>
      <c r="M92" s="3" t="str">
        <v>2 - O grupo de trabalho é composto pelos seguintes elementos:
a) Um representante da Direção-Geral da Saúde (DGS) que coordena;
b) Um representante da direção executiva do SNS, I. P.;
c) Um representante da Administração Central do Sistema de Saúde, I. P.;
d) Um representante da Ordem dos Médicos,
e) Um representante da Ordem dos Enfermeiros;
f) Um representante da Ordem dos Farmacêuticos;
g) Um representante da Ordem dos Psicólogos Portugueses;
h) Um representante da Ordem dos Médicos Dentistas;
i) Um representante da Ordem dos Nutricionistas;
j) Um representante da Ordem dos Fisioterapeutas;
k) Um representante da Associação Portuguesa de Administradores Hospitalares;
l) Quatro representantes das associações com maior representatividade de doentes com doenças crónicas.
5 - O grupo de trabalho constituído pelo presente despacho deve, no cumprimento dos seus objetivos, e no prazo de 120 dias a contar da data de entrada em vigor do presente despacho, remeter ao meu Gabinete o relatório previsto na alínea d) do n.º 1.</v>
      </c>
      <c r="N92" s="3" t="str">
        <v>Health</v>
      </c>
      <c r="O92" s="3" t="str">
        <v>Review the chronic-disease list and recommend improvements to associated recognition and support arrangements.</v>
      </c>
      <c r="P92" s="3" t="str">
        <v>1 - É criado um grupo de trabalho técnico com o objetivo de:
a) Analisar as estratégias existentes no Serviço Nacional de Saúde (SNS) para a prevenção e gestão das doenças crónicas;
b) Identificar constrangimentos e áreas de melhoria na prestação de cuidados a doentes crónicos;
c) Propor medidas concretas para reforçar a prevenção, o diagnóstico precoce e o acompanhamento integrado das doenças crónicas;
d) Elaborar um relatório final com recomendações a submeter à tutela que contemple um plano de implementação efetivo e integrador das diferentes tipologias de resposta de cuidados de saúde praticadas no SNS, incluindo:
i) A conciliação da contratualização do desempenho das unidades do SNS com critérios que assegurem eficiência, qualidade e alinhamento com os objetivos estratégicos do sistema de saúde;
ii) A definição de mecanismos para monitorização dos progressos na prevenção e gestão da doença crónica, garantindo um acompanhamento contínuo dos indicadores de saúde e dos impactos das políticas adotadas;
iii) A promoção da partilha de informação entre os diferentes níveis de cuidados, reforçando a interoperabilidade dos sistemas e a utilização de dados para apoio à decisão clínica e de gestão;
iv) O desenvolvimento de estratégias para aumentar a literacia em saúde, capacitando cidadãos e profissionais para a prevenção e gestão das doenças crónicas de forma mais eficaz;
v) O aperfeiçoamento do planeamento em saúde, com enfoque na distribuição eficiente dos recursos, na definição de prioridades estratégicas e na adequação das respostas às necessidades populacionais;
vi) A análise e eventual proposta de medidas legislativas que se revelem necessárias para a implementação das estratégias recomendadas.</v>
      </c>
      <c r="Q92" s="3" t="str">
        <v>1 - É criado um grupo de trabalho técnico com o objetivo de:
a) Analisar as estratégias existentes no Serviço Nacional de Saúde (SNS) para a prevenção e gestão das doenças crónicas;
b) Identificar constrangimentos e áreas de melhoria na prestação de cuidados a doentes crónicos;
c) Propor medidas concretas para reforçar a prevenção, o diagnóstico precoce e o acompanhamento integrado das doenças crónicas;
d) Elaborar um relatório final com recomendações a submeter à tutela que contemple um plano de implementação efetivo e integrador das diferentes tipologias de resposta de cuidados de saúde praticadas no SNS, incluindo:
i) A conciliação da contratualização do desempenho das unidades do SNS com critérios que assegurem eficiência, qualidade e alinhamento com os objetivos estratégicos do sistema de saúde;
ii) A definição de mecanismos para monitorização dos progressos na prevenção e gestão da doença crónica, garantindo um acompanhamento contínuo dos indicadores de saúde e dos impactos das políticas adotadas;
iii) A promoção da partilha de informação entre os diferentes níveis de cuidados, reforçando a interoperabilidade dos sistemas e a utilização de dados para apoio à decisão clínica e de gestão;
iv) O desenvolvimento de estratégias para aumentar a literacia em saúde, capacitando cidadãos e profissionais para a prevenção e gestão das doenças crónicas de forma mais eficaz;
v) O aperfeiçoamento do planeamento em saúde, com enfoque na distribuição eficiente dos recursos, na definição de prioridades estratégicas e na adequação das respostas às necessidades populacionais;
vi) A análise e eventual proposta de medidas legislativas que se revelem necessárias para a implementação das estratégias recomendadas.
4 - O grupo de trabalho pode solicitar a colaboração e o apoio técnico de outros elementos para o desempenho da sua missão, devendo os serviços e organismos do Ministério da Saúde, no âmbito das suas respetivas atribuições, prestar todo o apoio que lhes for solicitado.
6 - A participação no grupo de trabalho não confere direito a qualquer prestação adicional, designadamente, a título de remuneração, abono, compensação, subsídio ou senhas de presença, devendo as entidades a cujo mapa de pessoal os elementos do grupo de trabalho pertençam, facultar-lhes o tempo necessário para o desempenho eficiente das funções previstas no presente despacho.</v>
      </c>
      <c r="R92" s="3" t="str">
        <v>3 - Os representantes das entidades que integram o grupo de trabalho são designados, e comunicada es: 2025-10-10 — 2025-10-04 + 5 working days; anchor excluded, weekends and national statutory holidays excluded.
5 - O grupo de trabalho constituído pelo presente despacho deve, no cumprimento dos seus objetivos, : 2026-02-01 — 2025-10-04 + 120 calendar days (monitoring convention). If CPA procedural counting applies: 2026-03-26.
Final report / last specified substantive output: 2026-02-01 — effective 2025-10-04 + 120 calendar days; plain “dias” benchmark. Alternative working-day date: 2026-03-26.</v>
      </c>
      <c r="S92" s="20" t="d">
        <v>2026-02-01T00:00:00.000Z</v>
      </c>
      <c r="T92" s="20" t="d">
        <v>2026-02-01T00:00:00.000Z</v>
      </c>
      <c r="U92" s="3" t="str">
        <v>effective 2025-10-04 + 120 calendar days; plain “dias” benchmark. Alternative working-day date: 2026-03-26.</v>
      </c>
      <c r="V92" s="20" t="d">
        <v>2026-03-26T00:00:00.000Z</v>
      </c>
      <c r="W92" s="21" t="n">
        <f>IF(AND(C92="Em atraso",ISNUMBER(V92)),MAX(0,Dashboard!$E$4-V92),"")</f>
        <v>198</v>
      </c>
      <c r="X92" s="3" t="str">
        <v>Unpaid; see the original clause for the scope of the exclusion.</v>
      </c>
      <c r="Y92" s="3" t="str">
        <v>6 - A participação no grupo de trabalho não confere direito a qualquer prestação adicional, designadamente, a título de remuneração, abono, compensação, subsídio ou senhas de presença, devendo as entidades a cujo mapa de pessoal os elementos do grupo de trabalho pertençam, facultar-lhes o tempo necessário para o desempenho eficiente das funções previstas no presente despacho.</v>
      </c>
      <c r="Z92" s="3" t="str">
        <v>Controlling benchmark has passed; no evidence of this output’s delivery identified in the reviewed acts and focused official-source outcome search.</v>
      </c>
      <c r="AA92" s="3" t="str">
        <v>https://diariodarepublica.pt/dr/detalhe/despacho/11649-2025-937675961</v>
      </c>
      <c r="AB92" s="22" t="str">
        <v>Open evidence</v>
      </c>
      <c r="AC92" s="20"/>
      <c r="AD92" s="3" t="str">
        <v>No delivery evidence identified.</v>
      </c>
      <c r="AE92" s="3" t="str">
        <v>Not independently verified.</v>
      </c>
      <c r="AF92" s="3" t="str"/>
      <c r="AG92" s="3" t="str"/>
      <c r="AH92" s="3" t="str"/>
      <c r="AI92" s="3" t="str">
        <v>DR full-period singular/plural/technical phrase inventories; later acts reviewed. Outcome search: "grupo de trabalho" lista doenças crónicas relatório conclusões after:2024-04-01 before:2026-10-11. Domains: portugal.gov.pt, gov.pt, parlamento.pt, diariodarepublica.pt, justica.gov.pt, dgav.pt, icnf.pt, anac.pt, dgeg.gov.pt. Official evidence/limitations recorded in this row.</v>
      </c>
      <c r="AJ92" s="20" t="d">
        <v>2026-10-10T00:00:00.000Z</v>
      </c>
      <c r="AK92" s="3" t="str">
        <v>2025-09-30</v>
      </c>
      <c r="AL92" s="3" t="str">
        <v>Day after publication.</v>
      </c>
      <c r="AM92" s="3" t="str">
        <v>Express name / creating-act summary; descriptive source label where no formal name is assigned.</v>
      </c>
      <c r="AN92" s="3" t="str">
        <v>Health</v>
      </c>
      <c r="AO92" s="3" t="str">
        <v>Final report / last specified substantive output</v>
      </c>
      <c r="AP92" s="3" t="str">
        <v>Calendar monitoring benchmark; absence of public evidence is not proof of non-delivery.</v>
      </c>
      <c r="AQ92" s="21" t="n">
        <f>IF(AND(C92="Em atraso",ISNUMBER(D92)),COUNTIFS(Groups!$C$6:$C$127,"Em atraso",Groups!$D$6:$D$127,"&gt;"&amp;D92)+COUNTIFS($C$6:C92,"Em atraso",$D$6:D92,D92),"")</f>
        <v>46</v>
      </c>
      <c r="AR92" s="21" t="n">
        <f>IF(COUNTIF($F$6:F92,F92)=1,1,0)</f>
        <v>1</v>
      </c>
    </row>
    <row r="93" ht="96" customHeight="1">
      <c r="A93" s="3" t="str">
        <v>GT-2025-037</v>
      </c>
      <c r="B93" s="3" t="str">
        <v>grupo de trabalho para a transposição para o ordenamento jurídico português da Diretiva (UE) 2024/1788, do Parlamento Europeu e do Conselho, de 13 de junho de 2024, relativa a regras comuns para os mercados internos do gás renovável, do gás natural e do hidrogénio, que altera a Diretiva (UE) 2023/1791 e revoga a Diretiva 2009/73/CE</v>
      </c>
      <c r="C93" s="3" t="str">
        <v>Sem informação pública</v>
      </c>
      <c r="D93" s="21" t="str">
        <f>IF(C93="Em atraso",IF(ISNUMBER(T93),MAX(0,Dashboard!$E$4-T93),""),IF(C93="Concluído com atraso",IF(AND(ISNUMBER(T93),ISNUMBER(AC93)),MAX(0,AC93-T93),""),IF(C93="Concluído no prazo",0,"")))</f>
      </c>
      <c r="E93" s="3" t="str">
        <v>XXV</v>
      </c>
      <c r="F93" s="3" t="str">
        <v>Despacho n.º 11843/2025</v>
      </c>
      <c r="G93" s="22" t="str">
        <v>Open DR act</v>
      </c>
      <c r="H93" s="20" t="d">
        <v>2025-10-08T00:00:00.000Z</v>
      </c>
      <c r="I93" s="20" t="d">
        <v>2025-09-23T00:00:00.000Z</v>
      </c>
      <c r="J93" s="20" t="d">
        <v>2025-10-09T00:00:00.000Z</v>
      </c>
      <c r="K93" s="3" t="str">
        <v>Ambiente e Energia - Gabinete da Ministra do Ambiente e Energia</v>
      </c>
      <c r="L93" s="3" t="str">
        <v>One of the two representatives of the government cabinets responsible for energy.</v>
      </c>
      <c r="M93" s="3" t="str">
        <v>3 - O grupo de trabalho é composto por:
a) Dois representantes dos gabinetes dos membros do Governo responsáveis pela área da energia, um dos quais coordena;
b) Dois representantes da Direção-Geral de Energia e Geologia;
c) Um representante da Entidade Nacional para o Setor Energético, E. P. E.
4 - Integram ainda o grupo de trabalho, como convidados, até dois representantes da Entidade Reguladora para os Serviços Energéticos.</v>
      </c>
      <c r="N93" s="3" t="str">
        <v>Energy</v>
      </c>
      <c r="O93" s="3" t="str">
        <v>Prepare legislative proposals transposing EU rules for renewable gas, natural gas and hydrogen markets.</v>
      </c>
      <c r="P93" s="3" t="str">
        <v>1 - É criado o grupo de trabalho para a transposição para o ordenamento jurídico português da Diretiva (UE) 2024/1788, do Parlamento Europeu e do Conselho, de 13 de junho de 2024, relativa a regras comuns para os mercados internos do gás renovável, do gás natural e do hidrogénio, que altera a Diretiva (UE) 2023/1791 e revoga a Diretiva 2009/73/CE.</v>
      </c>
      <c r="Q93" s="3" t="str">
        <v>2 - O grupo de trabalho tem os seguintes objetivos:
a) Identificar as áreas temáticas para a transposição da Diretiva (UE) 2024/1788;
b) Preparar e apresentar propostas técnicas para a transposição da Diretiva (UE) 2024/1788, em articulação com as entidades públicas e privadas com atribuições ou atividade nas matérias envolvidas;
c) Apresentar as propostas legislativas e regulamentares necessárias para assegurar a transposição da Diretiva (UE) 2024/1788, tendo por base as propostas referidas na alínea anterior;
d) Apoiar o procedimento de consulta pública das propostas referidas na alínea anterior, designadamente através da análise das pronúncias submetidas e a elaboração do respetivo relatório de consulta pública, se aplicável;
e) Atualizar as propostas previstas nas alíneas b) e c) em conformidade com os resultados da consulta pública;
f) Promover a participação eficaz, a comunicação aberta e a cooperação entre as diferentes entidades envolvidas, nomeadamente através da realização de reuniões regulares.
12 - O grupo de trabalho cessa as suas funções com a conclusão do processo de transposição da Diretiva (UE) 2024/1788 para o ordenamento jurídico nacional.</v>
      </c>
      <c r="R93" s="3" t="str">
        <v>a) Até 30 de novembro de 2025:: 2025-11-30 — Explicit calendar date in the act.
b) Até 5 de março de 2026:: 2026-03-05 — Explicit calendar date in the act.
c) Até 5 de junho de 2026:: 2026-06-05 — Explicit calendar date in the act.
6 - O grupo de trabalho deve reunir com uma periodicidade mínima mensal.: date not derivable — No uniquely dated deadline derivable from this clause; cadence or trigger is preserved.
8 - As entidades referidas no n.º 3 devem indicar os respetivos representantes ao Gabinete do Secret: 2025-10-16 — 2025-10-09 + 5 working days; anchor excluded, weekends and national statutory holidays excluded.</v>
      </c>
      <c r="S93" s="20"/>
      <c r="T93" s="20"/>
      <c r="U93" s="3" t="str"/>
      <c r="V93" s="20"/>
      <c r="W93" s="21" t="str">
        <f>IF(AND(C93="Em atraso",ISNUMBER(V93)),MAX(0,Dashboard!$E$4-V93),"")</f>
      </c>
      <c r="X93" s="3" t="str">
        <v>Unpaid; see the original clause for the scope of the exclusion.</v>
      </c>
      <c r="Y93" s="3" t="str">
        <v>11 - Pela participação no grupo de trabalho, não é devido aos seus membros e às pessoas que com ele colaboram, a qualquer título, o pagamento de qualquer remuneração, abono ou senha de presença pelo trabalho desenvolvido.</v>
      </c>
      <c r="Z93" s="3" t="str">
        <v>No dated final-output deadline / public trigger date, and delivery cannot be verified.</v>
      </c>
      <c r="AA93" s="3" t="str">
        <v>https://diariodarepublica.pt/dr/detalhe/despacho/11843-2025-938604558</v>
      </c>
      <c r="AB93" s="22" t="str">
        <v>Open evidence</v>
      </c>
      <c r="AC93" s="20"/>
      <c r="AD93" s="3" t="str">
        <v>No delivery evidence identified.</v>
      </c>
      <c r="AE93" s="3" t="str">
        <v>Not independently verified.</v>
      </c>
      <c r="AF93" s="3" t="str"/>
      <c r="AG93" s="3" t="str"/>
      <c r="AH93" s="3" t="str">
        <v> The act has no concise formal name; the label follows its Portuguese creating clause/summary.</v>
      </c>
      <c r="AI93" s="3" t="str">
        <v>DR full-period singular/plural/technical phrase inventories; later acts reviewed. Outcome search: "grupo de trabalho" gás renovável hidrogénio diretiva 2024/1788 relatório conclusões after:2024-04-01 before:2026-10-11. Domains: portugal.gov.pt, gov.pt, parlamento.pt, diariodarepublica.pt, justica.gov.pt, dgav.pt, icnf.pt, anac.pt, dgeg.gov.pt. Official evidence/limitations recorded in this row.</v>
      </c>
      <c r="AJ93" s="20" t="d">
        <v>2026-10-10T00:00:00.000Z</v>
      </c>
      <c r="AK93" s="3" t="str">
        <v>2025-09-23</v>
      </c>
      <c r="AL93" s="3" t="str">
        <v>Day after publication.</v>
      </c>
      <c r="AM93" s="3" t="str">
        <v>Express name / creating-act summary; descriptive source label where no formal name is assigned.</v>
      </c>
      <c r="AN93" s="3" t="str">
        <v>Environment / Energy</v>
      </c>
      <c r="AO93" s="3" t="str">
        <v>No dated final output / unknown trigger</v>
      </c>
      <c r="AP93" s="3" t="str"/>
      <c r="AQ93" s="21" t="str">
        <f>IF(AND(C93="Em atraso",ISNUMBER(D93)),COUNTIFS(Groups!$C$6:$C$127,"Em atraso",Groups!$D$6:$D$127,"&gt;"&amp;D93)+COUNTIFS($C$6:C93,"Em atraso",$D$6:D93,D93),"")</f>
      </c>
      <c r="AR93" s="21" t="n">
        <f>IF(COUNTIF($F$6:F93,F93)=1,1,0)</f>
        <v>1</v>
      </c>
    </row>
    <row r="94" ht="96" customHeight="1">
      <c r="A94" s="3" t="str">
        <v>GT-2025-038</v>
      </c>
      <c r="B94" s="3" t="str">
        <v>Grupo técnico de trabalho — Programa Nacional das Raparigas nas STEM</v>
      </c>
      <c r="C94" s="3" t="str">
        <v>Sem informação pública</v>
      </c>
      <c r="D94" s="21" t="str">
        <f>IF(C94="Em atraso",IF(ISNUMBER(T94),MAX(0,Dashboard!$E$4-T94),""),IF(C94="Concluído com atraso",IF(AND(ISNUMBER(T94),ISNUMBER(AC94)),MAX(0,AC94-T94),""),IF(C94="Concluído no prazo",0,"")))</f>
      </c>
      <c r="E94" s="3" t="str">
        <v>XXV</v>
      </c>
      <c r="F94" s="3" t="str">
        <v>Resolução do Conselho de Ministros n.º 175/2025</v>
      </c>
      <c r="G94" s="22" t="str">
        <v>Open DR act</v>
      </c>
      <c r="H94" s="20" t="d">
        <v>2025-11-10T00:00:00.000Z</v>
      </c>
      <c r="I94" s="20" t="d">
        <v>2025-10-30T00:00:00.000Z</v>
      </c>
      <c r="J94" s="20" t="d">
        <v>2025-11-11T00:00:00.000Z</v>
      </c>
      <c r="K94" s="3" t="str">
        <v>Presidência do Conselho de Ministros</v>
      </c>
      <c r="L94" s="3" t="str">
        <v>Comissão para a Cidadania e a Igualdade de Género (CIG); public report: Ana Martinho Fernandes.</v>
      </c>
      <c r="M94" s="3" t="str">
        <v>3 - Sem prejuízo do disposto no n.º 12 da referida resolução, o grupo técnico de trabalho referido no número anterior é constituído por um período de 6 meses e tem a seguinte composição:
a) Um representante da Comissão para a Cidadania e a Igualdade de Género, que preside;
b) Um representante da Agência para a Reforma Tecnológica do Estado, I. P.;
c) Um representante do Instituto de Educação, Qualidade e Avaliação, I. P.;
d) Um representante do Instituto para o Ensino Superior, I. P.;
e) Um representante do Instituto do Emprego e da Formação Profissional, I. P.;
f) Um representante da Fundação para a Ciência e a Tecnologia, I. P.</v>
      </c>
      <c r="N94" s="3" t="str">
        <v>Equality / Education / Digital</v>
      </c>
      <c r="O94" s="3" t="str">
        <v>Implement the first phase of the national programme supporting girls and women in science, technology, engineering and mathematics, and report on its first six months.</v>
      </c>
      <c r="P94" s="3" t="str">
        <v>2 - Estabelecer que, no prazo de 15 dias, é constituído um grupo técnico de trabalho, nos termos da alínea g) do n.º 7 da Resolução do Conselho de Ministros n.º 94/2024, de 25 de julho, com a responsabilidade de assegurar a implementação do Programa.</v>
      </c>
      <c r="Q94" s="3" t="str">
        <v>2 - Estabelecer que, no prazo de 15 dias, é constituído um grupo técnico de trabalho, nos termos da alínea g) do n.º 7 da Resolução do Conselho de Ministros n.º 94/2024, de 25 de julho, com a responsabilidade de assegurar a implementação do Programa.
4 - Determinar que, findo o prazo de 6 meses previsto no número anterior, o grupo técnico de trabalho apresenta aos membros do Governo responsáveis pelas áreas da igualdade, da digitalização, da educação, do trabalho e da defesa, um relatório dos trabalhos realizados.</v>
      </c>
      <c r="R94" s="3" t="str">
        <v>2 - Estabelecer que, no prazo de 15 dias, é constituído um grupo técnico de trabalho, nos termos da : date not derivable — 15 dias after trigger: anchor not expressly specified; exact date cannot be verified.
3 - Sem prejuízo do disposto no n.º 12 da referida resolução, o grupo técnico de trabalho referido n: date not derivable — 6 meses after trigger: anchor not expressly specified; exact date cannot be verified.
4 - Determinar que, findo o prazo de 6 meses previsto no número anterior, o grupo técnico de trabalh: date not derivable — 6 meses after trigger: anchor not expressly specified; exact date cannot be verified.
Programme annex action window: 1.º semestre 2026: 2026-06-30 — Annex action windows; end of half-year is an explicit window boundary. These concern the wider programme, not the six-month technical group.
Programme annex action window: 2.º semestre 2026: 2026-12-31 — Annex action windows; end of half-year is an explicit window boundary. These concern the wider programme, not the six-month technical group.
Programme annex action window: 2.º semestre 2029: 2029-12-31 — Annex action windows; end of half-year is an explicit window boundary. These concern the wider programme, not the six-month technical group.</v>
      </c>
      <c r="S94" s="20"/>
      <c r="T94" s="20"/>
      <c r="U94" s="3" t="str"/>
      <c r="V94" s="20"/>
      <c r="W94" s="21" t="str">
        <f>IF(AND(C94="Em atraso",ISNUMBER(V94)),MAX(0,Dashboard!$E$4-V94),"")</f>
      </c>
      <c r="X94" s="3" t="str">
        <v>Unpaid group participation; expense/allowance terms are stated in the original clause.</v>
      </c>
      <c r="Y94" s="3" t="str">
        <v>6 - Determinar que os membros do grupo técnico de trabalho, a que se refere o n.º 2, não auferem qualquer remuneração, incluindo senhas de presença ou ajudas de custo.</v>
      </c>
      <c r="Z94" s="3" t="str">
        <v>Official report is dated April 2026; actual constitution and handover dates are not stated, preventing a verified timeliness assessment.</v>
      </c>
      <c r="AA94" s="3" t="str">
        <v>https://diariodarepublica.pt/dr/detalhe/resolucao-conselho-ministros/175-2025-945116919
https://wwwcdn.dges.gov.pt/sites/default/files/relatorio_gt_raparigas_nas_stem_vpublicacao.pdf</v>
      </c>
      <c r="AB94" s="22" t="str">
        <v>Open evidence</v>
      </c>
      <c r="AC94" s="20"/>
      <c r="AD94" s="3" t="str">
        <v>Public report, April 2026, expressly fulfils clause 4 of RCM 175/2025.</v>
      </c>
      <c r="AE94" s="3" t="str">
        <v>First-phase programme implementation described in the April 2026 report; longer-term actions are separate from group reporting.</v>
      </c>
      <c r="AF94" s="3" t="str"/>
      <c r="AG94" s="3" t="str"/>
      <c r="AH94" s="3" t="str">
        <v>Descriptive label follows the creating provision; no separate formal group name is assigned. Six-month duration runs from actual constitution, not the resolution’s publication. Programme action windows in the annex are preserved in the creating act; they are programme delivery dates, not dates for this six-month group.</v>
      </c>
      <c r="AI94" s="3" t="str">
        <v>DR technical-group inventory and full creating act; "175/2025" STEM relatório abril 2026 on DGES/CIG/government domains. April report reviewed.</v>
      </c>
      <c r="AJ94" s="20" t="d">
        <v>2026-10-10T00:00:00.000Z</v>
      </c>
      <c r="AK94" s="3" t="str">
        <v>2025-10-30</v>
      </c>
      <c r="AL94" s="3" t="str">
        <v>Day after publication.</v>
      </c>
      <c r="AM94" s="3" t="str">
        <v>Express name / creating-act summary; descriptive source label where no formal name is assigned.</v>
      </c>
      <c r="AN94" s="3" t="str">
        <v>Presidency / Council of Ministers</v>
      </c>
      <c r="AO94" s="3" t="str">
        <v>No dated final output / unknown trigger</v>
      </c>
      <c r="AP94" s="3" t="str"/>
      <c r="AQ94" s="21" t="str">
        <f>IF(AND(C94="Em atraso",ISNUMBER(D94)),COUNTIFS(Groups!$C$6:$C$127,"Em atraso",Groups!$D$6:$D$127,"&gt;"&amp;D94)+COUNTIFS($C$6:C94,"Em atraso",$D$6:D94,D94),"")</f>
      </c>
      <c r="AR94" s="21" t="n">
        <f>IF(COUNTIF($F$6:F94,F94)=1,1,0)</f>
        <v>1</v>
      </c>
    </row>
    <row r="95" ht="96" customHeight="1">
      <c r="A95" s="3" t="str">
        <v>GT-2025-039</v>
      </c>
      <c r="B95" s="3" t="str">
        <v>grupo de trabalho para apoio à implementação faseada do Sistema Nacional de Acesso a Consulta e Cirurgia (SINACC), nos termos do Plano de Emergência e Transformação da Saúde (PETS)</v>
      </c>
      <c r="C95" s="3" t="str">
        <v>Sem informação pública</v>
      </c>
      <c r="D95" s="21" t="str">
        <f>IF(C95="Em atraso",IF(ISNUMBER(T95),MAX(0,Dashboard!$E$4-T95),""),IF(C95="Concluído com atraso",IF(AND(ISNUMBER(T95),ISNUMBER(AC95)),MAX(0,AC95-T95),""),IF(C95="Concluído no prazo",0,"")))</f>
      </c>
      <c r="E95" s="3" t="str">
        <v>XXV</v>
      </c>
      <c r="F95" s="3" t="str">
        <v>Despacho n.º 14188/2025</v>
      </c>
      <c r="G95" s="22" t="str">
        <v>Open DR act</v>
      </c>
      <c r="H95" s="20" t="d">
        <v>2025-11-27T00:00:00.000Z</v>
      </c>
      <c r="I95" s="20" t="d">
        <v>2025-11-05T00:00:00.000Z</v>
      </c>
      <c r="J95" s="20" t="d">
        <v>2025-06-05T00:00:00.000Z</v>
      </c>
      <c r="K95" s="3" t="str">
        <v>Saúde - Gabinete da Ministra da Saúde</v>
      </c>
      <c r="L95" s="3" t="str">
        <v>3 - O grupo de trabalho é coordenado por Joana Irene Barros Mourão, cuja sinopse curricular consta do Anexo i ao presente despacho e do qual faz parte integrante.
6 - O grupo de trabalho reunirá por convocatória da coordenadora, em função das necessidades dos trabalhos.</v>
      </c>
      <c r="M95" s="3" t="str">
        <v>3 - O grupo de trabalho é coordenado por Joana Irene Barros Mourão, cuja sinopse curricular consta do Anexo i ao presente despacho e do qual faz parte integrante.
4 - O grupo de trabalho tem natureza temporária e é constituído pelos seguintes elementos:
a) Pedro Melo Lopes, Médico Codificador do IPO, em representação do PETS;
b) Carlos Galamba, vice-presidente do conselho diretivo da Administração Central do Sistema de Saúde;
c) Rui Santos, diretor dos Sistemas de Cuidados de Saúde, Serviços Partilhados do Ministério da Saúde;
d) Bernardo Teixeira, gestor de núcleo de Sistemas de Mobilidade e Acesso, Serviços Partilhados do Ministério da Saúde;
e) Joana Fonseca Castro, diretora do Gabinete Jurídico e de Contencioso no INFARMED, I. P.;
f) Fernando Pereira, em representação da Direção Executiva do SNS;
g) Luís Campos Pinheiro, médico da ULS São José, E. P. E., Faculdade de Ciências Médicas da Universidade Nova de Lisboa;
h) Jorge Pereira, médico especialista em cirurgia geral da ULS Viseu-Lafões, E. P. E.;
i) Cláudia Belo Ferreira, administradora, Faculdade de Farmácia da Universidade de Lisboa;
j) Paulo Sousa Almeida, médico especialista em medicina interna da ULS São João, E. P. E., Faculdade de Medicina da Universidade do Porto;
k) Donzília da Conceição Sousa da Silva, médica especialista em cirurgia geral da ULS Santo António, E. P. E., e Instituto de Ciências Biomédicas de Abel Salazar - Universidade do Porto;
l) Donzília de Sousa Brito, médica especialista em cirurgia geral do Instituto Português de Oncologia do Porto Francisco Gentil, E. P. E.;
m) José Luís de Pinho Fernandes, médico especialista em medicina geral e familiar da ULS de Gaia/Espinho, E. P. E.;</v>
      </c>
      <c r="N95" s="3" t="str">
        <v>Health / Digital</v>
      </c>
      <c r="O95" s="3" t="str">
        <v>Support phased implementation of SINACC and coordinate the new national consultation and surgery access system.</v>
      </c>
      <c r="P95" s="3" t="str">
        <v>1 - É criado o grupo de trabalho para apoio à implementação faseada do Sistema Nacional de Acesso a Consulta e Cirurgia (SINACC), nos termos do Plano de Emergência e Transformação da Saúde (PETS).</v>
      </c>
      <c r="Q95" s="3" t="str">
        <v>2 - O grupo de trabalho tem como missão:
a) Acompanhar a implementação da integrante das cirurgias;
b) Apoiar o desenvolvimento da produção do sistema de informação relativo à primeira consulta hospitalar e procedimentos terapêuticos;
c) Promover a harmonização dos indicadores com o Portal da Transparência, assegurando coerência, consistência e fiabilidade dos dados divulgados;
d) Assegurar a transferência de conhecimento técnico para a Direção Executiva do SNS;
e) Apoiar a constituição e capacitação das estruturas locais de acesso;
f) Colaborar na definição e implementação dos mecanismos de monitorização e avaliação do desempenho do SINACC.
8 - Deve ser concedida dispensa aos profissionais que integram o grupo de trabalho nas horas em que as tarefas a seu cargo os obriguem a ausentar-se dos respetivos locais de trabalho.</v>
      </c>
      <c r="R95" s="3" t="str"/>
      <c r="S95" s="20"/>
      <c r="T95" s="20"/>
      <c r="U95" s="3" t="str"/>
      <c r="V95" s="20"/>
      <c r="W95" s="21" t="str">
        <f>IF(AND(C95="Em atraso",ISNUMBER(V95)),MAX(0,Dashboard!$E$4-V95),"")</f>
      </c>
      <c r="X95" s="3" t="str">
        <v>Unpaid group participation; expense/allowance terms are stated in the original clause.</v>
      </c>
      <c r="Y95" s="3" t="str">
        <v>7 - A participação no grupo de trabalho não confere o direito a qualquer remuneração adicional ressalvadas as ajudas de custo a que haja lugar nos termos legais.</v>
      </c>
      <c r="Z95" s="3" t="str">
        <v>No dated final-output deadline / public trigger date, and delivery cannot be verified.</v>
      </c>
      <c r="AA95" s="3" t="str">
        <v>https://diariodarepublica.pt/dr/detalhe/despacho/14188-2025-955733785</v>
      </c>
      <c r="AB95" s="22" t="str">
        <v>Open evidence</v>
      </c>
      <c r="AC95" s="20"/>
      <c r="AD95" s="3" t="str">
        <v>No delivery evidence identified.</v>
      </c>
      <c r="AE95" s="3" t="str">
        <v>SINACC created by Decreto-Lei 12/2026 (22 January); operational rules adopted in Portaria 135/2026/1 (31 March), with further rules in Portarias 281/2026/1 and 284/2026/1. Completion of all extinction conditions remains unverified.</v>
      </c>
      <c r="AF95" s="3" t="str">
        <v>https://diariodarepublica.pt/dr/detalhe/decreto-lei/12-2026-1019913911
https://diariodarepublica.pt/dr/detalhe/portaria/135-2026-1080123525</v>
      </c>
      <c r="AG95" s="3" t="str"/>
      <c r="AH95" s="3" t="str">
        <v> Policy legislation is distinct from proof that the implementation group has completed its entire mandate.</v>
      </c>
      <c r="AI95" s="3" t="str">
        <v>DR full-period singular/plural/technical phrase inventories; later acts reviewed. Outcome search: "grupo de trabalho" SINACC criação decreto lei relatório conclusões after:2024-04-01 before:2026-10-11. Domains: portugal.gov.pt, gov.pt, parlamento.pt, diariodarepublica.pt, justica.gov.pt, dgav.pt, icnf.pt, anac.pt, dgeg.gov.pt. Official evidence/limitations recorded in this row.</v>
      </c>
      <c r="AJ95" s="20" t="d">
        <v>2026-10-10T00:00:00.000Z</v>
      </c>
      <c r="AK95" s="3" t="str">
        <v>2025-11-05</v>
      </c>
      <c r="AL95" s="3" t="str">
        <v>Explicit retrospective or future date.</v>
      </c>
      <c r="AM95" s="3" t="str">
        <v>Express name / creating-act summary; descriptive source label where no formal name is assigned.</v>
      </c>
      <c r="AN95" s="3" t="str">
        <v>Health</v>
      </c>
      <c r="AO95" s="3" t="str">
        <v>No dated final output / unknown trigger</v>
      </c>
      <c r="AP95" s="3" t="str"/>
      <c r="AQ95" s="21" t="str">
        <f>IF(AND(C95="Em atraso",ISNUMBER(D95)),COUNTIFS(Groups!$C$6:$C$127,"Em atraso",Groups!$D$6:$D$127,"&gt;"&amp;D95)+COUNTIFS($C$6:C95,"Em atraso",$D$6:D95,D95),"")</f>
      </c>
      <c r="AR95" s="21" t="n">
        <f>IF(COUNTIF($F$6:F95,F95)=1,1,0)</f>
        <v>1</v>
      </c>
    </row>
    <row r="96" ht="96" customHeight="1">
      <c r="A96" s="3" t="str">
        <v>GT-2025-040</v>
      </c>
      <c r="B96" s="3" t="str">
        <v>grupo de trabalho para aferição das necessidades legislativas do transporte de fluidos</v>
      </c>
      <c r="C96" s="3" t="str">
        <v>Sem informação pública</v>
      </c>
      <c r="D96" s="21" t="str">
        <f>IF(C96="Em atraso",IF(ISNUMBER(T96),MAX(0,Dashboard!$E$4-T96),""),IF(C96="Concluído com atraso",IF(AND(ISNUMBER(T96),ISNUMBER(AC96)),MAX(0,AC96-T96),""),IF(C96="Concluído no prazo",0,"")))</f>
      </c>
      <c r="E96" s="3" t="str">
        <v>XXV</v>
      </c>
      <c r="F96" s="3" t="str">
        <v>Despacho n.º 14492/2025</v>
      </c>
      <c r="G96" s="22" t="str">
        <v>Open DR act</v>
      </c>
      <c r="H96" s="20" t="d">
        <v>2025-12-05T00:00:00.000Z</v>
      </c>
      <c r="I96" s="20" t="d">
        <v>2025-11-25T00:00:00.000Z</v>
      </c>
      <c r="J96" s="20" t="d">
        <v>2025-12-05T00:00:00.000Z</v>
      </c>
      <c r="K96" s="3" t="str">
        <v>Economia e Coesão Territorial e Ambiente e Energia - Gabinete do Ministro da Economia e da Coesão Territorial e Gabinete da Ministra do Ambiente e Energia</v>
      </c>
      <c r="L96" s="3" t="str">
        <v>5 - A coordenação dos trabalhos é da competência conjunta dos elementos designados pelo IAPMEI, I. P., e pela DGEG.</v>
      </c>
      <c r="M96" s="3" t="str">
        <v>3 - O GT-ANLTF é constituído por representantes das seguintes entidades:
a) IAPMEI - Agência para a Competitividade e Inovação, I. P. (IAPMEI, I. P.);
b) Direção-Geral de Energia e Geologia (DGEG);
c) Instituto Português da Qualidade, I. P. (IPQ);
d) Agência Portuguesa do Ambiente (APA);
e) Comissão de Coordenação e Desenvolvimento Regional do Norte (CCDR Norte);
f) Comissão de Coordenação e Desenvolvimento Regional do Centro (CCDR Centro);
g) Comissão de Coordenação e Desenvolvimento Regional de Lisboa e Vale do Tejo (CCDR LVT);
h) Comissão de Coordenação e Desenvolvimento Regional do Alentejo (CCDR Alentejo);
i) Comissão de Coordenação e Desenvolvimento Regional do Algarve (CCDR Algarve).</v>
      </c>
      <c r="N96" s="3" t="str">
        <v>Economy / Energy</v>
      </c>
      <c r="O96" s="3" t="str">
        <v>Identify gaps in legislation for the transport of fluids and draft a regulatory proposal.</v>
      </c>
      <c r="P96" s="3" t="str">
        <v>1 - A criação do grupo de trabalho para aferição das necessidades legislativas do transporte de fluidos, designado por GT-ANLTF.</v>
      </c>
      <c r="Q96" s="3" t="str">
        <v>2 - O grupo de trabalho referido no número anterior tem como missão identificar as substâncias cuja veiculação não se encontra devidamente regulamentada, as necessidades regulamentares, nomeadamente dos respetivos licenciamentos, e elaborar uma proposta legislativa que responda às necessidades identificadas.</v>
      </c>
      <c r="R96" s="3" t="str">
        <v>4 - As entidades que integram o GT apresentam o relatório final no prazo de 4 meses após o início do: date not derivable — 4 meses after trigger: Actual constitution / start date not independently public.; exact date cannot be verified.
7 - As entidades identificadas no ponto 3 supra, no prazo de 10 dias após a entrada em vigor do pres: 2025-12-15 — 2025-12-05 + 10 calendar days (monitoring convention). If CPA procedural counting applies: 2025-12-22.</v>
      </c>
      <c r="S96" s="20"/>
      <c r="T96" s="20"/>
      <c r="U96" s="3" t="str"/>
      <c r="V96" s="20"/>
      <c r="W96" s="21" t="str">
        <f>IF(AND(C96="Em atraso",ISNUMBER(V96)),MAX(0,Dashboard!$E$4-V96),"")</f>
      </c>
      <c r="X96" s="3" t="str">
        <v>Unpaid; see the original clause for the scope of the exclusion.</v>
      </c>
      <c r="Y96" s="3" t="str">
        <v>9 - Pelo desenvolvimento dos trabalhos abrangidos pelo presente despacho, não é devida qualquer remuneração adicional aos representantes designados ou às entidades envolvidas.</v>
      </c>
      <c r="Z96" s="3" t="str">
        <v>No dated final-output deadline / public trigger date, and delivery cannot be verified.</v>
      </c>
      <c r="AA96" s="3" t="str">
        <v>https://diariodarepublica.pt/dr/detalhe/despacho/14492-2025-962955481</v>
      </c>
      <c r="AB96" s="22" t="str">
        <v>Open evidence</v>
      </c>
      <c r="AC96" s="20"/>
      <c r="AD96" s="3" t="str">
        <v>No delivery evidence identified.</v>
      </c>
      <c r="AE96" s="3" t="str">
        <v>Not independently verified.</v>
      </c>
      <c r="AF96" s="3" t="str"/>
      <c r="AG96" s="3" t="str"/>
      <c r="AH96" s="3" t="str">
        <v> Four-month mandate runs from actual start of work, a date not established in public sources; no invented calendar due date.</v>
      </c>
      <c r="AI96" s="3" t="str">
        <v>DR full-period singular/plural/technical phrase inventories; later acts reviewed. Outcome search: "grupo de trabalho" transporte fluidos regime relatório conclusões after:2024-04-01 before:2026-10-11. Domains: portugal.gov.pt, gov.pt, parlamento.pt, diariodarepublica.pt, justica.gov.pt, dgav.pt, icnf.pt, anac.pt, dgeg.gov.pt. Official evidence/limitations recorded in this row.</v>
      </c>
      <c r="AJ96" s="20" t="d">
        <v>2026-10-10T00:00:00.000Z</v>
      </c>
      <c r="AK96" s="3" t="str">
        <v>2025-11-12; 2025-11-25</v>
      </c>
      <c r="AL96" s="3" t="str">
        <v>Publication date.</v>
      </c>
      <c r="AM96" s="3" t="str">
        <v>Express name / creating-act summary; descriptive source label where no formal name is assigned.</v>
      </c>
      <c r="AN96" s="3" t="str">
        <v>Economy; Territorial cohesion; Environment / Energy</v>
      </c>
      <c r="AO96" s="3" t="str">
        <v>No dated final output / unknown trigger</v>
      </c>
      <c r="AP96" s="3" t="str"/>
      <c r="AQ96" s="21" t="str">
        <f>IF(AND(C96="Em atraso",ISNUMBER(D96)),COUNTIFS(Groups!$C$6:$C$127,"Em atraso",Groups!$D$6:$D$127,"&gt;"&amp;D96)+COUNTIFS($C$6:C96,"Em atraso",$D$6:D96,D96),"")</f>
      </c>
      <c r="AR96" s="21" t="n">
        <f>IF(COUNTIF($F$6:F96,F96)=1,1,0)</f>
        <v>1</v>
      </c>
    </row>
    <row r="97" ht="96" customHeight="1">
      <c r="A97" s="3" t="str">
        <v>GT-2025-041</v>
      </c>
      <c r="B97" s="3" t="str">
        <v>Grupo de trabalho — revisão do PANUSPF</v>
      </c>
      <c r="C97" s="3" t="str">
        <v>Sem informação pública</v>
      </c>
      <c r="D97" s="21" t="str">
        <f>IF(C97="Em atraso",IF(ISNUMBER(T97),MAX(0,Dashboard!$E$4-T97),""),IF(C97="Concluído com atraso",IF(AND(ISNUMBER(T97),ISNUMBER(AC97)),MAX(0,AC97-T97),""),IF(C97="Concluído no prazo",0,"")))</f>
      </c>
      <c r="E97" s="3" t="str">
        <v>XXV</v>
      </c>
      <c r="F97" s="3" t="str">
        <v>Despacho n.º 14507/2025</v>
      </c>
      <c r="G97" s="22" t="str">
        <v>Open DR act</v>
      </c>
      <c r="H97" s="20" t="d">
        <v>2025-12-05T00:00:00.000Z</v>
      </c>
      <c r="I97" s="20" t="d">
        <v>2025-11-28T00:00:00.000Z</v>
      </c>
      <c r="J97" s="20" t="d">
        <v>2025-12-06T00:00:00.000Z</v>
      </c>
      <c r="K97" s="3" t="str">
        <v>Ambiente e Energia e Agricultura e Mar - Gabinete do Secretário de Estado do Ambiente e Gabinete do Secretário de Estado da Agricultura</v>
      </c>
      <c r="L97" s="3" t="str">
        <v>a) Um representante da Direção-Geral de Alimentação e Veterinária (DGAV), que coordena;</v>
      </c>
      <c r="M97" s="3" t="str">
        <v>1 - É criado um grupo de trabalho, com a seguinte constituição:
a) Um representante da Direção-Geral de Alimentação e Veterinária (DGAV), que coordena;
b) Um representante da Direção-Geral de Agricultura e Desenvolvimento Rural;
c) Um representante de cada Comissão de Coordenação e Desenvolvimento Regional, I. P.;
d) Um representante do Instituto de Financiamento da Agricultura e Pescas, I. P.;
e) Um representante da Agência Portuguesa do Ambiente, I. P.;
f) Um representante do Instituto da Conservação da Natureza e das Florestas, I. P.;
g) Um representante do Instituto Nacional de Investigação Agrária e Veterinária, I. P.;
h) Um representante da Autoridade de Segurança Alimentar e Económica;
i) Um representante de cada Direção Regional da área da Agricultura das Regiões Autónomas dos Açores e da Madeira;
j) Um representante da Associação Nacional de Municípios Portugueses;
k) Um representante da Associação Nacional de Freguesias;
l) Um representante da Confederação dos Agricultores de Portugal;
m) Um representante da Confederação Nacional da Agricultura;
n) Um representante da Confederação das Cooperativas Agrícolas e do Crédito Agrícola de Portugal, C. C. R. L.;
o) Um representante da Associação dos Jovens Agricultores de Portugal;
p) Um representante da Confederação Nacional dos Jovens Agricultores e do Desenvolvimento Rural;
q) Um representante da Federação Nacional dos Apicultores de Portugal;
r) Um representante da Associação da Indústria da Ciência para a Proteção das Plantas;
s) Um representante da Associação de Grossistas de Produtos Químicos e Farmacêuticos;
t) Um representante da Associação Portuguesa de Produtores de Plantas e Flores Naturais;
u) Um representante da Associação Portuguesa de Greenkeepers.</v>
      </c>
      <c r="N97" s="3" t="str">
        <v>Agriculture / Environment</v>
      </c>
      <c r="O97" s="3" t="str">
        <v>Revise the national action plan for sustainable use of plant-protection products and conduct public consultation.</v>
      </c>
      <c r="P97" s="3" t="str">
        <v>1 - É criado um grupo de trabalho, com a seguinte constituição:
a) Um representante da Direção-Geral de Alimentação e Veterinária (DGAV), que coordena;
b) Um representante da Direção-Geral de Agricultura e Desenvolvimento Rural;
c) Um representante de cada Comissão de Coordenação e Desenvolvimento Regional, I. P.;
d) Um representante do Instituto de Financiamento da Agricultura e Pescas, I. P.;
e) Um representante da Agência Portuguesa do Ambiente, I. P.;
f) Um representante do Instituto da Conservação da Natureza e das Florestas, I. P.;
g) Um representante do Instituto Nacional de Investigação Agrária e Veterinária, I. P.;
h) Um representante da Autoridade de Segurança Alimentar e Económica;
i) Um representante de cada Direção Regional da área da Agricultura das Regiões Autónomas dos Açores e da Madeira;
j) Um representante da Associação Nacional de Municípios Portugueses;
k) Um representante da Associação Nacional de Freguesias;
l) Um representante da Confederação dos Agricultores de Portugal;
m) Um representante da Confederação Nacional da Agricultura;
n) Um representante da Confederação das Cooperativas Agrícolas e do Crédito Agrícola de Portugal, C. C. R. L.;
o) Um representante da Associação dos Jovens Agricultores de Portugal;
p) Um representante da Confederação Nacional dos Jovens Agricultores e do Desenvolvimento Rural;
q) Um representante da Federação Nacional dos Apicultores de Portugal;
r) Um representante da Associação da Indústria da Ciência para a Proteção das Plantas;
s) Um representante da Associação de Grossistas de Produtos Químicos e Farmacêuticos;
t) Um representante da Associação Portuguesa de Produtores de Plantas e Flores Naturais;
u) Um representante da Associação Portuguesa de Greenkeepers.</v>
      </c>
      <c r="Q97" s="3" t="str">
        <v>3 - Sempre que se mostre conveniente, podem ser convidados a integrar o grupo de trabalho, representantes de outras entidades públicas ou privadas, ou personalidades de reconhecido mérito nas matérias envolvidas, que o Grupo de Trabalho entenda serem úteis para a prossecução da sua missão.
4 - O grupo de trabalho tem como missão:
a) Preparar e submeter a consulta pública até 31 de dezembro de 2025 um projeto de PANUSPF revisto que inclua as correções, melhorias e recomendações derivadas da análise objetiva da execução do Plano decorrente da avaliação efetuada pela DGAV, na qualidade de entidade coordenadora dos PAN;
b) Proceder, no prazo de um mês após o termo do prazo da consulta pública do projeto do PANUSPF revisto, à entrega da versão final para aprovação pelos membros do Governo responsáveis pelas áreas do ambiente e da agricultura.
7 - A impossibilidade de participação nas reuniões agendadas não desobriga os membros do grupo de trabalho de apresentarem, no prazo que lhes for determinado pelo Grupo de Trabalho, os contributos para a prossecução da missão para o qual foi criado.</v>
      </c>
      <c r="R97" s="3" t="str">
        <v>2 - No prazo de cinco dias a contar da entrada em vigor do presente despacho:: 2025-12-11 — 2025-12-06 + 5 calendar days (monitoring convention). If CPA procedural counting applies: 2025-12-15.
a) Preparar e submeter a consulta pública até 31 de dezembro de 2025 um projeto de PANUSPF revisto q: 2025-12-31 — Explicit calendar date in the act.
b) Proceder, no prazo de um mês após o termo do prazo da consulta pública do projeto do PANUSPF revi: date not derivable — 1 mês after trigger: anchor not expressly specified; exact date cannot be verified.
5 - O Grupo de Trabalho reúne com a periodicidade necessária à boa prossecução dos trabalhos.: date not derivable — No uniquely dated deadline derivable from this clause; cadence or trigger is preserved.
7 - A impossibilidade de participação nas reuniões agendadas não desobriga os membros do grupo de tr: date not derivable — No uniquely dated deadline derivable from this clause; cadence or trigger is preserved.
Final report / last specified substantive output: 2025-12-31 — Fixed date / explicit year-end in creating act.
Illustrative consultation close: 2026-01-08 — Official notice: consultation starts 9 December 2025 for 30 days; calendar monitoring convention. Actual procedural close must be checked.
Illustrative final version: 2026-02-08 — Illustrative 8 January close + one calendar month; actual closure/receipt date unverified.</v>
      </c>
      <c r="S97" s="20" t="d">
        <v>2025-12-31T00:00:00.000Z</v>
      </c>
      <c r="T97" s="20" t="d">
        <v>2025-12-31T00:00:00.000Z</v>
      </c>
      <c r="U97" s="3" t="str">
        <v>Fixed date / explicit year-end in creating act.</v>
      </c>
      <c r="V97" s="20"/>
      <c r="W97" s="21" t="str">
        <f>IF(AND(C97="Em atraso",ISNUMBER(V97)),MAX(0,Dashboard!$E$4-V97),"")</f>
      </c>
      <c r="X97" s="3" t="str">
        <v>Unpaid; see the original clause for the scope of the exclusion.</v>
      </c>
      <c r="Y97" s="3" t="str">
        <v>9 - A participação no grupo de trabalho para a revisão do PANUSPF não confere direito a qualquer remuneração.</v>
      </c>
      <c r="Z97" s="3" t="str">
        <v>Delivery is officially confirmed, but the handover date is not public; timeliness cannot be classified.</v>
      </c>
      <c r="AA97" s="3" t="str">
        <v>https://diariodarepublica.pt/dr/detalhe/despacho/14507-2025-962955516
https://www.dgav.pt/destaques/noticias/abertura-de-consulta-publica-plano-de-acao-nacional-para-o-uso-sustentavel-de-produtos-fitofarmaceuticos-2025-2030-2-a-revisao/</v>
      </c>
      <c r="AB97" s="22" t="str">
        <v>Open evidence</v>
      </c>
      <c r="AC97" s="20"/>
      <c r="AD97" s="3" t="str">
        <v>Draft consultation opened 9 December 2025, within the 31 December draft deadline. Final version later approved, but final handover date is not stated.</v>
      </c>
      <c r="AE97" s="3" t="str">
        <v>PANUSPF approved by Portaria 119/2026/1, published 19 March 2026.</v>
      </c>
      <c r="AF97" s="3" t="str">
        <v>https://diariodarepublica.pt/dr/detalhe/portaria/119-2026-1074104065</v>
      </c>
      <c r="AG97" s="3" t="str"/>
      <c r="AH97" s="3" t="str">
        <v> Consultation announced for 30 days from 9 December 2025; calendar close benchmark 8 January 2026 and final-version benchmark 8 February 2026. Procedural counting / actual closure must be verified before assigning timeliness. Act provides automatic extinction on delivery; approval establishes output, not its exact delivery day. Descriptive label follows the Portuguese creating clause; the full act title and exact mandate are retained separately.</v>
      </c>
      <c r="AI97" s="3" t="str">
        <v>DR full-period singular/plural/technical phrase inventories; later acts reviewed. Outcome search: "grupo de trabalho" PANUSPF 2025 2030 consulta relatório conclusões after:2024-04-01 before:2026-10-11. Domains: portugal.gov.pt, gov.pt, parlamento.pt, diariodarepublica.pt, justica.gov.pt, dgav.pt, icnf.pt, anac.pt, dgeg.gov.pt. Official evidence/limitations recorded in this row.</v>
      </c>
      <c r="AJ97" s="20" t="d">
        <v>2026-10-10T00:00:00.000Z</v>
      </c>
      <c r="AK97" s="3" t="str">
        <v>2025-09-22; 2025-11-28</v>
      </c>
      <c r="AL97" s="3" t="str">
        <v>Day after publication.</v>
      </c>
      <c r="AM97" s="3" t="str">
        <v>Express name / creating-act summary; descriptive source label where no formal name is assigned.</v>
      </c>
      <c r="AN97" s="3" t="str">
        <v>Environment / Energy; Agriculture / Fisheries / Sea</v>
      </c>
      <c r="AO97" s="3" t="str">
        <v>Final report / last specified substantive output</v>
      </c>
      <c r="AP97" s="3" t="str"/>
      <c r="AQ97" s="21" t="str">
        <f>IF(AND(C97="Em atraso",ISNUMBER(D97)),COUNTIFS(Groups!$C$6:$C$127,"Em atraso",Groups!$D$6:$D$127,"&gt;"&amp;D97)+COUNTIFS($C$6:C97,"Em atraso",$D$6:D97,D97),"")</f>
      </c>
      <c r="AR97" s="21" t="n">
        <f>IF(COUNTIF($F$6:F97,F97)=1,1,0)</f>
        <v>1</v>
      </c>
    </row>
    <row r="98" ht="96" customHeight="1">
      <c r="A98" s="3" t="str">
        <v>GT-2025-042</v>
      </c>
      <c r="B98" s="3" t="str">
        <v>Grupo de Trabalho com o objetivo de definir</v>
      </c>
      <c r="C98" s="3" t="str">
        <v>Em atraso</v>
      </c>
      <c r="D98" s="21" t="n">
        <f>IF(C98="Em atraso",IF(ISNUMBER(T98),MAX(0,Dashboard!$E$4-T98),""),IF(C98="Concluído com atraso",IF(AND(ISNUMBER(T98),ISNUMBER(AC98)),MAX(0,AC98-T98),""),IF(C98="Concluído no prazo",0,"")))</f>
        <v>132</v>
      </c>
      <c r="E98" s="3" t="str">
        <v>XXV</v>
      </c>
      <c r="F98" s="3" t="str">
        <v>Despacho n.º 15275/2025</v>
      </c>
      <c r="G98" s="22" t="str">
        <v>Open DR act</v>
      </c>
      <c r="H98" s="20" t="d">
        <v>2025-12-23T00:00:00.000Z</v>
      </c>
      <c r="I98" s="20" t="d">
        <v>2025-11-18T00:00:00.000Z</v>
      </c>
      <c r="J98" s="20" t="d">
        <v>2025-12-24T00:00:00.000Z</v>
      </c>
      <c r="K98" s="3" t="str">
        <v>Justiça - Gabinete da Secretária de Estado da Justiça</v>
      </c>
      <c r="L98" s="3" t="str">
        <v>Conselho diretivo do Instituto de Gestão Financeira e Equipamentos da Justiça (IGFEJ).</v>
      </c>
      <c r="M98" s="3" t="str">
        <v>7 - O Grupo de Trabalho é constituído pelas seguintes entidades:
a) Na qualidade de entidades executivas:
i) Representante(s) do Ministério da Justiça;
ii) Representante(s) do conselho diretivo do IGFEJ, que exerce a função de entidade coordenadora;
iii) Representante(s) da Direção-Geral da Administração da Justiça (DGAJ);
iv) Representante(s) do Instituto de Registos e Notariado (IRN);
v) Representante(s) da Direção-Geral de Reinserção e Serviços Prisionais (DGRSP);
vi) Representante(s) da Polícia Judiciária (PJ);
vii) Representante(s) do Conselho Superior da Magistratura (CSM);
viii) Representante(s) do Conselho Superior dos Tribunais Administrativos e Fiscais (CSTAF);
ix) Representante(s) do Ministério Público (MP) - nomeadamente, da Procuradoria-Geral da República (PGR);
b) Na qualidade de entidades consultivas:
i) Representante(s) do Ministério das Finanças;
ii) Representante(s) da ESTAMO - Participações Imobiliárias, S. A.;
iii) Representante(s) da Câmara Municipal do Porto;
iv) Representante(s) do Conselho Regional do Porto da Ordem dos Advogados (CRP OA).</v>
      </c>
      <c r="N98" s="3" t="str">
        <v>Justice / Infrastructure</v>
      </c>
      <c r="O98" s="3" t="str">
        <v>Prepare a strategic plan for a future Porto Justice Campus, including a Barnahus facility.</v>
      </c>
      <c r="P98" s="3" t="str">
        <v>1 - A constituição de um Grupo de Trabalho com o objetivo de definir, elaborar e apresentar um Plano Estratégico de agregação dos serviços, organismos e tribunais, bem como a inclusão de futura Casa Barnahus, num futuro Campus da Justiça do Porto;</v>
      </c>
      <c r="Q98" s="3" t="str">
        <v>1 - A constituição de um Grupo de Trabalho com o objetivo de definir, elaborar e apresentar um Plano Estratégico de agregação dos serviços, organismos e tribunais, bem como a inclusão de futura Casa Barnahus, num futuro Campus da Justiça do Porto;
9 - Compete ao IGFEJ, da responsabilidade do seu conselho diretivo, e enquanto entidade coordenadora do Grupo de Trabalho, coordenar os trabalhos e reuniões associadas e a elaboração e apresentação do relatório referente ao Plano Estratégico. Assume também as funções de relator do Grupo de Trabalho.</v>
      </c>
      <c r="R98" s="3" t="str">
        <v>2 - O referido Plano Estratégico deve ser apresentado pelo presente Grupo de Trabalho, sob a forma d: 2026-05-31 — Explicit calendar date in the act.
12 - Na primeira reunião, o conselho diretivo do IGFEJ propõe ao Grupo de trabalho, para decisão, a : date not derivable — No uniquely dated deadline derivable from this clause; cadence or trigger is preserved.
Final report / last specified substantive output: 2026-05-31 — Fixed date / explicit year-end in creating act.</v>
      </c>
      <c r="S98" s="20" t="d">
        <v>2026-05-31T00:00:00.000Z</v>
      </c>
      <c r="T98" s="20" t="d">
        <v>2026-05-31T00:00:00.000Z</v>
      </c>
      <c r="U98" s="3" t="str">
        <v>Fixed date / explicit year-end in creating act.</v>
      </c>
      <c r="V98" s="20"/>
      <c r="W98" s="21" t="str">
        <f>IF(AND(C98="Em atraso",ISNUMBER(V98)),MAX(0,Dashboard!$E$4-V98),"")</f>
      </c>
      <c r="X98" s="3" t="str">
        <v>Unpaid; see the original clause for the scope of the exclusion.</v>
      </c>
      <c r="Y98" s="3" t="str">
        <v>14 - Os membros do Grupo de Trabalho não auferem remuneração.</v>
      </c>
      <c r="Z98" s="3" t="str">
        <v>Controlling benchmark has passed; no evidence of this output’s delivery identified in the reviewed acts and focused official-source outcome search.</v>
      </c>
      <c r="AA98" s="3" t="str">
        <v>https://diariodarepublica.pt/dr/detalhe/despacho/15275-2025-992393997</v>
      </c>
      <c r="AB98" s="22" t="str">
        <v>Open evidence</v>
      </c>
      <c r="AC98" s="20"/>
      <c r="AD98" s="3" t="str">
        <v>No delivery evidence identified.</v>
      </c>
      <c r="AE98" s="3" t="str">
        <v>Not independently verified.</v>
      </c>
      <c r="AF98" s="3" t="str"/>
      <c r="AG98" s="3" t="str"/>
      <c r="AH98" s="3" t="str"/>
      <c r="AI98" s="3" t="str">
        <v>DR full-period singular/plural/technical phrase inventories; later acts reviewed. Outcome search: "grupo de trabalho" Campus Justiça Porto Barnahus relatório conclusões after:2024-04-01 before:2026-10-11. Domains: portugal.gov.pt, gov.pt, parlamento.pt, diariodarepublica.pt, justica.gov.pt, dgav.pt, icnf.pt, anac.pt, dgeg.gov.pt. Official evidence/limitations recorded in this row.</v>
      </c>
      <c r="AJ98" s="20" t="d">
        <v>2026-10-10T00:00:00.000Z</v>
      </c>
      <c r="AK98" s="3" t="str">
        <v>2025-11-18</v>
      </c>
      <c r="AL98" s="3" t="str">
        <v>Day after publication.</v>
      </c>
      <c r="AM98" s="3" t="str">
        <v>Express name / creating-act summary; descriptive source label where no formal name is assigned.</v>
      </c>
      <c r="AN98" s="3" t="str">
        <v>Justice</v>
      </c>
      <c r="AO98" s="3" t="str">
        <v>Final report / last specified substantive output</v>
      </c>
      <c r="AP98" s="3" t="str">
        <v>Calendar monitoring benchmark; absence of public evidence is not proof of non-delivery.</v>
      </c>
      <c r="AQ98" s="21" t="n">
        <f>IF(AND(C98="Em atraso",ISNUMBER(D98)),COUNTIFS(Groups!$C$6:$C$127,"Em atraso",Groups!$D$6:$D$127,"&gt;"&amp;D98)+COUNTIFS($C$6:C98,"Em atraso",$D$6:D98,D98),"")</f>
        <v>52</v>
      </c>
      <c r="AR98" s="21" t="n">
        <f>IF(COUNTIF($F$6:F98,F98)=1,1,0)</f>
        <v>1</v>
      </c>
    </row>
    <row r="99" ht="96" customHeight="1">
      <c r="A99" s="3" t="str">
        <v>GT-2025-043</v>
      </c>
      <c r="B99" s="3" t="str">
        <v>Constituição do Grupo de Trabalho para a definição da Rede Nacional e Sistema Integrado para Transplante de Células Progenitoras Hematopoiéticas</v>
      </c>
      <c r="C99" s="3" t="str">
        <v>Em atraso</v>
      </c>
      <c r="D99" s="21" t="n">
        <f>IF(C99="Em atraso",IF(ISNUMBER(T99),MAX(0,Dashboard!$E$4-T99),""),IF(C99="Concluído com atraso",IF(AND(ISNUMBER(T99),ISNUMBER(AC99)),MAX(0,AC99-T99),""),IF(C99="Concluído no prazo",0,"")))</f>
        <v>164</v>
      </c>
      <c r="E99" s="3" t="str">
        <v>XXV</v>
      </c>
      <c r="F99" s="3" t="str">
        <v>Despacho n.º 15438/2025</v>
      </c>
      <c r="G99" s="22" t="str">
        <v>Open DR act</v>
      </c>
      <c r="H99" s="20" t="d">
        <v>2025-12-29T00:00:00.000Z</v>
      </c>
      <c r="I99" s="20" t="d">
        <v>2025-12-18T00:00:00.000Z</v>
      </c>
      <c r="J99" s="20" t="d">
        <v>2025-12-30T00:00:00.000Z</v>
      </c>
      <c r="K99" s="3" t="str">
        <v>Saúde - Gabinete da Secretária de Estado da Saúde</v>
      </c>
      <c r="L99" s="3" t="str">
        <v>a) Nuno Daniel Gaibino da Silva, coordenador nacional da transplantação do IPST, I. P., que preside, ou quem ele delegar;</v>
      </c>
      <c r="M99" s="3" t="str">
        <v>2 - Para efeitos de desenvolvimento de um protótipo de registo referido no número anterior é criado um grupo de trabalho constituído pelos seguintes elementos:
a) Nuno Daniel Gaibino da Silva, coordenador nacional da transplantação do IPST, I. P., que preside, ou quem ele delegar;
b) Ana Pires da Silva, jurista, encarregada de proteção de dados, do IPST, I. P.;
c) Eduardo Lima da Silva Espada, diretor médico do Centro Nacional de Dadores de Células Estaminais de Medula Óssea de Sangue Periférico ou de Cordão Umbilical (CEDACE) do IPST, I. P.;
d) Luís Manuel Pires Ramalhete, responsável técnico-científico pela área laboratorial da histocompatibilidade do Centro de Sangue e Transplantação de Lisboa, IPST, I. P.;
e) Pedro Manuel Freitas Henriques, coordenador do Gabinete de Tecnologias de Informação e Comunicação, IPST, I. P.;
f) Fernando Leal da Costa, em representação da Unidade de Transplante de Medula do Instituto Português de Oncologia (IPO) Lisboa;
g) João Mascarenhas Forjaz de Lacerda, em representação do Serviço de Hematologia e Transplante de Medula da Unidade Local de Saúde (ULS) de Santa Maria, E. P. E.;
h) Carlos Pinho Vaz, em representação do Serviço de Transplante de Medula Óssea do IPO Porto;
i) Catarina Isabel Batista Geraldes Santos, em representação da Unidade de Transplantes Hematopoiéticos da ULS de Coimbra, E. P. E.;
j) Paulo Jorge Monteiro da Silva Lúcio, em representação da Unidade de Hemato-oncologia da Fundação Champalimaud;
k) Maria Fátima Alves Costa, em representação da Unidade de Transplante de Medula da ULS de São José, E. P. E.;
l) Ricardo Jorge Sancio Moreira Pinto, em representação da Unidade de Transplante de Medula da ULS de São João, E. P. E.
6 - Incumbe ao Grupo de Trabalho, constituído pelo presente despacho, elaborar, no prazo de 120 dias contados da data da sua entrada em vigor, um relatório final que contenha a análise desenvolvida, as conclusões alcançadas e as propostas concretas previstas no número anterior.</v>
      </c>
      <c r="N99" s="3" t="str">
        <v>Health / Digital</v>
      </c>
      <c r="O99" s="3" t="str">
        <v>Develop a prototype integrated national registry for haematopoietic progenitor collection and transplantation.</v>
      </c>
      <c r="P99" s="3" t="str">
        <v>2 - Para efeitos de desenvolvimento de um protótipo de registo referido no número anterior é criado um grupo de trabalho constituído pelos seguintes elementos:
a) Nuno Daniel Gaibino da Silva, coordenador nacional da transplantação do IPST, I. P., que preside, ou quem ele delegar;
b) Ana Pires da Silva, jurista, encarregada de proteção de dados, do IPST, I. P.;
c) Eduardo Lima da Silva Espada, diretor médico do Centro Nacional de Dadores de Células Estaminais de Medula Óssea de Sangue Periférico ou de Cordão Umbilical (CEDACE) do IPST, I. P.;
d) Luís Manuel Pires Ramalhete, responsável técnico-científico pela área laboratorial da histocompatibilidade do Centro de Sangue e Transplantação de Lisboa, IPST, I. P.;
e) Pedro Manuel Freitas Henriques, coordenador do Gabinete de Tecnologias de Informação e Comunicação, IPST, I. P.;
f) Fernando Leal da Costa, em representação da Unidade de Transplante de Medula do Instituto Português de Oncologia (IPO) Lisboa;
g) João Mascarenhas Forjaz de Lacerda, em representação do Serviço de Hematologia e Transplante de Medula da Unidade Local de Saúde (ULS) de Santa Maria, E. P. E.;
h) Carlos Pinho Vaz, em representação do Serviço de Transplante de Medula Óssea do IPO Porto;
i) Catarina Isabel Batista Geraldes Santos, em representação da Unidade de Transplantes Hematopoiéticos da ULS de Coimbra, E. P. E.;
j) Paulo Jorge Monteiro da Silva Lúcio, em representação da Unidade de Hemato-oncologia da Fundação Champalimaud;
k) Maria Fátima Alves Costa, em representação da Unidade de Transplante de Medula da ULS de São José, E. P. E.;
l) Ricardo Jorge Sancio Moreira Pinto, em representação da Unidade de Transplante de Medula da ULS de São João, E. P. E.</v>
      </c>
      <c r="Q99" s="3" t="str">
        <v>5 - O Grupo de Trabalho tem como missão:
a) Proceder à avaliação da situação existente no domínio da transplantação de células progenitoras hematopoiéticas, nomeadamente, no que respeita à referenciação dos doentes, circuitos de informação, e sistemas de informação em prática, identificando os principais constrangimentos;
b) Definir as bases gerais, em termos de requisitos técnicos e funcionais, do RPTPH, que reflitam as necessidades reais, tendo em vista o desenvolvimento, por parte do IPST, I. P., das etapas iniciais de conceção de um protótipo de registo, e a sua futura implementação;
c) Elaborar uma proposta de regulamentação que defina a Rede Nacional de Colheita e Transplantação de Progenitores Hematopoiéticos, tendo em conta a melhor articulação entre os serviços de hematologia e as unidades de transplantação e demais serviços relevantes, e a necessidade de adequação da rede à prossecução dos objetivos da transplantação a nível nacional;
d) Elaborar uma proposta de lista única nacional de doentes candidatos a transplante de progenitores hematopoiéticos, definindo os respetivos critérios de inclusão, e todas as normas e procedimentos necessários para garantir uma gestão centralizada, transparente e eficiente desta lista de espera.
7 - Para efeitos do presente despacho, o Grupo de Trabalho poderá, nos termos das suas atribuições, promover a consulta de entidades ou personalidades de reconhecido mérito, bem como assegurar a colaboração dos serviços e organismos integrados no Ministério da Saúde, sempre que tal se revele necessário à prossecução dos trabalhos.</v>
      </c>
      <c r="R99" s="3" t="str">
        <v>g) Biovigilância, notificação de incidente e reações adversos graves, desde a seleção do dador até a: date not derivable — No uniquely dated deadline derivable from this clause; cadence or trigger is preserved.
6 - Incumbe ao Grupo de Trabalho, constituído pelo presente despacho, elaborar, no prazo de 120 dias: 2026-04-29 — 2025-12-30 + 120 calendar days (monitoring convention). If CPA procedural counting applies: 2026-06-23.
Final report / last specified substantive output: 2026-04-29 — effective 2025-12-30 + 120 calendar days; plain “dias” benchmark. Alternative working-day date: 2026-06-23.</v>
      </c>
      <c r="S99" s="20" t="d">
        <v>2026-04-29T00:00:00.000Z</v>
      </c>
      <c r="T99" s="20" t="d">
        <v>2026-04-29T00:00:00.000Z</v>
      </c>
      <c r="U99" s="3" t="str">
        <v>effective 2025-12-30 + 120 calendar days; plain “dias” benchmark. Alternative working-day date: 2026-06-23.</v>
      </c>
      <c r="V99" s="20" t="d">
        <v>2026-06-23T00:00:00.000Z</v>
      </c>
      <c r="W99" s="21" t="n">
        <f>IF(AND(C99="Em atraso",ISNUMBER(V99)),MAX(0,Dashboard!$E$4-V99),"")</f>
        <v>109</v>
      </c>
      <c r="X99" s="3" t="str">
        <v>Payment terms specified; see original clause.</v>
      </c>
      <c r="Y99" s="3" t="str">
        <v>8 - A participação no Grupo de Trabalho realiza-se sem que daí decorra qualquer direito a remuneração adicional, assegurando-se apenas o abono de ajudas de custo e de transporte pelas deslocações efetuadas, cujo encargo será suportado pelas instituições de origem dos respetivos membros, nos termos da legislação aplicável.</v>
      </c>
      <c r="Z99" s="3" t="str">
        <v>Controlling benchmark has passed; no evidence of this output’s delivery identified in the reviewed acts and focused official-source outcome search.</v>
      </c>
      <c r="AA99" s="3" t="str">
        <v>https://diariodarepublica.pt/dr/detalhe/despacho/15438-2025-992877961</v>
      </c>
      <c r="AB99" s="22" t="str">
        <v>Open evidence</v>
      </c>
      <c r="AC99" s="20"/>
      <c r="AD99" s="3" t="str">
        <v>No delivery evidence identified.</v>
      </c>
      <c r="AE99" s="3" t="str">
        <v>Not independently verified.</v>
      </c>
      <c r="AF99" s="3" t="str"/>
      <c r="AG99" s="3" t="str"/>
      <c r="AH99" s="3" t="str"/>
      <c r="AI99" s="3" t="str">
        <v>DR full-period singular/plural/technical phrase inventories; later acts reviewed. Outcome search: "grupo de trabalho" registo transplante progenitores hematopoiéticos relatório conclusões after:2024-04-01 before:2026-10-11. Domains: portugal.gov.pt, gov.pt, parlamento.pt, diariodarepublica.pt, justica.gov.pt, dgav.pt, icnf.pt, anac.pt, dgeg.gov.pt. Official evidence/limitations recorded in this row.</v>
      </c>
      <c r="AJ99" s="20" t="d">
        <v>2026-10-10T00:00:00.000Z</v>
      </c>
      <c r="AK99" s="3" t="str">
        <v>2025-12-18</v>
      </c>
      <c r="AL99" s="3" t="str">
        <v>Day after publication.</v>
      </c>
      <c r="AM99" s="3" t="str">
        <v>Express name / creating-act summary; descriptive source label where no formal name is assigned.</v>
      </c>
      <c r="AN99" s="3" t="str">
        <v>Health</v>
      </c>
      <c r="AO99" s="3" t="str">
        <v>Final report / last specified substantive output</v>
      </c>
      <c r="AP99" s="3" t="str">
        <v>Calendar monitoring benchmark; absence of public evidence is not proof of non-delivery.</v>
      </c>
      <c r="AQ99" s="21" t="n">
        <f>IF(AND(C99="Em atraso",ISNUMBER(D99)),COUNTIFS(Groups!$C$6:$C$127,"Em atraso",Groups!$D$6:$D$127,"&gt;"&amp;D99)+COUNTIFS($C$6:C99,"Em atraso",$D$6:D99,D99),"")</f>
        <v>50</v>
      </c>
      <c r="AR99" s="21" t="n">
        <f>IF(COUNTIF($F$6:F99,F99)=1,1,0)</f>
        <v>1</v>
      </c>
    </row>
    <row r="100" ht="96" customHeight="1">
      <c r="A100" s="3" t="str">
        <v>GT-2026-001</v>
      </c>
      <c r="B100" s="3" t="str">
        <v>Constituição do Grupo de Trabalho para a implementação da Medida de Assistência a Cabo Verde, no âmbito do Mecanismo Europeu de Apoio à Paz (MEAP)</v>
      </c>
      <c r="C100" s="3" t="str">
        <v>Sem informação pública</v>
      </c>
      <c r="D100" s="21" t="str">
        <f>IF(C100="Em atraso",IF(ISNUMBER(T100),MAX(0,Dashboard!$E$4-T100),""),IF(C100="Concluído com atraso",IF(AND(ISNUMBER(T100),ISNUMBER(AC100)),MAX(0,AC100-T100),""),IF(C100="Concluído no prazo",0,"")))</f>
      </c>
      <c r="E100" s="3" t="str">
        <v>XXV</v>
      </c>
      <c r="F100" s="3" t="str">
        <v>Despacho n.º 661/2026</v>
      </c>
      <c r="G100" s="22" t="str">
        <v>Open DR act</v>
      </c>
      <c r="H100" s="20" t="d">
        <v>2026-01-21T00:00:00.000Z</v>
      </c>
      <c r="I100" s="20" t="d">
        <v>2026-01-14T00:00:00.000Z</v>
      </c>
      <c r="J100" s="20" t="d">
        <v>2026-01-14T00:00:00.000Z</v>
      </c>
      <c r="K100" s="3" t="str">
        <v>Finanças e Defesa Nacional - Gabinete da Secretária de Estado da Administração Pública e Gabinete do Secretário de Estado Adjunto e da Política da Defesa Nacional</v>
      </c>
      <c r="L100" s="3" t="str">
        <v>4 - Determinar que o GT-MEAP/CV é coordenado por um oficial general designado pela Marinha nos termos da alínea e) do n.º 2 do presente despacho.</v>
      </c>
      <c r="M100" s="3" t="str">
        <v>2 - Determinar que o GT-MEAP/CV é constituído por representantes das seguintes entidades:
a) Direção-Geral de Armamento e Património da Defesa Nacional (DGAPDN), à qual compete acompanhar a adequada execução e coordenação geral das atividades do projeto, conforme estipulado no protocolo para a implementação da Medida de Assistência e no Acordo de Contribuição celebrado com a Comissão Europeia e eventuais adendas que venham a ser celebradas, bem como a supervisão da execução das tarefas atribuídas à idD - Portugal Defence, S. A., e a validação e verificação de todas as operações relacionadas com os processos de aquisição;
b) Direção-Geral de Política de Defesa Nacional (DGPDN) para apoio no âmbito das áreas da sua competência;
c) Secretaria-Geral do Ministério da Defesa Nacional para apoio no âmbito das áreas da sua competência;
d) Estado-Maior-General das Forças Armadas para apoio no âmbito das áreas da sua competência;
e) Marinha para apoiar na execução técnica e de gestão do projeto relativo à aquisição da embarcação;
f) Força Aérea e Autoridade Aeronáutica Nacional para apoiar na elaboração dos requisitos relativos à formação de mecânicos e de pilotos de aeronaves;
g) idD - Portugal Defence, S. A., para executar as tarefas inerentes à coordenação e gestão operacional do projeto.</v>
      </c>
      <c r="N100" s="3" t="str">
        <v>Defence</v>
      </c>
      <c r="O100" s="3" t="str">
        <v>Coordinate and support implementation of EU Peace Facility assistance to Cabo Verde.</v>
      </c>
      <c r="P100" s="3" t="str">
        <v>1 - Constituir um Grupo de Trabalho com o objetivo de acompanhar e apoiar a execução do contrato celebrado com a Comissão Europeia para a implementação da Medida de Assistência a Cabo Verde no âmbito do Mecanismo Europeu de Apoio à Paz (GT-MEAP/CV).</v>
      </c>
      <c r="Q100" s="3" t="str">
        <v>1 - Constituir um Grupo de Trabalho com o objetivo de acompanhar e apoiar a execução do contrato celebrado com a Comissão Europeia para a implementação da Medida de Assistência a Cabo Verde no âmbito do Mecanismo Europeu de Apoio à Paz (GT-MEAP/CV).</v>
      </c>
      <c r="R100" s="3" t="str">
        <v>3 - Determinar que as entidades referidas no número anterior comunicam à DGAPDN os seus representant: 2026-01-21 — 2026-01-14 + 5 working days; anchor excluded, weekends and national statutory holidays excluded.</v>
      </c>
      <c r="S100" s="20"/>
      <c r="T100" s="20"/>
      <c r="U100" s="3" t="str"/>
      <c r="V100" s="20"/>
      <c r="W100" s="21" t="str">
        <f>IF(AND(C100="Em atraso",ISNUMBER(V100)),MAX(0,Dashboard!$E$4-V100),"")</f>
      </c>
      <c r="X100" s="3" t="str">
        <v>Unpaid group participation; expense/allowance terms are stated in the original clause.</v>
      </c>
      <c r="Y100" s="3" t="str">
        <v>8 - Determinar que os membros do GT-MEAP/CV não auferem qualquer remuneração ou senhas de presença pelo trabalho desenvolvido neste âmbito, sem prejuízo do abono de ajudas de custo e de transporte pelas deslocações em serviço público, nos termos gerais.</v>
      </c>
      <c r="Z100" s="3" t="str">
        <v>No dated final-output deadline / public trigger date, and delivery cannot be verified.</v>
      </c>
      <c r="AA100" s="3" t="str">
        <v>https://diariodarepublica.pt/dr/detalhe/despacho/661-2026-1016752446</v>
      </c>
      <c r="AB100" s="22" t="str">
        <v>Open evidence</v>
      </c>
      <c r="AC100" s="20"/>
      <c r="AD100" s="3" t="str">
        <v>No delivery evidence identified.</v>
      </c>
      <c r="AE100" s="3" t="str">
        <v>Not independently verified.</v>
      </c>
      <c r="AF100" s="3" t="str"/>
      <c r="AG100" s="3" t="str"/>
      <c r="AH100" s="3" t="str"/>
      <c r="AI100" s="3" t="str">
        <v>DR full-period singular/plural/technical phrase inventories; later acts reviewed. Outcome search: "grupo de trabalho" Cabo Verde Mecanismo Europeu Apoio Paz relatório conclusões after:2024-04-01 before:2026-10-11. Domains: portugal.gov.pt, gov.pt, parlamento.pt, diariodarepublica.pt, justica.gov.pt, dgav.pt, icnf.pt, anac.pt, dgeg.gov.pt. Official evidence/limitations recorded in this row.</v>
      </c>
      <c r="AJ100" s="20" t="d">
        <v>2026-10-10T00:00:00.000Z</v>
      </c>
      <c r="AK100" s="3" t="str">
        <v>2026-01-08; 2026-01-14</v>
      </c>
      <c r="AL100" s="3" t="str">
        <v>Latest signature used where multiple signatures occur.</v>
      </c>
      <c r="AM100" s="3" t="str">
        <v>Express name / creating-act summary; descriptive source label where no formal name is assigned.</v>
      </c>
      <c r="AN100" s="3" t="str">
        <v>Finance; Defence</v>
      </c>
      <c r="AO100" s="3" t="str">
        <v>No dated final output / unknown trigger</v>
      </c>
      <c r="AP100" s="3" t="str"/>
      <c r="AQ100" s="21" t="str">
        <f>IF(AND(C100="Em atraso",ISNUMBER(D100)),COUNTIFS(Groups!$C$6:$C$127,"Em atraso",Groups!$D$6:$D$127,"&gt;"&amp;D100)+COUNTIFS($C$6:C100,"Em atraso",$D$6:D100,D100),"")</f>
      </c>
      <c r="AR100" s="21" t="n">
        <f>IF(COUNTIF($F$6:F100,F100)=1,1,0)</f>
        <v>1</v>
      </c>
    </row>
    <row r="101" ht="96" customHeight="1">
      <c r="A101" s="3" t="str">
        <v>GT-2026-002</v>
      </c>
      <c r="B101" s="3" t="str">
        <v>Grupo de Trabalho para a Valorização dos Calceteiros e da Calçada Portuguesa, adiante designado por Grupo de Trabalho</v>
      </c>
      <c r="C101" s="3" t="str">
        <v>Prorrogado</v>
      </c>
      <c r="D101" s="21" t="str">
        <f>IF(C101="Em atraso",IF(ISNUMBER(T101),MAX(0,Dashboard!$E$4-T101),""),IF(C101="Concluído com atraso",IF(AND(ISNUMBER(T101),ISNUMBER(AC101)),MAX(0,AC101-T101),""),IF(C101="Concluído no prazo",0,"")))</f>
      </c>
      <c r="E101" s="3" t="str">
        <v>XXV</v>
      </c>
      <c r="F101" s="3" t="str">
        <v>Despacho n.º 831/2026</v>
      </c>
      <c r="G101" s="22" t="str">
        <v>Open DR act</v>
      </c>
      <c r="H101" s="20" t="d">
        <v>2026-01-26T00:00:00.000Z</v>
      </c>
      <c r="I101" s="20" t="d">
        <v>2026-01-19T00:00:00.000Z</v>
      </c>
      <c r="J101" s="20"/>
      <c r="K101" s="3" t="str">
        <v>Trabalho, Solidariedade e Segurança Social e Cultura, Juventude e Desporto - Gabinete da Ministra do Trabalho, Solidariedade e Segurança Social e Gabinete da Ministra da Cultura, Juventude e Desporto</v>
      </c>
      <c r="L101" s="3" t="str">
        <v>a) Cultura, que preside;</v>
      </c>
      <c r="M101" s="3" t="str">
        <v>5 - O Grupo de Trabalho é composto por representantes designados pelo membro do Governo com a tutela de cada uma das seguintes áreas governativas:
a) Cultura, que preside;
b) Trabalho, Solidariedade e Segurança Social.</v>
      </c>
      <c r="N101" s="3" t="str">
        <v>Culture / Labour</v>
      </c>
      <c r="O101" s="3" t="str">
        <v>Recommend measures to preserve Portuguese paving and support the sustainability of the paving profession.</v>
      </c>
      <c r="P101" s="3" t="str">
        <v>1 - É criado o Grupo de Trabalho para a Valorização dos Calceteiros e da Calçada Portuguesa, adiante designado por Grupo de Trabalho.</v>
      </c>
      <c r="Q101" s="3" t="str">
        <v>2 - O Grupo de Trabalho tem por missão analisar, propor e articular medidas de salvaguarda, valorização e sustentabilidade da profissão de calceteiro e da Calçada Portuguesa, assegurando uma abordagem integrada e coordenada entre as diferentes áreas governativas.
3 - Constituem objetivos do Grupo de Trabalho, designadamente:
a) Avaliar a classificação de calçadas artísticas de valor excecional e a definição de normas de intervenção e boas práticas;
b) Propor medidas de salvaguarda do património cultural imaterial associado à Calçada Portuguesa;
c) Propor um modelo formativo estruturado;
d) Avaliar as condições de trabalho dos calceteiros e dos calceteiros artísticos;
e) Promover a articulação entre entidades públicas, autarquias, instituições de formação profissional e associações do setor.</v>
      </c>
      <c r="R101" s="3" t="str">
        <v>8 - O Grupo de Trabalho apresenta um relatório final com propostas e recomendações de intervenção le: date not derivable — No uniquely dated deadline derivable from this clause; cadence or trigger is preserved.
9 - O Grupo de Trabalho tem natureza temporária e vigora até à apresentação do relatório referido no: date not derivable — No uniquely dated deadline derivable from this clause; cadence or trigger is preserved.
11 - Os representantes das entidades referidas no n.º 5 são designados no prazo máximo de 10 dias ap: date not derivable — 10 dias after trigger: Entry into force ; exact date cannot be verified.
Extended final report: 6 months from entry into force: date not derivable — Six months from extension’s entry into force, which is not specified in Despacho 9701/2026. No exact date inferred.</v>
      </c>
      <c r="S101" s="20"/>
      <c r="T101" s="20"/>
      <c r="U101" s="3" t="str">
        <v>Six months from extension’s entry into force, which is not specified in Despacho 9701/2026. No exact date inferred.</v>
      </c>
      <c r="V101" s="20"/>
      <c r="W101" s="21" t="str">
        <f>IF(AND(C101="Em atraso",ISNUMBER(V101)),MAX(0,Dashboard!$E$4-V101),"")</f>
      </c>
      <c r="X101" s="3" t="str">
        <v>Unpaid group participation; expense/allowance terms are stated in the original clause.</v>
      </c>
      <c r="Y101" s="3" t="str">
        <v>7 - A participação no Grupo de Trabalho não confere aos respetivos membros nem a quem com ele colabora o direito a qualquer prestação ao pagamento de qualquer remuneração, independentemente da respetiva natureza, designadamente a título de remuneração, compensação, subsídio, senhas de presença ou ajudas de custo, nem dá lugar à assunção de qualquer encargo adicional.</v>
      </c>
      <c r="Z101" s="3" t="str">
        <v>Mandate formally renewed; no independently verified delivery date.</v>
      </c>
      <c r="AA101" s="3" t="str">
        <v>https://diariodarepublica.pt/dr/detalhe/despacho/831-2026-1022554176
https://diariodarepublica.pt/dr/detalhe/despacho/9701-2026-1153917423</v>
      </c>
      <c r="AB101" s="22" t="str">
        <v>Open evidence</v>
      </c>
      <c r="AC101" s="20"/>
      <c r="AD101" s="3" t="str">
        <v>No delivery evidence identified.</v>
      </c>
      <c r="AE101" s="3" t="str">
        <v>Not independently verified.</v>
      </c>
      <c r="AF101" s="3" t="str"/>
      <c r="AG101" s="3" t="str">
        <v>Despacho n.º 9701/2026, de 3 de agosto — https://diariodarepublica.pt/dr/detalhe/despacho/9701-2026-1153917423</v>
      </c>
      <c r="AH101" s="3" t="str">
        <v> Original act reads “deis meses”, apparently a typographical error. Extension specifies six months, but does not specify its entry date; exact due date requires clarification.</v>
      </c>
      <c r="AI101" s="3" t="str">
        <v>DR full-period singular/plural/technical phrase inventories; later acts reviewed. Outcome search: "grupo de trabalho" calceteiros calçada portuguesa relatório conclusões after:2024-04-01 before:2026-10-11. Domains: portugal.gov.pt, gov.pt, parlamento.pt, diariodarepublica.pt, justica.gov.pt, dgav.pt, icnf.pt, anac.pt, dgeg.gov.pt. Official evidence/limitations recorded in this row.</v>
      </c>
      <c r="AJ101" s="20" t="d">
        <v>2026-10-10T00:00:00.000Z</v>
      </c>
      <c r="AK101" s="3" t="str">
        <v>2026-01-19</v>
      </c>
      <c r="AL101" s="3" t="str">
        <v>Not specified in act; no statutory default inferred.</v>
      </c>
      <c r="AM101" s="3" t="str">
        <v>Express name / creating-act summary; descriptive source label where no formal name is assigned.</v>
      </c>
      <c r="AN101" s="3" t="str">
        <v>Labour / Social security; Culture; Youth / Sport</v>
      </c>
      <c r="AO101" s="3" t="str">
        <v>No dated final output / unknown trigger</v>
      </c>
      <c r="AP101" s="3" t="str"/>
      <c r="AQ101" s="21" t="str">
        <f>IF(AND(C101="Em atraso",ISNUMBER(D101)),COUNTIFS(Groups!$C$6:$C$127,"Em atraso",Groups!$D$6:$D$127,"&gt;"&amp;D101)+COUNTIFS($C$6:C101,"Em atraso",$D$6:D101,D101),"")</f>
      </c>
      <c r="AR101" s="21" t="n">
        <f>IF(COUNTIF($F$6:F101,F101)=1,1,0)</f>
        <v>1</v>
      </c>
    </row>
    <row r="102" ht="96" customHeight="1">
      <c r="A102" s="3" t="str">
        <v>GT-2026-003</v>
      </c>
      <c r="B102" s="3" t="str">
        <v>Grupo de trabalho — análise do ecossistema nacional de investigação e inovação</v>
      </c>
      <c r="C102" s="3" t="str">
        <v>Sem informação pública</v>
      </c>
      <c r="D102" s="21" t="str">
        <f>IF(C102="Em atraso",IF(ISNUMBER(T102),MAX(0,Dashboard!$E$4-T102),""),IF(C102="Concluído com atraso",IF(AND(ISNUMBER(T102),ISNUMBER(AC102)),MAX(0,AC102-T102),""),IF(C102="Concluído no prazo",0,"")))</f>
      </c>
      <c r="E102" s="3" t="str">
        <v>XXV</v>
      </c>
      <c r="F102" s="3" t="str">
        <v>Despacho n.º 1994/2026</v>
      </c>
      <c r="G102" s="22" t="str">
        <v>Open DR act</v>
      </c>
      <c r="H102" s="20" t="d">
        <v>2026-02-17T00:00:00.000Z</v>
      </c>
      <c r="I102" s="20" t="d">
        <v>2026-02-06T00:00:00.000Z</v>
      </c>
      <c r="J102" s="20" t="d">
        <v>2026-02-06T00:00:00.000Z</v>
      </c>
      <c r="K102" s="3" t="str">
        <v>Economia e Coesão Territorial e Educação, Ciência e Inovação - Gabinete do Ministro da Economia e da Coesão Territorial e Gabinete do Ministro da Educação, Ciência e Inovação</v>
      </c>
      <c r="L102" s="3" t="str">
        <v>a) Eugénio Campos Ferreira, professor catedrático da Universidade do Minho, que coordena os trabalhos do grupo e que deve, em conjunto com as restantes individualidades, assegurar o agendamento das reuniões e a execução dos trabalhos;</v>
      </c>
      <c r="M102" s="3" t="str">
        <v>3 - A análise a desenvolver pelo grupo de trabalho deve incidir, de forma integrada e sistemática, sobre:
a) A capacidade científica instalada, incluindo recursos humanos, unidades de I&amp;D e infraestruturas científicas e tecnológicas;
b) A capacidade tecnológica, de inovação e de interface, incluindo estruturas de transferência de conhecimento e empresas com atividade de I&amp;D;
c) Os resultados científicos e tecnológicos e mecanismos de valorização do conhecimento com impacto na investigação e inovação;
d) O posicionamento internacional do sistema nacional de ciência, tecnologia e inovação.
6 - O grupo de trabalho é composto pelas seguintes individualidades:
a) Eugénio Campos Ferreira, professor catedrático da Universidade do Minho, que coordena os trabalhos do grupo e que deve, em conjunto com as restantes individualidades, assegurar o agendamento das reuniões e a execução dos trabalhos;
b) Paulo Jorge Ferreira, presidente do Conselho de Reitores das Universidades Portuguesas (CRUP);
c) Luís Loures, presidente do Conselho Coordenador dos Institutos Superiores Politécnicos (CCISP);
d) José Francisco Rodrigues, presidente da Academia das Ciências de Lisboa;
e) Pedro Bizarro, cofundador e diretor científico da Feedzai;
f) Jorge Portugal, diretor-geral da COTEC Portugal - Associação Empresarial para a Inovação.</v>
      </c>
      <c r="N102" s="3" t="str">
        <v>Science / Economy</v>
      </c>
      <c r="O102" s="3" t="str">
        <v>Produce a quantitative assessment of Portugal’s research and innovation ecosystem to support AI2 and institutional reform.</v>
      </c>
      <c r="P102" s="3" t="str">
        <v>1 - É criado um grupo de trabalho com a missão de proceder à análise do ecossistema nacional de investigação e inovação.</v>
      </c>
      <c r="Q102" s="3" t="str">
        <v>1 - É criado um grupo de trabalho com a missão de proceder à análise do ecossistema nacional de investigação e inovação.
2 - O grupo de trabalho prossegue o objetivo de realizar uma análise quantitativa das capacidades instaladas e das dinâmicas do ecossistema de investigação e inovação, destinada a:
a) Apoiar os trabalhos de planeamento estratégico da AI2;
b) Fornecer evidência quantitativa estruturada que fundamente o conteúdo da futura revisão do regime jurídico das instituições que se dedicam à I&amp;I, bem como dos princípios gerais de relação com outros intervenientes do sistema nacional de ciência, tecnologia e inovação, incluindo a respetiva avaliação, reconhecimento e financiamento.
7 - Para cumprimento da sua missão, e consoante as matérias em discussão em cada momento, o grupo de trabalho pode ainda consultar e solicitar, a todo o momento, a participação nos trabalhos do grupo de trabalho de membros do Conselho Nacional de Ciência, Tecnologia e Inovação, de peritos e representantes do setor da ciência e da inovação ou de outras entidades públicas ou privadas, associações, especialistas académicos ou outras personalidades ou entidades da sociedade civil de reconhecido mérito, sempre que tal se revele pertinente para o cumprimento da sua missão.</v>
      </c>
      <c r="R102" s="3" t="str">
        <v>5 - O grupo de trabalho, até ao dia 24 de fevereiro, produz e apresenta às áreas governativas da Eco: date not derivable — No uniquely dated deadline derivable from this clause; cadence or trigger is preserved.
Final report / last specified substantive output: 2026-02-24 — Fixed date / explicit year-end in creating act.</v>
      </c>
      <c r="S102" s="20" t="d">
        <v>2026-02-24T00:00:00.000Z</v>
      </c>
      <c r="T102" s="20" t="d">
        <v>2026-02-24T00:00:00.000Z</v>
      </c>
      <c r="U102" s="3" t="str">
        <v>Fixed date / explicit year-end in creating act.</v>
      </c>
      <c r="V102" s="20"/>
      <c r="W102" s="21" t="str">
        <f>IF(AND(C102="Em atraso",ISNUMBER(V102)),MAX(0,Dashboard!$E$4-V102),"")</f>
      </c>
      <c r="X102" s="3" t="str">
        <v>Unpaid group participation; expense/allowance terms are stated in the original clause.</v>
      </c>
      <c r="Y102" s="3" t="str">
        <v>9 - Aos membros do grupo de trabalho e às pessoas que com ele colaborem não é devido o pagamento de qualquer remuneração, independentemente da respetiva natureza, designadamente a título de remuneração, compensação, subsídio ou senhas de presença, pelo trabalho desenvolvido, e não dá lugar à assunção de quaisquer encargos adicionais, sem prejuízo de eventuais encargos relativos a despesas de deslocação poderem ser suportados, nos termos da legislação em vigor, pelos respetivos serviços de origem.</v>
      </c>
      <c r="Z102" s="3" t="str">
        <v>Delivery is officially confirmed, but the handover date is not public; timeliness cannot be classified.</v>
      </c>
      <c r="AA102" s="3" t="str">
        <v>https://diariodarepublica.pt/dr/detalhe/despacho/1994-2026-1051076689
https://portugal.gov.pt/pt/gc25/comunicacao/comunicados/governo-lanca-grande-debate-nacional-para-definicao-de-prioridades-de-investigacao-e-inovacao-no-ambito-da-ai2</v>
      </c>
      <c r="AB102" s="22" t="str">
        <v>Open evidence</v>
      </c>
      <c r="AC102" s="20"/>
      <c r="AD102" s="3" t="str">
        <v>Government presents the group’s analysis in its subsequent national research debate; report handover date not stated.</v>
      </c>
      <c r="AE102" s="3" t="str">
        <v>Policy implementation not independently verified.</v>
      </c>
      <c r="AF102" s="3" t="str"/>
      <c r="AG102" s="3" t="str"/>
      <c r="AH102" s="3" t="str">
        <v> Descriptive label follows the Portuguese creating clause; the full act title and exact mandate are retained separately.</v>
      </c>
      <c r="AI102" s="3" t="str">
        <v>DR full-period singular/plural/technical phrase inventories; later acts reviewed. Outcome search: "grupo de trabalho" ecossistema investigação inovação AI2 relatório conclusões after:2024-04-01 before:2026-10-11. Domains: portugal.gov.pt, gov.pt, parlamento.pt, diariodarepublica.pt, justica.gov.pt, dgav.pt, icnf.pt, anac.pt, dgeg.gov.pt. Official evidence/limitations recorded in this row.</v>
      </c>
      <c r="AJ102" s="20" t="d">
        <v>2026-10-10T00:00:00.000Z</v>
      </c>
      <c r="AK102" s="3" t="str">
        <v>2026-01-31; 2026-02-06</v>
      </c>
      <c r="AL102" s="3" t="str">
        <v>Latest signature used where multiple signatures occur.</v>
      </c>
      <c r="AM102" s="3" t="str">
        <v>Express name / creating-act summary; descriptive source label where no formal name is assigned.</v>
      </c>
      <c r="AN102" s="3" t="str">
        <v>Education / Science; Economy; Territorial cohesion</v>
      </c>
      <c r="AO102" s="3" t="str">
        <v>Final report / last specified substantive output</v>
      </c>
      <c r="AP102" s="3" t="str"/>
      <c r="AQ102" s="21" t="str">
        <f>IF(AND(C102="Em atraso",ISNUMBER(D102)),COUNTIFS(Groups!$C$6:$C$127,"Em atraso",Groups!$D$6:$D$127,"&gt;"&amp;D102)+COUNTIFS($C$6:C102,"Em atraso",$D$6:D102,D102),"")</f>
      </c>
      <c r="AR102" s="21" t="n">
        <f>IF(COUNTIF($F$6:F102,F102)=1,1,0)</f>
        <v>1</v>
      </c>
    </row>
    <row r="103" ht="96" customHeight="1">
      <c r="A103" s="3" t="str">
        <v>GT-2026-004</v>
      </c>
      <c r="B103" s="3" t="str">
        <v>grupo de trabalho interministerial para a definição das linhas orientadoras e acompanhamento dos apoios ao setor da Habitação Acessível no Portugal 2030</v>
      </c>
      <c r="C103" s="3" t="str">
        <v>Em curso – dentro do prazo</v>
      </c>
      <c r="D103" s="21" t="str">
        <f>IF(C103="Em atraso",IF(ISNUMBER(T103),MAX(0,Dashboard!$E$4-T103),""),IF(C103="Concluído com atraso",IF(AND(ISNUMBER(T103),ISNUMBER(AC103)),MAX(0,AC103-T103),""),IF(C103="Concluído no prazo",0,"")))</f>
      </c>
      <c r="E103" s="3" t="str">
        <v>XXV</v>
      </c>
      <c r="F103" s="3" t="str">
        <v>Despacho n.º 3089/2026</v>
      </c>
      <c r="G103" s="22" t="str">
        <v>Open DR act</v>
      </c>
      <c r="H103" s="20" t="d">
        <v>2026-03-11T00:00:00.000Z</v>
      </c>
      <c r="I103" s="20" t="d">
        <v>2026-03-03T00:00:00.000Z</v>
      </c>
      <c r="J103" s="20" t="d">
        <v>2026-03-03T00:00:00.000Z</v>
      </c>
      <c r="K103" s="3" t="str">
        <v>Presidência do Conselho de Ministros e Economia e Coesão Territorial - Gabinete do Secretário de Estado do Planeamento e Desenvolvimento Regional e Gabinete da Secretária de Estado da Habitação</v>
      </c>
      <c r="L103" s="3" t="str">
        <v>a) Um elemento da Agência para o Desenvolvimento e Coesão, I. P. (Agência, I. P.), que coordena;
7 - O grupo de trabalho reúne com a periodicidade necessária ao cumprimento das suas funções, por iniciativa do respetivo coordenador.</v>
      </c>
      <c r="M103" s="3" t="str">
        <v>4 - O grupo de trabalho é constituído por:
a) Um elemento da Agência para o Desenvolvimento e Coesão, I. P. (Agência, I. P.), que coordena;
b) Um membro do Gabinete do Secretário de Estado do Planeamento e Desenvolvimento Regional;
c) Um membro do Gabinete da Secretária de Estado da Habitação;
d) Um representante da autoridade de gestão dos Programas Regionais do Norte, do Centro, do Alentejo, do Algarve, dos Açores e da Madeira;
e) Um representante do Instituto da Habitação e da Reabilitação Urbana, I. P.;
f) Um representante da Estrutura de Missão Recuperar Portugal (EMRP).
9 - A constituição e o funcionamento do grupo de trabalho não conferem aos elementos que o integram, ou que com ele colaboram, o direito ao pagamento de qualquer remuneração ou abono, nem implica a assunção de qualquer encargo adicional.</v>
      </c>
      <c r="N103" s="3" t="str">
        <v>Housing / EU funds</v>
      </c>
      <c r="O103" s="3" t="str">
        <v>Coordinate Portugal 2030 investment guidelines and support for affordable housing.</v>
      </c>
      <c r="P103" s="3" t="str">
        <v>1 - É criado um grupo de trabalho para a habitação acessível, que tem como missão definir linhas orientadoras para os investimentos a apoiar pelo Portugal 2030 no setor da Habitação Acessível, promover a articulação e disponibilização de informação necessária à adequada preparação dos instrumentos e processos para seleção dos investimentos neste domínio e promover o seu acompanhamento.</v>
      </c>
      <c r="Q103" s="3" t="str">
        <v>1 - É criado um grupo de trabalho para a habitação acessível, que tem como missão definir linhas orientadoras para os investimentos a apoiar pelo Portugal 2030 no setor da Habitação Acessível, promover a articulação e disponibilização de informação necessária à adequada preparação dos instrumentos e processos para seleção dos investimentos neste domínio e promover o seu acompanhamento.
2 - O grupo de trabalho tem por objetivo promover a articulação entre as entidades relevantes, de forma a assegurar que a implementação da nova prioridade estratégica da habitação acessível, no âmbito dos programas do Portugal 2030, decorre de modo célere, eficiente e coerente.
3 - Compete ao grupo de trabalho, designadamente:
a) Identificar as operações com maturidade que constituam oportunidades para serem acolhidas no quadro do apoio à habitação acessível no quadro do Portugal 2030;
b) Mapear os instrumentos de política pública em curso em Portugal e apoiar as entidades responsáveis na elaboração de avisos para apresentação de candidaturas nos objetivos específicos do Portugal 2030 relacionados com o setor da habitação acessível, garantindo, designadamente, o seu alinhamento com as orientações estratégicas nacionais e/ou regionais existentes para aquele setor e capitalizando a experiência dos diversos atores nesta matéria, nomeadamente no quadro da implementação do Plano de Recuperação e Resiliência;
c) Contribuir para o alinhamento das condições de financiamento e para a preparação e harmonização dos critérios de seleção das operações, designadamente considerando outros instrumentos de financiamento disponíveis (prosseguindo o objetivo de maximização do financiamento comunitário);
d) Acompanhar a implementação global dos objetivos específicos em causa e das operações apoiadas, incluindo a identificação de progressos, estrangulamentos, medidas corretivas e das melhores práticas;
e) Aferir da necessidade e propor medidas de capacitação que permitam melhorar e acelerar a execução dos objetivos específicos associados ao setor da habitação acessível.
5 - Sem prejuízo do disposto no número anterior, o grupo de trabalho pode convidar representantes de outros serviços ou entidades, nacionais ou estrangeiras, cujo contributo seja considerado relevante para a prossecução da respetiva missão.
7 - O grupo de trabalho reúne com a periodicidade necessária ao cumprimento das suas funções, por iniciativa do respetivo coordenador.
8 - A articulação do grupo de trabalho com o Comité de Acompanhamento dos programas do Portugal 2030 é assegurada nos termos da alínea d) do n.º 6 do artigo 21.º do Decreto-Lei n.º 5/2023, sempre que a participação nos respetivos trabalhos se revele necessária, sem prejuízo da preparação e partilha de informação e de contributos técnicos relevantes para a prossecução da respetiva missão.
11 - O grupo de trabalho extingue-se em 31 de dezembro de 2030, salvo despacho que determine o prolongamento da sua missão.</v>
      </c>
      <c r="R103" s="3" t="str">
        <v>7 - O grupo de trabalho reúne com a periodicidade necessária ao cumprimento das suas funções, por in: date not derivable — No uniquely dated deadline derivable from this clause; cadence or trigger is preserved.
10 - As entidades referidas no n.º 4 devem indicar à Agência, I. P., até 5 dias após a publicação do: 2026-03-16 — 2026-03-11 + 5 calendar days (monitoring convention). If CPA procedural counting applies: 2026-03-18.
Mandate end: 2030-12-31 — Fixed date / explicit year-end in creating act.</v>
      </c>
      <c r="S103" s="20" t="d">
        <v>2030-12-31T00:00:00.000Z</v>
      </c>
      <c r="T103" s="20" t="d">
        <v>2030-12-31T00:00:00.000Z</v>
      </c>
      <c r="U103" s="3" t="str">
        <v>Fixed date / explicit year-end in creating act.</v>
      </c>
      <c r="V103" s="20"/>
      <c r="W103" s="21" t="str">
        <f>IF(AND(C103="Em atraso",ISNUMBER(V103)),MAX(0,Dashboard!$E$4-V103),"")</f>
      </c>
      <c r="X103" s="3" t="str">
        <v>Unpaid; see the original clause for the scope of the exclusion.</v>
      </c>
      <c r="Y103" s="3" t="str">
        <v>9 - A constituição e o funcionamento do grupo de trabalho não conferem aos elementos que o integram, ou que com ele colaboram, o direito ao pagamento de qualquer remuneração ou abono, nem implica a assunção de qualquer encargo adicional.</v>
      </c>
      <c r="Z103" s="3" t="str">
        <v>Current controlling deadline has not passed; delivery not independently verified.</v>
      </c>
      <c r="AA103" s="3" t="str">
        <v>https://diariodarepublica.pt/dr/detalhe/despacho/3089-2026-1070724105</v>
      </c>
      <c r="AB103" s="22" t="str">
        <v>Open evidence</v>
      </c>
      <c r="AC103" s="20"/>
      <c r="AD103" s="3" t="str">
        <v>No delivery evidence identified.</v>
      </c>
      <c r="AE103" s="3" t="str">
        <v>Not independently verified.</v>
      </c>
      <c r="AF103" s="3" t="str"/>
      <c r="AG103" s="3" t="str"/>
      <c r="AH103" s="3" t="str"/>
      <c r="AI103" s="3" t="str">
        <v>DR full-period singular/plural/technical phrase inventories; later acts reviewed. Outcome search: "grupo de trabalho" habitação acessível Portugal 2030 relatório conclusões after:2024-04-01 before:2026-10-11. Domains: portugal.gov.pt, gov.pt, parlamento.pt, diariodarepublica.pt, justica.gov.pt, dgav.pt, icnf.pt, anac.pt, dgeg.gov.pt. Official evidence/limitations recorded in this row.</v>
      </c>
      <c r="AJ103" s="20" t="d">
        <v>2026-10-10T00:00:00.000Z</v>
      </c>
      <c r="AK103" s="3" t="str">
        <v>2026-03-03</v>
      </c>
      <c r="AL103" s="3" t="str">
        <v>Latest signature used where multiple signatures occur.</v>
      </c>
      <c r="AM103" s="3" t="str">
        <v>Express name / creating-act summary; descriptive source label where no formal name is assigned.</v>
      </c>
      <c r="AN103" s="3" t="str">
        <v>Presidency / Council of Ministers; Economy; Territorial cohesion; Infrastructure / Housing</v>
      </c>
      <c r="AO103" s="3" t="str">
        <v>Mandate end</v>
      </c>
      <c r="AP103" s="3" t="str"/>
      <c r="AQ103" s="21" t="str">
        <f>IF(AND(C103="Em atraso",ISNUMBER(D103)),COUNTIFS(Groups!$C$6:$C$127,"Em atraso",Groups!$D$6:$D$127,"&gt;"&amp;D103)+COUNTIFS($C$6:C103,"Em atraso",$D$6:D103,D103),"")</f>
      </c>
      <c r="AR103" s="21" t="n">
        <f>IF(COUNTIF($F$6:F103,F103)=1,1,0)</f>
        <v>1</v>
      </c>
    </row>
    <row r="104" ht="96" customHeight="1">
      <c r="A104" s="3" t="str">
        <v>GT-2026-005</v>
      </c>
      <c r="B104" s="3" t="str">
        <v>Grupo de Trabalho «Proibição do desenvolvimento de atividades contrárias aos fins visados pelas instituições educativas»</v>
      </c>
      <c r="C104" s="3" t="str">
        <v>Sem informação pública</v>
      </c>
      <c r="D104" s="21" t="str">
        <f>IF(C104="Em atraso",IF(ISNUMBER(T104),MAX(0,Dashboard!$E$4-T104),""),IF(C104="Concluído com atraso",IF(AND(ISNUMBER(T104),ISNUMBER(AC104)),MAX(0,AC104-T104),""),IF(C104="Concluído no prazo",0,"")))</f>
      </c>
      <c r="E104" s="3" t="str">
        <v>XXV</v>
      </c>
      <c r="F104" s="3" t="str">
        <v>Despacho n.º 3317/2026</v>
      </c>
      <c r="G104" s="22" t="str">
        <v>Open DR act</v>
      </c>
      <c r="H104" s="20" t="d">
        <v>2026-03-13T00:00:00.000Z</v>
      </c>
      <c r="I104" s="20" t="d">
        <v>2026-03-06T00:00:00.000Z</v>
      </c>
      <c r="J104" s="20" t="d">
        <v>2026-03-07T00:00:00.000Z</v>
      </c>
      <c r="K104" s="3" t="str">
        <v>Educação, Ciência e Inovação - Gabinete do Ministro da Educação, Ciência e Inovação</v>
      </c>
      <c r="L104" s="3" t="str">
        <v>3 - O Grupo de Trabalho é coordenado pelo Secretário de Estado Adjunto e da Educação (SEAEdu) e constituído em permanência por:
5 - Os membros do Grupo de Trabalho podem, excecionalmente, fazer-se representar nas reuniões por elementos das respetivas entidades por si indicados ao coordenador, mediante fundamentação da sua ausência.</v>
      </c>
      <c r="M104" s="3" t="str">
        <v>3 - O Grupo de Trabalho é coordenado pelo Secretário de Estado Adjunto e da Educação (SEAEdu) e constituído em permanência por:
a) Um/a representante da Secretaria de Estado do Secretário de Estado Adjunto e da Educação (SEAEdu);
b) Um/a representante da Secretaria de Estado da Administração Escolar (SEAEsc);
c) Um/a representante da Inspeção-Geral de Educação e Ciência (IGEC);
d) Um/a representante do Instituto de Educação, Qualidade e Avaliação, I. P. (EduQA, I. P.);
e) Um/a representante da Agência para a Gestão do Sistema Educativo, I. P. (AGSE, I. P.);
f) Um/a representante do Conselho das Escolas;
g) Um/a representante da Associação Nacional de Diretores de Agrupamentos e Escolas Públicas (ANDAEP);
h) Um/a representante da Associação Nacional de Dirigentes Escolares (ANDE);
i) Um/a representante da Associação de Estabelecimentos de Ensino Particular e Cooperativo (AEEP);
j) Um/a representante da Confederação Nacional das Associações de Pais (CONFAP).</v>
      </c>
      <c r="N104" s="3" t="str">
        <v>Education</v>
      </c>
      <c r="O104" s="3" t="str">
        <v>Review safeguards against activities incompatible with the purposes of educational institutions.</v>
      </c>
      <c r="P104" s="3" t="str">
        <v>1 - É criado o Grupo de Trabalho «Proibição do desenvolvimento de atividades contrárias aos fins visados pelas instituições educativas».</v>
      </c>
      <c r="Q104" s="3" t="str">
        <v>2 - O Grupo de Trabalho tem como objetivos:
a) Analisar o enquadramento existente sobre o desenvolvimento de atividades com entidades ou indivíduos externos às escolas, assim como sobre a admissão ou permissão de presenças de tais elementos em estabelecimentos escolares públicos, bem como escolas portuguesas no estrangeiro da rede pública do MECI e nos estabelecimentos de ensino particular e cooperativo de nível não superior;
b) Produzir orientações, destinadas aos diretores dos estabelecimentos de educação e ensino e aos restantes órgãos de direção, administração e gestão escolar, relativas ao controlo e à proibição do desenvolvimento de atividades contrárias aos fins visados pelas instituições educativas.</v>
      </c>
      <c r="R104" s="3" t="str">
        <v>4 - Os representantes referidos no número anterior são designados no prazo de dois dias, a contar da: 2026-03-15 — 2026-03-13 + 2 calendar days (monitoring convention). If CPA procedural counting applies: 2026-03-17.</v>
      </c>
      <c r="S104" s="20"/>
      <c r="T104" s="20"/>
      <c r="U104" s="3" t="str"/>
      <c r="V104" s="20"/>
      <c r="W104" s="21" t="str">
        <f>IF(AND(C104="Em atraso",ISNUMBER(V104)),MAX(0,Dashboard!$E$4-V104),"")</f>
      </c>
      <c r="X104" s="3" t="str">
        <v>Unpaid group participation; expense/allowance terms are stated in the original clause.</v>
      </c>
      <c r="Y104" s="3" t="str">
        <v>7 - A constituição e o funcionamento do Grupo de Trabalho não conferem aos seus membros ou a quem com eles colaborar o direito ao pagamento de qualquer remuneração ou compensação, sem prejuízo de eventuais encargos relativos a despesas de deslocação que devem ser suportados pelos respetivos serviços de origem, nos termos da legislação em vigor.</v>
      </c>
      <c r="Z104" s="3" t="str">
        <v>Delivery is officially confirmed, but the handover date is not public; timeliness cannot be classified.</v>
      </c>
      <c r="AA104" s="3" t="str">
        <v>https://diariodarepublica.pt/dr/detalhe/despacho/3317-2026-1071481467
https://portugal.gov.pt/pt/gc25/comunicacao/documentos/-relatorio-do-grupo-de-trabalho-proibicao-do-desenvolvimento-de-atividades-contrarias-aos-fins-visados-pelas-instituicoes-educativas</v>
      </c>
      <c r="AB104" s="22" t="str">
        <v>Open evidence</v>
      </c>
      <c r="AC104" s="20"/>
      <c r="AD104" s="3" t="str">
        <v>Government publishes the report on activities inconsistent with educational institutions’ purposes; exact handover date and final deadline are not stated.</v>
      </c>
      <c r="AE104" s="3" t="str">
        <v>Policy implementation not independently verified.</v>
      </c>
      <c r="AF104" s="3" t="str"/>
      <c r="AG104" s="3" t="str"/>
      <c r="AH104" s="3" t="str"/>
      <c r="AI104" s="3" t="str">
        <v>DR full-period singular/plural/technical phrase inventories; later acts reviewed. Outcome search: "grupo de trabalho" fins instituições educativas relatório conclusões after:2024-04-01 before:2026-10-11. Domains: portugal.gov.pt, gov.pt, parlamento.pt, diariodarepublica.pt, justica.gov.pt, dgav.pt, icnf.pt, anac.pt, dgeg.gov.pt. Official evidence/limitations recorded in this row.</v>
      </c>
      <c r="AJ104" s="20" t="d">
        <v>2026-10-10T00:00:00.000Z</v>
      </c>
      <c r="AK104" s="3" t="str">
        <v>2026-03-06</v>
      </c>
      <c r="AL104" s="3" t="str">
        <v>Day after latest signature.</v>
      </c>
      <c r="AM104" s="3" t="str">
        <v>Express name / creating-act summary; descriptive source label where no formal name is assigned.</v>
      </c>
      <c r="AN104" s="3" t="str">
        <v>Education / Science</v>
      </c>
      <c r="AO104" s="3" t="str">
        <v>No dated final output / unknown trigger</v>
      </c>
      <c r="AP104" s="3" t="str"/>
      <c r="AQ104" s="21" t="str">
        <f>IF(AND(C104="Em atraso",ISNUMBER(D104)),COUNTIFS(Groups!$C$6:$C$127,"Em atraso",Groups!$D$6:$D$127,"&gt;"&amp;D104)+COUNTIFS($C$6:C104,"Em atraso",$D$6:D104,D104),"")</f>
      </c>
      <c r="AR104" s="21" t="n">
        <f>IF(COUNTIF($F$6:F104,F104)=1,1,0)</f>
        <v>1</v>
      </c>
    </row>
    <row r="105" ht="96" customHeight="1">
      <c r="A105" s="3" t="str">
        <v>GT-2026-006</v>
      </c>
      <c r="B105" s="3" t="str">
        <v>grupo de trabalho para estudar a implementação de um programa de redefinição da resposta social creche familiar, bem como a qualificação profissional necessária e a simplificação nos procedimentos e requisitos para o acesso à profissão de ama</v>
      </c>
      <c r="C105" s="3" t="str">
        <v>Em atraso</v>
      </c>
      <c r="D105" s="21" t="n">
        <f>IF(C105="Em atraso",IF(ISNUMBER(T105),MAX(0,Dashboard!$E$4-T105),""),IF(C105="Concluído com atraso",IF(AND(ISNUMBER(T105),ISNUMBER(AC105)),MAX(0,AC105-T105),""),IF(C105="Concluído no prazo",0,"")))</f>
        <v>109</v>
      </c>
      <c r="E105" s="3" t="str">
        <v>XXV</v>
      </c>
      <c r="F105" s="3" t="str">
        <v>Despacho n.º 3808/2026</v>
      </c>
      <c r="G105" s="22" t="str">
        <v>Open DR act</v>
      </c>
      <c r="H105" s="20" t="d">
        <v>2026-03-24T00:00:00.000Z</v>
      </c>
      <c r="I105" s="20" t="d">
        <v>2026-03-16T00:00:00.000Z</v>
      </c>
      <c r="J105" s="20" t="d">
        <v>2026-03-25T00:00:00.000Z</v>
      </c>
      <c r="K105" s="3" t="str">
        <v>Trabalho, Solidariedade e Segurança Social - Gabinete da Secretária de Estado da Ação Social e da Inclusão</v>
      </c>
      <c r="L105" s="3" t="str">
        <v>3 - O grupo de trabalho tem natureza temporária e integra um representante do Gabinete da Secretária de Estado da Ação Social e da Inclusão, que coordena.</v>
      </c>
      <c r="M105" s="3" t="str">
        <v>3 - O grupo de trabalho tem natureza temporária e integra um representante do Gabinete da Secretária de Estado da Ação Social e da Inclusão, que coordena.
4 - O grupo de trabalho integra ainda:
a) Um representante do Gabinete da Secretária de Estado da Segurança Social;
b) Um representante do Instituto da Segurança Social, I. P.;
c) Um representante da Santa Casa da Misericórdia de Lisboa;
d) Um representante da Casa Pia de Lisboa, I. P.;
e) Um representante de cada uma das entidades representativas do setor social e solidário.</v>
      </c>
      <c r="N105" s="3" t="str">
        <v>Social protection / Childcare</v>
      </c>
      <c r="O105" s="3" t="str">
        <v>Review family-crèche provision and childminder qualifications and simplify access to the profession.</v>
      </c>
      <c r="P105" s="3" t="str">
        <v>1 - É constituído um grupo de trabalho para avaliar e apresentar propostas para a implementação de um programa de redefinição da resposta social creche familiar, bem como a qualificação profissional necessária e a simplificação nos procedimentos e requisitos para o acesso à profissão de ama.</v>
      </c>
      <c r="Q105" s="3" t="str">
        <v>5 - O grupo de trabalho pode convidar outras entidades públicas ou privadas, bem como peritos de reconhecido mérito, para participação em reuniões temáticas ou apresentação de contributos que sejam considerados relevantes para prossecução dos trabalhos e objetivos propostos.
9 - Os membros do grupo de trabalho, bem como os peritos e os representantes das entidades convidadas a nele participar nos termos do n.º 5, não auferem qualquer remuneração ou abono pelo exercício de funções.</v>
      </c>
      <c r="R105" s="3" t="str">
        <v>6 - Os representantes das entidades referidas no n.º 4 são designados no prazo de 10 dias a contar d: 2026-04-04 — 2026-03-25 + 10 calendar days (monitoring convention). If CPA procedural counting applies: 2026-04-09.
7 - O grupo de trabalho apresenta um relatório final com diagnóstico nacional das situações das amas: 2026-06-23 — 2026-03-25 + 90 calendar days (monitoring convention). If CPA procedural counting applies: 2026-08-04.
Final report / last specified substantive output: 2026-06-23 — effective 2026-03-25 + 90 calendar days; plain “dias” benchmark. Alternative working-day date: 2026-08-04.</v>
      </c>
      <c r="S105" s="20" t="d">
        <v>2026-06-23T00:00:00.000Z</v>
      </c>
      <c r="T105" s="20" t="d">
        <v>2026-06-23T00:00:00.000Z</v>
      </c>
      <c r="U105" s="3" t="str">
        <v>effective 2026-03-25 + 90 calendar days; plain “dias” benchmark. Alternative working-day date: 2026-08-04.</v>
      </c>
      <c r="V105" s="20" t="d">
        <v>2026-08-04T00:00:00.000Z</v>
      </c>
      <c r="W105" s="21" t="n">
        <f>IF(AND(C105="Em atraso",ISNUMBER(V105)),MAX(0,Dashboard!$E$4-V105),"")</f>
        <v>67</v>
      </c>
      <c r="X105" s="3" t="str">
        <v>Unpaid; see the original clause for the scope of the exclusion.</v>
      </c>
      <c r="Y105" s="3" t="str">
        <v>9 - Os membros do grupo de trabalho, bem como os peritos e os representantes das entidades convidadas a nele participar nos termos do n.º 5, não auferem qualquer remuneração ou abono pelo exercício de funções.</v>
      </c>
      <c r="Z105" s="3" t="str">
        <v>Controlling benchmark has passed; no evidence of this output’s delivery identified in the reviewed acts and focused official-source outcome search.</v>
      </c>
      <c r="AA105" s="3" t="str">
        <v>https://diariodarepublica.pt/dr/detalhe/despacho/3808-2026-1075988859</v>
      </c>
      <c r="AB105" s="22" t="str">
        <v>Open evidence</v>
      </c>
      <c r="AC105" s="20"/>
      <c r="AD105" s="3" t="str">
        <v>No delivery evidence identified.</v>
      </c>
      <c r="AE105" s="3" t="str">
        <v>Not independently verified.</v>
      </c>
      <c r="AF105" s="3" t="str"/>
      <c r="AG105" s="3" t="str"/>
      <c r="AH105" s="3" t="str"/>
      <c r="AI105" s="3" t="str">
        <v>DR full-period singular/plural/technical phrase inventories; later acts reviewed. Outcome search: "grupo de trabalho" creche familiar amas relatório conclusões after:2024-04-01 before:2026-10-11. Domains: portugal.gov.pt, gov.pt, parlamento.pt, diariodarepublica.pt, justica.gov.pt, dgav.pt, icnf.pt, anac.pt, dgeg.gov.pt. Official evidence/limitations recorded in this row.</v>
      </c>
      <c r="AJ105" s="20" t="d">
        <v>2026-10-10T00:00:00.000Z</v>
      </c>
      <c r="AK105" s="3" t="str">
        <v>2026-03-16</v>
      </c>
      <c r="AL105" s="3" t="str">
        <v>Day after publication.</v>
      </c>
      <c r="AM105" s="3" t="str">
        <v>Express name / creating-act summary; descriptive source label where no formal name is assigned.</v>
      </c>
      <c r="AN105" s="3" t="str">
        <v>Labour / Social security</v>
      </c>
      <c r="AO105" s="3" t="str">
        <v>Final report / last specified substantive output</v>
      </c>
      <c r="AP105" s="3" t="str">
        <v>Calendar monitoring benchmark; absence of public evidence is not proof of non-delivery.</v>
      </c>
      <c r="AQ105" s="21" t="n">
        <f>IF(AND(C105="Em atraso",ISNUMBER(D105)),COUNTIFS(Groups!$C$6:$C$127,"Em atraso",Groups!$D$6:$D$127,"&gt;"&amp;D105)+COUNTIFS($C$6:C105,"Em atraso",$D$6:D105,D105),"")</f>
        <v>53</v>
      </c>
      <c r="AR105" s="21" t="n">
        <f>IF(COUNTIF($F$6:F105,F105)=1,1,0)</f>
        <v>1</v>
      </c>
    </row>
    <row r="106" ht="96" customHeight="1">
      <c r="A106" s="3" t="str">
        <v>GT-2026-007</v>
      </c>
      <c r="B106" s="3" t="str">
        <v>grupo de trabalho para a defesa</v>
      </c>
      <c r="C106" s="3" t="str">
        <v>Em curso – dentro do prazo</v>
      </c>
      <c r="D106" s="21" t="str">
        <f>IF(C106="Em atraso",IF(ISNUMBER(T106),MAX(0,Dashboard!$E$4-T106),""),IF(C106="Concluído com atraso",IF(AND(ISNUMBER(T106),ISNUMBER(AC106)),MAX(0,AC106-T106),""),IF(C106="Concluído no prazo",0,"")))</f>
      </c>
      <c r="E106" s="3" t="str">
        <v>XXV</v>
      </c>
      <c r="F106" s="3" t="str">
        <v>Despacho n.º 3965/2026</v>
      </c>
      <c r="G106" s="22" t="str">
        <v>Open DR act</v>
      </c>
      <c r="H106" s="20" t="d">
        <v>2026-03-26T00:00:00.000Z</v>
      </c>
      <c r="I106" s="20" t="d">
        <v>2026-03-20T00:00:00.000Z</v>
      </c>
      <c r="J106" s="20" t="d">
        <v>2026-03-20T00:00:00.000Z</v>
      </c>
      <c r="K106" s="3" t="str">
        <v>Economia e Coesão Territorial e Defesa Nacional - Gabinete do Secretário de Estado do Planeamento e Desenvolvimento Regional, Gabinete do Secretário de Estado da Economia e Gabinete do Secretário de Estado Adjunto e da Defesa Nacional</v>
      </c>
      <c r="L106" s="3" t="str">
        <v>a) Um elemento da Agência para o Desenvolvimento e Coesão, I. P. (Agência, I. P.), que coordena;
7 - O grupo de trabalho reúne com a periodicidade necessária ao cumprimento das suas funções, por iniciativa do respetivo coordenador.</v>
      </c>
      <c r="M106" s="3" t="str">
        <v>4 - O grupo de trabalho é constituído por:
a) Um elemento da Agência para o Desenvolvimento e Coesão, I. P. (Agência, I. P.), que coordena;
b) Um membro do Gabinete do Ministro da Defesa Nacional;
c) Um membro do Gabinete do Secretário de Estado do Planeamento e Desenvolvimento Regional;
d) Um membro do Gabinete do Secretário de Estado Economia;
e) Um membro do Gabinete do Secretário de Estado Adjunto da Defesa Nacional;
f) Um representante da autoridade de gestão do Programa Temático Inovação e Transição Digital (COMPETE 2030);
g) Um representante da autoridade de gestão de cada um dos programas regionais do continente;
h) Um representante do Estado-Maior-General das Forças Armadas (EMGFA);
i) Um representante da Secretaria-Geral do Ministério da Defesa Nacional (SG/MDN);
j) Um representante da Direção-Geral de Política de Defesa Nacional (DGPDN);
k) Um representante da Direção-Geral de Armamento e Património da Defesa Nacional (DGAPDN);
l) Um representante da idD Portugal Defence;
m) Um representante da Agência para o Investimento e Comércio Externo de Portugal, E. P. E. (AICEP);
n) Um representante da Estrutura de Missão Recuperar Portugal (EMRP).
9 - A constituição e o funcionamento do grupo de trabalho não conferem aos elementos que o integram, ou que com ele colaboram, o direito ao pagamento de qualquer remuneração ou abono nem implica a assunção de qualquer encargo adicional.</v>
      </c>
      <c r="N106" s="3" t="str">
        <v>Defence / EU funds</v>
      </c>
      <c r="O106" s="3" t="str">
        <v>Coordinate Portugal 2030 investment guidelines and support for the defence sector.</v>
      </c>
      <c r="P106" s="3" t="str">
        <v>1 - A constituição do grupo de trabalho para a defesa, que tem como missão promover a articulação e disponibilização de informação necessária à adequada preparação dos instrumentos e processos para seleção de investimentos a apoiar pelo Portugal 2030 no setor da defesa, definir linhas orientadoras para aqueles investimentos e promover o seu acompanhamento.</v>
      </c>
      <c r="Q106" s="3" t="str">
        <v>1 - A constituição do grupo de trabalho para a defesa, que tem como missão promover a articulação e disponibilização de informação necessária à adequada preparação dos instrumentos e processos para seleção de investimentos a apoiar pelo Portugal 2030 no setor da defesa, definir linhas orientadoras para aqueles investimentos e promover o seu acompanhamento.
2 - O grupo de trabalho tem por objetivo promover a articulação entre as entidades relevantes, de forma a assegurar que a implementação da nova prioridade estratégica da defesa, no âmbito dos programas do Portugal 2030, decorre de modo célere, eficiente e coerente.
3 - Sem prejuízo das competências específicas das autoridades de gestão dos programas do Portugal 2030, compete ao grupo de trabalho, designadamente:
a) Contribuir para a elaboração de avisos para apresentação de candidaturas nos objetivos específicos do Portugal 2030 relacionados com o setor da defesa, garantindo, designadamente, o seu alinhamento com as orientações estratégicas nacionais existentes para aquele setor e a complementaridade com outros instrumentos de financiamento disponíveis;
b) Contribuir para o alinhamento das condições de financiamento e para a preparação e harmonização dos critérios de seleção das operações, designadamente considerando outros instrumentos de financiamento disponíveis;
c) Acompanhar a implementação global destes objetivos específicos e das operações apoiadas, incluindo a identificação de progressos, estrangulamentos, medidas corretivas e das melhores práticas;
d) Aferir da necessidade e propor medidas de capacitação que permitam melhorar e acelerar a execução dos objetivos específicos associados ao setor da defesa.
5 - Sem prejuízo do disposto no número anterior, o grupo de trabalho pode convidar representantes de outros serviços ou entidades, nacionais ou estrangeiras, cujo contributo seja considerado relevante para a prossecução da respetiva missão.
7 - O grupo de trabalho reúne com a periodicidade necessária ao cumprimento das suas funções, por iniciativa do respetivo coordenador.
8 - A articulação do grupo de trabalho com o Comité de Acompanhamento dos programas da política de coesão é assegurada nos termos da alínea d) do n.º 6 do artigo 21.º do Decreto-Lei n.º 5/2023, sempre que a participação nos respetivos trabalhos se revele necessária, sem prejuízo da preparação e partilha de informação e de contributos técnicos relevantes para a prossecução da respetiva missão.
11 - O grupo de trabalho extingue-se em 31 de dezembro de 2030, salvo despacho que determine o prolongamento da sua missão.</v>
      </c>
      <c r="R106" s="3" t="str">
        <v>7 - O grupo de trabalho reúne com a periodicidade necessária ao cumprimento das suas funções, por in: date not derivable — No uniquely dated deadline derivable from this clause; cadence or trigger is preserved.
Mandate end: 2030-12-31 — Fixed date / explicit year-end in creating act.</v>
      </c>
      <c r="S106" s="20" t="d">
        <v>2030-12-31T00:00:00.000Z</v>
      </c>
      <c r="T106" s="20" t="d">
        <v>2030-12-31T00:00:00.000Z</v>
      </c>
      <c r="U106" s="3" t="str">
        <v>Fixed date / explicit year-end in creating act.</v>
      </c>
      <c r="V106" s="20"/>
      <c r="W106" s="21" t="str">
        <f>IF(AND(C106="Em atraso",ISNUMBER(V106)),MAX(0,Dashboard!$E$4-V106),"")</f>
      </c>
      <c r="X106" s="3" t="str">
        <v>Unpaid; see the original clause for the scope of the exclusion.</v>
      </c>
      <c r="Y106" s="3" t="str">
        <v>9 - A constituição e o funcionamento do grupo de trabalho não conferem aos elementos que o integram, ou que com ele colaboram, o direito ao pagamento de qualquer remuneração ou abono nem implica a assunção de qualquer encargo adicional.</v>
      </c>
      <c r="Z106" s="3" t="str">
        <v>Current controlling deadline has not passed; delivery not independently verified.</v>
      </c>
      <c r="AA106" s="3" t="str">
        <v>https://diariodarepublica.pt/dr/detalhe/despacho/3965-2026-1077349638</v>
      </c>
      <c r="AB106" s="22" t="str">
        <v>Open evidence</v>
      </c>
      <c r="AC106" s="20"/>
      <c r="AD106" s="3" t="str">
        <v>No delivery evidence identified.</v>
      </c>
      <c r="AE106" s="3" t="str">
        <v>Not independently verified.</v>
      </c>
      <c r="AF106" s="3" t="str"/>
      <c r="AG106" s="3" t="str"/>
      <c r="AH106" s="3" t="str"/>
      <c r="AI106" s="3" t="str">
        <v>DR full-period singular/plural/technical phrase inventories; later acts reviewed. Outcome search: "grupo de trabalho" defesa Portugal 2030 relatório conclusões after:2024-04-01 before:2026-10-11. Domains: portugal.gov.pt, gov.pt, parlamento.pt, diariodarepublica.pt, justica.gov.pt, dgav.pt, icnf.pt, anac.pt, dgeg.gov.pt. Official evidence/limitations recorded in this row.</v>
      </c>
      <c r="AJ106" s="20" t="d">
        <v>2026-10-10T00:00:00.000Z</v>
      </c>
      <c r="AK106" s="3" t="str">
        <v>2026-03-11; 2026-03-16; 2026-03-20</v>
      </c>
      <c r="AL106" s="3" t="str">
        <v>Latest signature used where multiple signatures occur.</v>
      </c>
      <c r="AM106" s="3" t="str">
        <v>Express name / creating-act summary; descriptive source label where no formal name is assigned.</v>
      </c>
      <c r="AN106" s="3" t="str">
        <v>Defence; Economy; Territorial cohesion</v>
      </c>
      <c r="AO106" s="3" t="str">
        <v>Mandate end</v>
      </c>
      <c r="AP106" s="3" t="str"/>
      <c r="AQ106" s="21" t="str">
        <f>IF(AND(C106="Em atraso",ISNUMBER(D106)),COUNTIFS(Groups!$C$6:$C$127,"Em atraso",Groups!$D$6:$D$127,"&gt;"&amp;D106)+COUNTIFS($C$6:C106,"Em atraso",$D$6:D106,D106),"")</f>
      </c>
      <c r="AR106" s="21" t="n">
        <f>IF(COUNTIF($F$6:F106,F106)=1,1,0)</f>
        <v>1</v>
      </c>
    </row>
    <row r="107" ht="96" customHeight="1">
      <c r="A107" s="3" t="str">
        <v>GT-2026-008</v>
      </c>
      <c r="B107" s="3" t="str">
        <v>Grupo de Trabalho, com a designação de Equipa Conjunta de Acompanhamento, relativo ao Fórum Estratégico Luso-Espanhol para uma Maior Competitividade</v>
      </c>
      <c r="C107" s="3" t="str">
        <v>Em curso – dentro do prazo</v>
      </c>
      <c r="D107" s="21" t="str">
        <f>IF(C107="Em atraso",IF(ISNUMBER(T107),MAX(0,Dashboard!$E$4-T107),""),IF(C107="Concluído com atraso",IF(AND(ISNUMBER(T107),ISNUMBER(AC107)),MAX(0,AC107-T107),""),IF(C107="Concluído no prazo",0,"")))</f>
      </c>
      <c r="E107" s="3" t="str">
        <v>XXV</v>
      </c>
      <c r="F107" s="3" t="str">
        <v>Despacho n.º 4319/2026</v>
      </c>
      <c r="G107" s="22" t="str">
        <v>Open DR act</v>
      </c>
      <c r="H107" s="20" t="d">
        <v>2026-04-02T00:00:00.000Z</v>
      </c>
      <c r="I107" s="20" t="d">
        <v>2026-03-26T00:00:00.000Z</v>
      </c>
      <c r="J107" s="20" t="d">
        <v>2026-04-02T00:00:00.000Z</v>
      </c>
      <c r="K107" s="3" t="str">
        <v>Economia e Coesão Territorial - Gabinete do Ministro da Economia e da Coesão Territorial</v>
      </c>
      <c r="L107" s="3" t="str">
        <v>4 - O Grupo de Trabalho é composto por um membro do Gabinete do Ministro da Economia e da Coesão Territorial, que coordena, e dois representantes da Direção-Geral da Economia.
6 - O Grupo de Trabalho reúne ordinariamente com periodicidade mensal e extraordinariamente sempre que convocado pelo Coordenador.</v>
      </c>
      <c r="M107" s="3" t="str">
        <v>4 - O Grupo de Trabalho é composto por um membro do Gabinete do Ministro da Economia e da Coesão Territorial, que coordena, e dois representantes da Direção-Geral da Economia.</v>
      </c>
      <c r="N107" s="3" t="str">
        <v>Economy</v>
      </c>
      <c r="O107" s="3" t="str">
        <v>Provide technical support and monitor the Portuguese-Spanish competitiveness forum’s measures.</v>
      </c>
      <c r="P107" s="3" t="str">
        <v>1 - É criado o Grupo de Trabalho, com a designação de Equipa Conjunta de Acompanhamento, relativo ao Fórum Estratégico Luso-Espanhol para uma Maior Competitividade.</v>
      </c>
      <c r="Q107" s="3" t="str">
        <v>2 - O Grupo de Trabalho tem por missão apoiar tecnicamente o Fórum Estratégico Luso-Espanhol para uma Maior Competitividade na implementação do roteiro de medidas previsto na Declaração, assegurando o acompanhamento, a coordenação e a avaliação das iniciativas em curso.
3 - O Grupo de Trabalho tem, designadamente, os seguintes objetivos e tarefas:
a) Identificar os setores e regiões prioritários para a implementação de medidas-piloto, incluindo as relativas ao Acordo de Reconhecimento Mútuo de qualificações profissionais;
b) Acompanhar a implementação das iniciativas previstas na Declaração, nomeadamente em matéria de interligações da rede elétrica, faturação eletrónica B2B, abertura de contas bancárias transfronteiriças, cooperação entre bancos promocionais e contratação pública transfronteiriça;
c) Propor iniciativas adicionais a submeter ao Fórum Estratégico, com base nos resultados das consultas ao setor privado e na evolução do enquadramento europeu;
d) Preparar os elementos técnicos necessários às reuniões ministeriais do Fórum Estratégico e elaborar os respetivos relatórios de progresso.
13 - O Grupo de Trabalho tem natureza temporária e extingue-se com a entrega de um relatório final demonstrativo da conclusão da sua missão e objetivos ao membro do governo responsável pelas áreas da Economia e da Coesão Territorial.</v>
      </c>
      <c r="R107" s="3" t="str">
        <v>5 - A Direção-Geral da Economia indica os seus representantes ao gabinete do membro do Governo respo: 2026-04-10 — 2026-04-02 + 8 calendar days (monitoring convention). If CPA procedural counting applies: 2026-04-15.
6 - O Grupo de Trabalho reúne ordinariamente com periodicidade mensal e extraordinariamente sempre q: date not derivable — No uniquely dated deadline derivable from this clause; cadence or trigger is preserved.
8 - O Grupo de Trabalho elabora um relatório de progresso semestral, contendo a avaliação do estado : date not derivable — No uniquely dated deadline derivable from this clause; cadence or trigger is preserved.
9 - O relatório referido no número anterior deve ser apresentado ao membro do Governo responsável pe: date not derivable — 30 dias after trigger: anchor not expressly specified; exact date cannot be verified.
10 - O Grupo de Trabalho articula-se, na componente bilateral e sempre que necessário, com o seu con: date not derivable — No uniquely dated deadline derivable from this clause; cadence or trigger is preserved.
14 - O relatório referido no número anterior deve ser apresentado a 31 de dezembro de 2028, sendo es: 2028-12-31 — 1 ano after trigger: anchor not expressly specified; exact date cannot be verified.
Mandate end: 2028-12-31 — Fixed date / explicit year-end in creating act.</v>
      </c>
      <c r="S107" s="20" t="d">
        <v>2028-12-31T00:00:00.000Z</v>
      </c>
      <c r="T107" s="20" t="d">
        <v>2028-12-31T00:00:00.000Z</v>
      </c>
      <c r="U107" s="3" t="str">
        <v>Fixed date / explicit year-end in creating act.</v>
      </c>
      <c r="V107" s="20"/>
      <c r="W107" s="21" t="str">
        <f>IF(AND(C107="Em atraso",ISNUMBER(V107)),MAX(0,Dashboard!$E$4-V107),"")</f>
      </c>
      <c r="X107" s="3" t="str">
        <v>Unpaid; see the original clause for the scope of the exclusion.</v>
      </c>
      <c r="Y107" s="3" t="str">
        <v>12 - Aos membros do Grupo de Trabalho e às pessoas que com ele colaboram não é devido o pagamento de qualquer remuneração ou abono pelo trabalho desenvolvido, independentemente da respetiva natureza, designadamente a título de remuneração, compensação, subsídio, senhas de presença, e não dá lugar à assunção de quaisquer encargos adicionais.</v>
      </c>
      <c r="Z107" s="3" t="str">
        <v>Current controlling deadline has not passed; delivery not independently verified.</v>
      </c>
      <c r="AA107" s="3" t="str">
        <v>https://diariodarepublica.pt/dr/detalhe/despacho/4319-2026-1080930313</v>
      </c>
      <c r="AB107" s="22" t="str">
        <v>Open evidence</v>
      </c>
      <c r="AC107" s="20"/>
      <c r="AD107" s="3" t="str">
        <v>No delivery evidence identified.</v>
      </c>
      <c r="AE107" s="3" t="str">
        <v>Not independently verified.</v>
      </c>
      <c r="AF107" s="3" t="str"/>
      <c r="AG107" s="3" t="str"/>
      <c r="AH107" s="3" t="str"/>
      <c r="AI107" s="3" t="str">
        <v>DR full-period singular/plural/technical phrase inventories; later acts reviewed. Outcome search: "grupo de trabalho" Fórum Ibérico competitividade relatório conclusões after:2024-04-01 before:2026-10-11. Domains: portugal.gov.pt, gov.pt, parlamento.pt, diariodarepublica.pt, justica.gov.pt, dgav.pt, icnf.pt, anac.pt, dgeg.gov.pt. Official evidence/limitations recorded in this row.</v>
      </c>
      <c r="AJ107" s="20" t="d">
        <v>2026-10-10T00:00:00.000Z</v>
      </c>
      <c r="AK107" s="3" t="str">
        <v>2026-03-26</v>
      </c>
      <c r="AL107" s="3" t="str">
        <v>Publication date.</v>
      </c>
      <c r="AM107" s="3" t="str">
        <v>Express name / creating-act summary; descriptive source label where no formal name is assigned.</v>
      </c>
      <c r="AN107" s="3" t="str">
        <v>Economy; Territorial cohesion</v>
      </c>
      <c r="AO107" s="3" t="str">
        <v>Mandate end</v>
      </c>
      <c r="AP107" s="3" t="str"/>
      <c r="AQ107" s="21" t="str">
        <f>IF(AND(C107="Em atraso",ISNUMBER(D107)),COUNTIFS(Groups!$C$6:$C$127,"Em atraso",Groups!$D$6:$D$127,"&gt;"&amp;D107)+COUNTIFS($C$6:C107,"Em atraso",$D$6:D107,D107),"")</f>
      </c>
      <c r="AR107" s="21" t="n">
        <f>IF(COUNTIF($F$6:F107,F107)=1,1,0)</f>
        <v>1</v>
      </c>
    </row>
    <row r="108" ht="96" customHeight="1">
      <c r="A108" s="3" t="str">
        <v>GT-2026-009</v>
      </c>
      <c r="B108" s="3" t="str">
        <v>Grupo de Trabalho Interministerial para o Espaço</v>
      </c>
      <c r="C108" s="3" t="str">
        <v>Em curso – dentro do prazo</v>
      </c>
      <c r="D108" s="21" t="str">
        <f>IF(C108="Em atraso",IF(ISNUMBER(T108),MAX(0,Dashboard!$E$4-T108),""),IF(C108="Concluído com atraso",IF(AND(ISNUMBER(T108),ISNUMBER(AC108)),MAX(0,AC108-T108),""),IF(C108="Concluído no prazo",0,"")))</f>
      </c>
      <c r="E108" s="3" t="str">
        <v>XXV</v>
      </c>
      <c r="F108" s="3" t="str">
        <v>Despacho n.º 4643/2026</v>
      </c>
      <c r="G108" s="22" t="str">
        <v>Open DR act</v>
      </c>
      <c r="H108" s="20" t="d">
        <v>2026-04-09T00:00:00.000Z</v>
      </c>
      <c r="I108" s="20" t="d">
        <v>2026-03-30T00:00:00.000Z</v>
      </c>
      <c r="J108" s="20" t="d">
        <v>2026-04-10T00:00:00.000Z</v>
      </c>
      <c r="K108"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L108" s="3" t="str">
        <v>6 - A coordenação do Grupo de Trabalho é assegurada pela área governativa da educação, ciência e inovação, sem prejuízo do disposto no número seguinte.</v>
      </c>
      <c r="M108" s="3" t="str">
        <v>2 - O Grupo de Trabalho é composto por membros do Governo das áreas governativas dos negócios estrangeiros, da economia e da coesão territorial, da defesa nacional, das infraestruturas e habitação, da educação, ciência e inovação e do ambiente e energia, podendo a sua composição ser alargada a outras áreas governativas, conforme se justifique.
3 - O Grupo de Trabalho é, ainda, integrado por membros do Governo da Região Autónoma dos Açores e do Governo da Região Autónoma da Madeira.</v>
      </c>
      <c r="N108" s="3" t="str">
        <v>Science / Space</v>
      </c>
      <c r="O108" s="3" t="str">
        <v>Coordinate space policy across ministries, including security, defence and European Space Agency programmes.</v>
      </c>
      <c r="P108" s="3" t="str">
        <v>1 - É constituído um Grupo de Trabalho Interministerial para o Espaço (doravante, Grupo de Trabalho) com os objetivos de:
a) Contribuir para informar e definir as posições nacionais a defender no Conselho da Agência Espacial Europeia (European Space Agency - ESA) a nível ministerial, incluindo a subscrição de programas espaciais;
b) Contribuir para informar e definir as posições nacionais a defender no Conselho de Competitividade da União Europeia (UE), na vertente Espaço, e para definir e implementar iniciativas dos programas espaciais da UE;
c) Definir orientações relacionadas com tratados, convenções, acordos e parcerias internacionais na área do Espaço, no que respeita à implementação de iniciativas em curso e ao estabelecimento de novas iniciativas;
d) Propor ao Conselho de Ministros a revisão, sempre que se justifique, da estratégia nacional para o Espaço e dos planos de ação que lhe estejam associados;
e) Propor ao Conselho de Ministros, sempre que se justifique, a definição de políticas que potenciem o desenvolvimento do setor e a revisão da legislação relativa ao Espaço, nomeadamente, em virtude de atos aprovados no âmbito da UE;
f) Discutir e propor ao Conselho de Ministros a definição de posições nacionais noutras matérias relevantes para o desenvolvimento do setor espacial nacional e para a defesa dos interesses geoestratégicos do País no Espaço;
g) Propor a alocação de recursos referentes à subscrição de programas espaciais da ESA e de outras iniciativas a implementar ao abrigo da estratégia nacional para o Espaço;
h) Promover, nos casos em que seja relevante, a articulação com instrumentos de política económica, tais como as Agendas Mobilizadoras para a Inovação Empresarial, os programas de apoio à inovação empresarial e mecanismos de internacionalização.</v>
      </c>
      <c r="Q108" s="3" t="str">
        <v>1 - É constituído um Grupo de Trabalho Interministerial para o Espaço (doravante, Grupo de Trabalho) com os objetivos de:
a) Contribuir para informar e definir as posições nacionais a defender no Conselho da Agência Espacial Europeia (European Space Agency - ESA) a nível ministerial, incluindo a subscrição de programas espaciais;
b) Contribuir para informar e definir as posições nacionais a defender no Conselho de Competitividade da União Europeia (UE), na vertente Espaço, e para definir e implementar iniciativas dos programas espaciais da UE;
c) Definir orientações relacionadas com tratados, convenções, acordos e parcerias internacionais na área do Espaço, no que respeita à implementação de iniciativas em curso e ao estabelecimento de novas iniciativas;
d) Propor ao Conselho de Ministros a revisão, sempre que se justifique, da estratégia nacional para o Espaço e dos planos de ação que lhe estejam associados;
e) Propor ao Conselho de Ministros, sempre que se justifique, a definição de políticas que potenciem o desenvolvimento do setor e a revisão da legislação relativa ao Espaço, nomeadamente, em virtude de atos aprovados no âmbito da UE;
f) Discutir e propor ao Conselho de Ministros a definição de posições nacionais noutras matérias relevantes para o desenvolvimento do setor espacial nacional e para a defesa dos interesses geoestratégicos do País no Espaço;
g) Propor a alocação de recursos referentes à subscrição de programas espaciais da ESA e de outras iniciativas a implementar ao abrigo da estratégia nacional para o Espaço;
h) Promover, nos casos em que seja relevante, a articulação com instrumentos de política económica, tais como as Agendas Mobilizadoras para a Inovação Empresarial, os programas de apoio à inovação empresarial e mecanismos de internacionalização.
8 - A coordenação do Grupo de Trabalho é suportada tecnicamente pela Agência Espacial Portuguesa, criada ao abrigo da Resolução do Conselho de Ministros n.º 55/2019, de 13 de março, à qual caberá providenciar o apoio logístico, documental e administrativo necessário ao bom funcionamento e ao cumprimento dos objetivos do Grupo de Trabalho.
9 - Para cumprir os respetivos objetivos e consoante as matérias em discussão em cada momento, o Grupo de Trabalho pode consultar peritos e representantes do setor espacial, incluindo empresas, centros de inovação e investidores estratégicos, e de outros setores relevantes para a implementação da estratégia nacional para o Espaço.</v>
      </c>
      <c r="R108" s="3" t="str">
        <v>11 - O Grupo de Trabalho apresenta ao Conselho de Ministros um relatório anual com a descrição dos t: date not derivable — No uniquely dated deadline derivable from this clause; cadence or trigger is preserved.
13 - As minutas das reuniões, nas quais constarão os pontos de ação acordados, a indicação de respet: date not derivable — 5 dias úteis after trigger: anchor not expressly specified; exact date cannot be verified.
14 - O Grupo de Trabalho tem duração até 31 de dezembro de 2028.: 2028-12-31 — Explicit calendar date in the act.
Mandate end: 2028-12-31 — Fixed date / explicit year-end in creating act.</v>
      </c>
      <c r="S108" s="20" t="d">
        <v>2028-12-31T00:00:00.000Z</v>
      </c>
      <c r="T108" s="20" t="d">
        <v>2028-12-31T00:00:00.000Z</v>
      </c>
      <c r="U108" s="3" t="str">
        <v>Fixed date / explicit year-end in creating act.</v>
      </c>
      <c r="V108" s="20"/>
      <c r="W108" s="21" t="str">
        <f>IF(AND(C108="Em atraso",ISNUMBER(V108)),MAX(0,Dashboard!$E$4-V108),"")</f>
      </c>
      <c r="X108" s="3" t="str">
        <v>Unpaid group participation; expense/allowance terms are stated in the original clause.</v>
      </c>
      <c r="Y108" s="3" t="str">
        <v>10 - Aos membros do Grupo de Trabalho e às pessoas que com ele colaboram não é devida qualquer remuneração ou abono pelo trabalho desenvolvido, sem prejuízo do pagamento de eventuais encargos relativos a despesas de deslocação pelos respetivos serviços de origem, nos termos da legislação em vigor.</v>
      </c>
      <c r="Z108" s="3" t="str">
        <v>Current controlling deadline has not passed; delivery not independently verified.</v>
      </c>
      <c r="AA108" s="3" t="str">
        <v>https://diariodarepublica.pt/dr/detalhe/despacho/4643-2026-1082906758</v>
      </c>
      <c r="AB108" s="22" t="str">
        <v>Open evidence</v>
      </c>
      <c r="AC108" s="20"/>
      <c r="AD108" s="3" t="str">
        <v>No delivery evidence identified.</v>
      </c>
      <c r="AE108" s="3" t="str">
        <v>Not independently verified.</v>
      </c>
      <c r="AF108" s="3" t="str"/>
      <c r="AG108" s="3" t="str"/>
      <c r="AH108" s="3" t="str">
        <v> Descriptive label follows the Portuguese creating clause; the full act title and exact mandate are retained separately.</v>
      </c>
      <c r="AI108" s="3" t="str">
        <v>DR full-period singular/plural/technical phrase inventories; later acts reviewed. Outcome search: "grupo de trabalho" política espacial espaço ESA 2026 relatório conclusões after:2024-04-01 before:2026-10-11. Domains: portugal.gov.pt, gov.pt, parlamento.pt, diariodarepublica.pt, justica.gov.pt, dgav.pt, icnf.pt, anac.pt, dgeg.gov.pt. Official evidence/limitations recorded in this row.</v>
      </c>
      <c r="AJ108" s="20" t="d">
        <v>2026-10-10T00:00:00.000Z</v>
      </c>
      <c r="AK108" s="3" t="str">
        <v>2026-03-18; 2026-03-19; 2026-03-20; 2026-03-25; 2026-03-30</v>
      </c>
      <c r="AL108" s="3" t="str">
        <v>Day after publication.</v>
      </c>
      <c r="AM108" s="3" t="str">
        <v>Express name / creating-act summary; descriptive source label where no formal name is assigned.</v>
      </c>
      <c r="AN108" s="3" t="str">
        <v>Presidency / Council of Ministers; Foreign affairs; Defence; Education / Science; Economy; Territorial cohesion; Environment / Energy; Infrastructure / Housing</v>
      </c>
      <c r="AO108" s="3" t="str">
        <v>Mandate end</v>
      </c>
      <c r="AP108" s="3" t="str"/>
      <c r="AQ108" s="21" t="str">
        <f>IF(AND(C108="Em atraso",ISNUMBER(D108)),COUNTIFS(Groups!$C$6:$C$127,"Em atraso",Groups!$D$6:$D$127,"&gt;"&amp;D108)+COUNTIFS($C$6:C108,"Em atraso",$D$6:D108,D108),"")</f>
      </c>
      <c r="AR108" s="21" t="n">
        <f>IF(COUNTIF($F$6:F108,F108)=1,1,0)</f>
        <v>1</v>
      </c>
    </row>
    <row r="109" ht="96" customHeight="1">
      <c r="A109" s="3" t="str">
        <v>GT-2026-010</v>
      </c>
      <c r="B109" s="3" t="str">
        <v>grupo de trabalho designado Grupo de Trabalho para a Revisão da Lei das Finanças Locais (Grupo de Trabalho) com o objetivo de rever o Regime Financeiro das Autarquias Locais e Entidades Intermunicipais</v>
      </c>
      <c r="C109" s="3" t="str">
        <v>Em curso – dentro do prazo</v>
      </c>
      <c r="D109" s="21" t="str">
        <f>IF(C109="Em atraso",IF(ISNUMBER(T109),MAX(0,Dashboard!$E$4-T109),""),IF(C109="Concluído com atraso",IF(AND(ISNUMBER(T109),ISNUMBER(AC109)),MAX(0,AC109-T109),""),IF(C109="Concluído no prazo",0,"")))</f>
      </c>
      <c r="E109" s="3" t="str">
        <v>XXV</v>
      </c>
      <c r="F109" s="3" t="str">
        <v>Despacho n.º 4749/2026</v>
      </c>
      <c r="G109" s="22" t="str">
        <v>Open DR act</v>
      </c>
      <c r="H109" s="20" t="d">
        <v>2026-04-13T00:00:00.000Z</v>
      </c>
      <c r="I109" s="20" t="d">
        <v>2026-03-30T00:00:00.000Z</v>
      </c>
      <c r="J109" s="20" t="d">
        <v>2026-04-13T00:00:00.000Z</v>
      </c>
      <c r="K109" s="3" t="str">
        <v>Presidência do Conselho de Ministros, Finanças e Economia e Coesão Territorial - Gabinete do Ministro de Estado e das Finanças, Gabinete do Ministro da Presidência e Gabinete do Ministro da Economia e da Coesão Territorial</v>
      </c>
      <c r="L109" s="3" t="str">
        <v>2 - A coordenação do Grupo de Trabalho compete ao Secretário de Estado da Administração Local e Ordenamento do Território.
a) José Manuel Nunes Liberato, que preside;</v>
      </c>
      <c r="M109" s="3" t="str">
        <v>3 - O Grupo de Trabalho tem a seguinte composição:
a) José Manuel Nunes Liberato, que preside;
b) Pedro Alexandre Fernandes da Mota e Costa;
c) Marcelo Caetano Delgado;
d) O diretor-geral da Entidade Orçamental;
e) O diretor-geral da Direção-Geral das Autarquias Locais;
f) O presidente da Direção Executiva do Fundo de Apoio Municipal.
4 - Integram, ainda, o Grupo de Trabalho, como observadores:
a) Um representante do Gabinete do Primeiro-Ministro;
b) Um representante do Gabinete do Ministro de Estado e das Finanças;
c) Um representante do Gabinete do Ministro da Presidência;
d) Um representante do Gabinete do Ministro da Economia e da Coesão Territorial;
e) Um representante do Gabinete do Secretário de Estado Adjunto e do Orçamento;
f) Um representante do Gabinete da Secretária de Estado dos Assuntos Fiscais;
g) Um representante do Gabinete do Secretário de Estado do Planeamento e Desenvolvimento Regional;
h) Um representante do Governo Regional dos Açores;
i) Um representante do Governo Regional da Madeira;
j) Um representante da Associação Nacional de Municípios Portugueses;
k) Um representante da Associação Nacional de Freguesias;
l) Um representante da Associação Nacional de Assembleias Municipais.</v>
      </c>
      <c r="N109" s="3" t="str">
        <v>Finance / Local government</v>
      </c>
      <c r="O109" s="3" t="str">
        <v>Review local-government finance legislation, debt limits, service sharing and decentralisation funding.</v>
      </c>
      <c r="P109" s="3" t="str">
        <v>1 - A criação de um grupo de trabalho designado Grupo de Trabalho para a Revisão da Lei das Finanças Locais (Grupo de Trabalho) com o objetivo de rever o Regime Financeiro das Autarquias Locais e Entidades Intermunicipais, aprovado pela Lei n.º 73/2013, de 3 de setembro, na sua redação atual, revisitando, designadamente, os limites de endividamento e a utilização da margem de endividamento das autarquias, promover a partilha e integração de serviços entre municípios com vista a otimizar a escala de organização, contratação e prestação de serviços, promover a transparência e eficiência na utilização dos recursos, bem como a implementação de medidas que permitam corrigir assimetrias e simplificar processos e mecanismos de reporte, assim como aprofundar o processo de transferência de competências, garantindo meios financeiros adequados, incentivo, qualidade, coesão territorial e igualdade de oportunidade.</v>
      </c>
      <c r="Q109" s="3" t="str">
        <v>1 - A criação de um grupo de trabalho designado Grupo de Trabalho para a Revisão da Lei das Finanças Locais (Grupo de Trabalho) com o objetivo de rever o Regime Financeiro das Autarquias Locais e Entidades Intermunicipais, aprovado pela Lei n.º 73/2013, de 3 de setembro, na sua redação atual, revisitando, designadamente, os limites de endividamento e a utilização da margem de endividamento das autarquias, promover a partilha e integração de serviços entre municípios com vista a otimizar a escala de organização, contratação e prestação de serviços, promover a transparência e eficiência na utilização dos recursos, bem como a implementação de medidas que permitam corrigir assimetrias e simplificar processos e mecanismos de reporte, assim como aprofundar o processo de transferência de competências, garantindo meios financeiros adequados, incentivo, qualidade, coesão territorial e igualdade de oportunidade.
5 - Na prossecução dos seus objetivos, o Grupo de Trabalho pode solicitar estudos, pareceres ou informações que considere necessários ao bom andamento dos trabalhos a quaisquer serviços dos Ministérios das Finanças e da Economia e Coesão Territorial, em particular à Inspeção-Geral de Finanças, à Entidade do Tesouro e Finanças, à Autoridade Tributária, à Direção-Geral das Autarquias Locais, à Direção-Geral da Administração e do Emprego Público e Entidade Orçamental, bem como solicitar a colaboração de organismos e entidades cujas atribuições e experiência recomendem a obtenção dos respetivos contributos.</v>
      </c>
      <c r="R109" s="3" t="str">
        <v>6 - O Grupo de Trabalho apresenta ao Governo um projeto de alterações legislativas, acompanhado de u: 2026-12-31 — Explicit year-end: 31 December 2026.
Final report / last specified substantive output: 2026-12-31 — Fixed date / explicit year-end in creating act.</v>
      </c>
      <c r="S109" s="20" t="d">
        <v>2026-12-31T00:00:00.000Z</v>
      </c>
      <c r="T109" s="20" t="d">
        <v>2026-12-31T00:00:00.000Z</v>
      </c>
      <c r="U109" s="3" t="str">
        <v>Fixed date / explicit year-end in creating act.</v>
      </c>
      <c r="V109" s="20"/>
      <c r="W109" s="21" t="str">
        <f>IF(AND(C109="Em atraso",ISNUMBER(V109)),MAX(0,Dashboard!$E$4-V109),"")</f>
      </c>
      <c r="X109" s="3" t="str">
        <v>Unpaid group participation; expense/allowance terms are stated in the original clause.</v>
      </c>
      <c r="Y109" s="3" t="str">
        <v>7 - A atividade dos membros do Grupo de Trabalho não confere o direito a qualquer prestação, independentemente da respetiva natureza, designadamente a título de remuneração, compensação, subsídio, senhas de presença ou ajudas de custo.</v>
      </c>
      <c r="Z109" s="3" t="str">
        <v>Current controlling deadline has not passed; delivery not independently verified.</v>
      </c>
      <c r="AA109" s="3" t="str">
        <v>https://diariodarepublica.pt/dr/detalhe/despacho/4749-2026-1084035715</v>
      </c>
      <c r="AB109" s="22" t="str">
        <v>Open evidence</v>
      </c>
      <c r="AC109" s="20"/>
      <c r="AD109" s="3" t="str">
        <v>No delivery evidence identified.</v>
      </c>
      <c r="AE109" s="3" t="str">
        <v>Not independently verified.</v>
      </c>
      <c r="AF109" s="3" t="str"/>
      <c r="AG109" s="3" t="str"/>
      <c r="AH109" s="3" t="str"/>
      <c r="AI109" s="3" t="str">
        <v>DR full-period singular/plural/technical phrase inventories; later acts reviewed. Outcome search: "grupo de trabalho" Lei Finanças Locais revisão relatório conclusões after:2024-04-01 before:2026-10-11. Domains: portugal.gov.pt, gov.pt, parlamento.pt, diariodarepublica.pt, justica.gov.pt, dgav.pt, icnf.pt, anac.pt, dgeg.gov.pt. Official evidence/limitations recorded in this row.</v>
      </c>
      <c r="AJ109" s="20" t="d">
        <v>2026-10-10T00:00:00.000Z</v>
      </c>
      <c r="AK109" s="3" t="str">
        <v>2026-03-30</v>
      </c>
      <c r="AL109" s="3" t="str">
        <v>Publication date.</v>
      </c>
      <c r="AM109" s="3" t="str">
        <v>Express name / creating-act summary; descriptive source label where no formal name is assigned.</v>
      </c>
      <c r="AN109" s="3" t="str">
        <v>Presidency / Council of Ministers; Finance; Economy; Territorial cohesion</v>
      </c>
      <c r="AO109" s="3" t="str">
        <v>Final report / last specified substantive output</v>
      </c>
      <c r="AP109" s="3" t="str"/>
      <c r="AQ109" s="21" t="str">
        <f>IF(AND(C109="Em atraso",ISNUMBER(D109)),COUNTIFS(Groups!$C$6:$C$127,"Em atraso",Groups!$D$6:$D$127,"&gt;"&amp;D109)+COUNTIFS($C$6:C109,"Em atraso",$D$6:D109,D109),"")</f>
      </c>
      <c r="AR109" s="21" t="n">
        <f>IF(COUNTIF($F$6:F109,F109)=1,1,0)</f>
        <v>1</v>
      </c>
    </row>
    <row r="110" ht="96" customHeight="1">
      <c r="A110" s="3" t="str">
        <v>GT-2026-011</v>
      </c>
      <c r="B110" s="3" t="str">
        <v>Grupo de Trabalho — Estratégia Nacional para os Recursos Geológicos 2035</v>
      </c>
      <c r="C110" s="3" t="str">
        <v>Em atraso</v>
      </c>
      <c r="D110" s="21" t="n">
        <f>IF(C110="Em atraso",IF(ISNUMBER(T110),MAX(0,Dashboard!$E$4-T110),""),IF(C110="Concluído com atraso",IF(AND(ISNUMBER(T110),ISNUMBER(AC110)),MAX(0,AC110-T110),""),IF(C110="Concluído no prazo",0,"")))</f>
        <v>67</v>
      </c>
      <c r="E110" s="3" t="str">
        <v>XXV</v>
      </c>
      <c r="F110" s="3" t="str">
        <v>Despacho n.º 5146/2026</v>
      </c>
      <c r="G110" s="22" t="str">
        <v>Open DR act</v>
      </c>
      <c r="H110" s="20" t="d">
        <v>2026-04-20T00:00:00.000Z</v>
      </c>
      <c r="I110" s="20" t="d">
        <v>2026-04-06T00:00:00.000Z</v>
      </c>
      <c r="J110" s="20" t="d">
        <v>2026-04-06T00:00:00.000Z</v>
      </c>
      <c r="K110" s="3" t="str">
        <v>Economia e Coesão Territorial e Ambiente e Energia - Gabinete do Ministro da Economia e da Coesão Territorial e Gabinete da Ministra do Ambiente e Energia</v>
      </c>
      <c r="L110" s="3" t="str">
        <v>a) Empresa de Desenvolvimento Mineiro (EDM), que coordena;</v>
      </c>
      <c r="M110" s="3" t="str">
        <v>2 - A Estratégia referida no número anterior deverá integrar e desenvolver os seguintes elementos programáticos:
a) Visão estratégica: «Recursos geológicos ao serviço da soberania, do desenvolvimento sustentável e de uma economia resiliente»;
b) Eixos temáticos:
i) Potenciar os recursos minerais existentes em território nacional;
ii) Garantir o aprovisionamento seguro de matérias-primas críticas;
iii) Apoiar a transição energética e a industrialização verde;
iv) Potenciar os recursos geotérmicos e hidrogeológicos;
v) Proteger e valorizar o património geológico;
vi) Recuperar zonas mineiras abandonadas e pedreiras em situação de risco;
vii) Reforçar a resiliência do setor e do País face a situações de risco;
c) Eixos transversais:
i) Melhorar a regulação, legislação e transparência;
ii) Aumentar as competências e o nível de conhecimento nacional;
iii) Apostar na inovação e na digitalização de processos;
iv) Acelerar a adoção de práticas sustentáveis e circulares;
v) Assegurar o envolvimento social e participação das comunidades;
vi) Melhorar a comunicação e desenvolver campanhas de marketing;
vii) Reforçar o financiamento e a atração de investimento.
4 - Estando em curso o processo de constituição da Agência de Geologia e Energia, I. P., nos termos do Decreto-Lei n.º 58/2026, de 20 de fevereiro, a Estratégia será elaborada por um grupo de trabalho constituído por:
a) Empresa de Desenvolvimento Mineiro (EDM), que coordena;
b) Direção-Geral de Energia e Geologia (DGEG);
c) Laboratório Nacional de Energia e Geologia (LNEG).</v>
      </c>
      <c r="N110" s="3" t="str">
        <v>Economy / Geology</v>
      </c>
      <c r="O110" s="3" t="str">
        <v>Prepare a national geological-resources strategy for 2035, integrating critical materials and environmental sustainability.</v>
      </c>
      <c r="P110" s="3" t="str">
        <v>4 - Estando em curso o processo de constituição da Agência de Geologia e Energia, I. P., nos termos do Decreto-Lei n.º 58/2026, de 20 de fevereiro, a Estratégia será elaborada por um grupo de trabalho constituído por:
a) Empresa de Desenvolvimento Mineiro (EDM), que coordena;
b) Direção-Geral de Energia e Geologia (DGEG);
c) Laboratório Nacional de Energia e Geologia (LNEG).</v>
      </c>
      <c r="Q110" s="3" t="str">
        <v>3 - Nos termos do n.º 2 do artigo 73.º do Decreto-Lei n.º 30/2021, de 7 de maio, a estratégia a elaborar deve considerar os seguintes objetivos:
a) Articulação com planos estratégicos nacionais, designadamente, o Plano Nacional de Energia e Clima (PNEC 2030);
b) Integração do trabalho desenvolvido pelo Grupo de Trabalho do Regulamento Europeu Matérias-Primas Críticas;
c) Enquadramento da revelação e exploração de depósitos minerais nas políticas públicas destinadas à transição energética;
d) Promoção da sustentabilidade ambiental do setor extrativo;
e) Sistematização do conhecimento disponível sobre os recursos geológicos existentes;
f) Identificação das necessidades do País relativamente às matérias-primas e de modos de assegurar o desenvolvimento da atividade extrativa em linha com as necessidades detetadas;
g) Identificação dos recursos geológicos críticos e estratégicos que promovam o desenvolvimento da cadeia de valor associada ao recurso no País.</v>
      </c>
      <c r="R110" s="3" t="str">
        <v>6 - Deve o grupo de trabalho determinar a necessidade de sujeição da estratégia a avaliação ambienta: date not derivable — No uniquely dated deadline derivable from this clause; cadence or trigger is preserved.
7 - A proposta de estratégia deverá ser entregue no prazo de 120 dias, após a produção de efeitos do: date not derivable — 120 dias after trigger: anchor not expressly specified; exact date cannot be verified.
8 - A proposta de estratégia deverá ser posteriormente sujeita a consulta pública, por um período de: date not derivable — 30 dias after trigger: anchor not expressly specified; exact date cannot be verified.
Final report / last specified substantive output: 2026-08-04 — signed 2026-04-06 + 120 calendar days; plain “dias” benchmark. Alternative working-day date: 2026-09-24.</v>
      </c>
      <c r="S110" s="20" t="d">
        <v>2026-08-04T00:00:00.000Z</v>
      </c>
      <c r="T110" s="20" t="d">
        <v>2026-08-04T00:00:00.000Z</v>
      </c>
      <c r="U110" s="3" t="str">
        <v>signed 2026-04-06 + 120 calendar days; plain “dias” benchmark. Alternative working-day date: 2026-09-24.</v>
      </c>
      <c r="V110" s="20" t="d">
        <v>2026-09-24T00:00:00.000Z</v>
      </c>
      <c r="W110" s="21" t="n">
        <f>IF(AND(C110="Em atraso",ISNUMBER(V110)),MAX(0,Dashboard!$E$4-V110),"")</f>
        <v>16</v>
      </c>
      <c r="X110" s="3" t="str">
        <v>Unpaid; see the original clause for the scope of the exclusion.</v>
      </c>
      <c r="Y110" s="3" t="str">
        <v>9 - A participação dos elementos referidos nos n.os 4 e 5 não confere o direito a qualquer remuneração ou ao pagamento de despesas em que incorram.</v>
      </c>
      <c r="Z110" s="3" t="str">
        <v>Controlling benchmark has passed; no evidence of this output’s delivery identified in the reviewed acts and focused official-source outcome search.</v>
      </c>
      <c r="AA110" s="3" t="str">
        <v>https://diariodarepublica.pt/dr/detalhe/despacho/5146-2026-1086825315</v>
      </c>
      <c r="AB110" s="22" t="str">
        <v>Open evidence</v>
      </c>
      <c r="AC110" s="20"/>
      <c r="AD110" s="3" t="str">
        <v>No delivery evidence identified.</v>
      </c>
      <c r="AE110" s="3" t="str">
        <v>Not independently verified.</v>
      </c>
      <c r="AF110" s="3" t="str"/>
      <c r="AG110" s="3" t="str"/>
      <c r="AH110" s="3" t="str">
        <v> Descriptive label follows the Portuguese creating clause; the full act title and exact mandate are retained separately.</v>
      </c>
      <c r="AI110" s="3" t="str">
        <v>DR full-period singular/plural/technical phrase inventories; later acts reviewed. Outcome search: "grupo de trabalho" Estratégia Nacional Recursos Geológicos 2035 relatório conclusões after:2024-04-01 before:2026-10-11. Domains: portugal.gov.pt, gov.pt, parlamento.pt, diariodarepublica.pt, justica.gov.pt, dgav.pt, icnf.pt, anac.pt, dgeg.gov.pt. Official evidence/limitations recorded in this row.</v>
      </c>
      <c r="AJ110" s="20" t="d">
        <v>2026-10-10T00:00:00.000Z</v>
      </c>
      <c r="AK110" s="3" t="str">
        <v>2026-04-06</v>
      </c>
      <c r="AL110" s="3" t="str">
        <v>Latest signature used where multiple signatures occur.</v>
      </c>
      <c r="AM110" s="3" t="str">
        <v>Express name / creating-act summary; descriptive source label where no formal name is assigned.</v>
      </c>
      <c r="AN110" s="3" t="str">
        <v>Economy; Territorial cohesion; Environment / Energy</v>
      </c>
      <c r="AO110" s="3" t="str">
        <v>Final report / last specified substantive output</v>
      </c>
      <c r="AP110" s="3" t="str">
        <v>Calendar monitoring benchmark; absence of public evidence is not proof of non-delivery.</v>
      </c>
      <c r="AQ110" s="21" t="n">
        <f>IF(AND(C110="Em atraso",ISNUMBER(D110)),COUNTIFS(Groups!$C$6:$C$127,"Em atraso",Groups!$D$6:$D$127,"&gt;"&amp;D110)+COUNTIFS($C$6:C110,"Em atraso",$D$6:D110,D110),"")</f>
        <v>58</v>
      </c>
      <c r="AR110" s="21" t="n">
        <f>IF(COUNTIF($F$6:F110,F110)=1,1,0)</f>
        <v>1</v>
      </c>
    </row>
    <row r="111" ht="96" customHeight="1">
      <c r="A111" s="3" t="str">
        <v>GT-2026-012</v>
      </c>
      <c r="B111" s="3" t="str">
        <v>Define o grupo de trabalho que irá proceder à elaboração de propostas de redes de referenciação hospitalar de cardiologia, de cirurgia cardíaca e de cirurgia torácica, incluindo uma rede de serviços de urgência</v>
      </c>
      <c r="C111" s="3" t="str">
        <v>Em atraso</v>
      </c>
      <c r="D111" s="21" t="n">
        <f>IF(C111="Em atraso",IF(ISNUMBER(T111),MAX(0,Dashboard!$E$4-T111),""),IF(C111="Concluído com atraso",IF(AND(ISNUMBER(T111),ISNUMBER(AC111)),MAX(0,AC111-T111),""),IF(C111="Concluído no prazo",0,"")))</f>
        <v>65</v>
      </c>
      <c r="E111" s="3" t="str">
        <v>XXV</v>
      </c>
      <c r="F111" s="3" t="str">
        <v>Despacho n.º 5900/2026</v>
      </c>
      <c r="G111" s="22" t="str">
        <v>Open DR act</v>
      </c>
      <c r="H111" s="20" t="d">
        <v>2026-05-08T00:00:00.000Z</v>
      </c>
      <c r="I111" s="20" t="d">
        <v>2026-04-22T00:00:00.000Z</v>
      </c>
      <c r="J111" s="20" t="d">
        <v>2026-05-08T00:00:00.000Z</v>
      </c>
      <c r="K111" s="3" t="str">
        <v>Saúde - Gabinete da Ministra da Saúde</v>
      </c>
      <c r="L111" s="3" t="str">
        <v>2 - A elaboração das propostas referidas no número anterior é cometida a um grupo de trabalho coordenado pela Dra. Fátima Franco, médica cardiologista, do Programa Nacional para as Doenças Cérebro-Cardiovasculares, e integrado pelos seguintes profissionais:</v>
      </c>
      <c r="M111" s="3" t="str">
        <v>2 - A elaboração das propostas referidas no número anterior é cometida a um grupo de trabalho coordenado pela Dra. Fátima Franco, médica cardiologista, do Programa Nacional para as Doenças Cérebro-Cardiovasculares, e integrado pelos seguintes profissionais:
a) Dr. Adelino Leite Moreira - Cirurgia Cardiotorácica - Unidade Local de Saúde de São João, E. P. E.;
b) Dr. André Luz - Cardiologia - Unidade Local de Saúde de Santo António, E. P. E.;
c) Dra. Hélia Martins - Cardiologia - Unidade Local de Saúde da Região de Leiria, E. P. E.;
d) Dr. Jorge Marques - Cardiologia - Unidade Local de Saúde de Braga, E. P. E.;
e) Dr. José Ilídio Moreira - Cardiologia - Unidade Local de Saúde Trás-os-Montes e Alto Douro, E. P. E.;
f) Dr. Marco Costa - Cardiologia de Intervenção - Unidade Local de Saúde de Coimbra, E. P. E.;
g) Dra. Marta Marques - Cirurgia Cardíaca - Unidade Local de Saúde de Lisboa Ocidental, E. P. E.;
h) Dr. Nuno Cortez - Cardiologia- Unidade Local de Saúde Santa Maria, E. P. E.;
i) Dr. Paulo Calvinho - Cirurgia Torácica - Unidade Local de Saúde de São José, E. P. E.;
j) Dr. Paulo Neves - Cirurgia Cardiotorácica - Unidade Local de Saúde de Gaia/Espinho, E. P. E.;
k) Dr. Pedro Coelho - Cirurgia Cardíaca - Unidade Local de Saúde de São José, E. P. E.;
l) Dr. Rui Anjos - Cardiologia Pediátrica - Unidade Local de Saúde de Lisboa Ocidental, E. P. E.;
m) Dr. Fernando Pereira - Administrador Hospitalar - Direção Executiva do SNS, I. P.;
n) Um elemento a indicar pela Ordem dos Médicos.</v>
      </c>
      <c r="N111" s="3" t="str">
        <v>Health</v>
      </c>
      <c r="O111" s="3" t="str">
        <v>Propose hospital referral and emergency-care networks for cardiology, cardiac surgery and thoracic surgery.</v>
      </c>
      <c r="P111" s="3" t="str">
        <v>2 - A elaboração das propostas referidas no número anterior é cometida a um grupo de trabalho coordenado pela Dra. Fátima Franco, médica cardiologista, do Programa Nacional para as Doenças Cérebro-Cardiovasculares, e integrado pelos seguintes profissionais:
a) Dr. Adelino Leite Moreira - Cirurgia Cardiotorácica - Unidade Local de Saúde de São João, E. P. E.;
b) Dr. André Luz - Cardiologia - Unidade Local de Saúde de Santo António, E. P. E.;
c) Dra. Hélia Martins - Cardiologia - Unidade Local de Saúde da Região de Leiria, E. P. E.;
d) Dr. Jorge Marques - Cardiologia - Unidade Local de Saúde de Braga, E. P. E.;
e) Dr. José Ilídio Moreira - Cardiologia - Unidade Local de Saúde Trás-os-Montes e Alto Douro, E. P. E.;
f) Dr. Marco Costa - Cardiologia de Intervenção - Unidade Local de Saúde de Coimbra, E. P. E.;
g) Dra. Marta Marques - Cirurgia Cardíaca - Unidade Local de Saúde de Lisboa Ocidental, E. P. E.;
h) Dr. Nuno Cortez - Cardiologia- Unidade Local de Saúde Santa Maria, E. P. E.;
i) Dr. Paulo Calvinho - Cirurgia Torácica - Unidade Local de Saúde de São José, E. P. E.;
j) Dr. Paulo Neves - Cirurgia Cardiotorácica - Unidade Local de Saúde de Gaia/Espinho, E. P. E.;
k) Dr. Pedro Coelho - Cirurgia Cardíaca - Unidade Local de Saúde de São José, E. P. E.;
l) Dr. Rui Anjos - Cardiologia Pediátrica - Unidade Local de Saúde de Lisboa Ocidental, E. P. E.;
m) Dr. Fernando Pereira - Administrador Hospitalar - Direção Executiva do SNS, I. P.;
n) Um elemento a indicar pela Ordem dos Médicos.</v>
      </c>
      <c r="Q111" s="3" t="str">
        <v>4 - Os membros do grupo de trabalho não auferem qualquer remuneração ou abono pelo exercício das suas funções, ressalvadas as ajudas de custo a que haja lugar nos termos legais.
5 - O grupo de trabalho pode solicitar a colaboração e o apoio técnico de outros elementos, devendo os serviços e organismos do Ministério da Saúde prestar, no âmbito das respetivas atribuições, todo o apoio que lhes for solicitado para o desempenho da sua missão.</v>
      </c>
      <c r="R111" s="3" t="str">
        <v>3 - O grupo de trabalho deverá apresentar, no prazo de 90 dias, propostas de redes de referenciação : date not derivable — 90 dias after trigger: anchor not expressly specified; exact date cannot be verified.
Final report / last specified substantive output: 2026-08-06 — published 2026-05-08 + 90 calendar days; plain “dias” benchmark. Alternative working-day date: 2026-09-15.</v>
      </c>
      <c r="S111" s="20" t="d">
        <v>2026-08-06T00:00:00.000Z</v>
      </c>
      <c r="T111" s="20" t="d">
        <v>2026-08-06T00:00:00.000Z</v>
      </c>
      <c r="U111" s="3" t="str">
        <v>published 2026-05-08 + 90 calendar days; plain “dias” benchmark. Alternative working-day date: 2026-09-15.</v>
      </c>
      <c r="V111" s="20" t="d">
        <v>2026-09-15T00:00:00.000Z</v>
      </c>
      <c r="W111" s="21" t="n">
        <f>IF(AND(C111="Em atraso",ISNUMBER(V111)),MAX(0,Dashboard!$E$4-V111),"")</f>
        <v>25</v>
      </c>
      <c r="X111" s="3" t="str">
        <v>Unpaid group participation; expense/allowance terms are stated in the original clause.</v>
      </c>
      <c r="Y111" s="3" t="str">
        <v>4 - Os membros do grupo de trabalho não auferem qualquer remuneração ou abono pelo exercício das suas funções, ressalvadas as ajudas de custo a que haja lugar nos termos legais.</v>
      </c>
      <c r="Z111" s="3" t="str">
        <v>Controlling benchmark has passed; no evidence of this output’s delivery identified in the reviewed acts and focused official-source outcome search.</v>
      </c>
      <c r="AA111" s="3" t="str">
        <v>https://diariodarepublica.pt/dr/detalhe/despacho/5900-2026-1114075412</v>
      </c>
      <c r="AB111" s="22" t="str">
        <v>Open evidence</v>
      </c>
      <c r="AC111" s="20"/>
      <c r="AD111" s="3" t="str">
        <v>No delivery evidence identified.</v>
      </c>
      <c r="AE111" s="3" t="str">
        <v>Not independently verified.</v>
      </c>
      <c r="AF111" s="3" t="str"/>
      <c r="AG111" s="3" t="str"/>
      <c r="AH111" s="3" t="str"/>
      <c r="AI111" s="3" t="str">
        <v>DR full-period singular/plural/technical phrase inventories; later acts reviewed. Outcome search: "grupo de trabalho" rede referenciação cardiologia cirurgia cardíaca torácica relatório conclusões after:2024-04-01 before:2026-10-11. Domains: portugal.gov.pt, gov.pt, parlamento.pt, diariodarepublica.pt, justica.gov.pt, dgav.pt, icnf.pt, anac.pt, dgeg.gov.pt. Official evidence/limitations recorded in this row.</v>
      </c>
      <c r="AJ111" s="20" t="d">
        <v>2026-10-10T00:00:00.000Z</v>
      </c>
      <c r="AK111" s="3" t="str">
        <v>2026-04-22</v>
      </c>
      <c r="AL111" s="3" t="str">
        <v>Publication date.</v>
      </c>
      <c r="AM111" s="3" t="str">
        <v>Express name / creating-act summary; descriptive source label where no formal name is assigned.</v>
      </c>
      <c r="AN111" s="3" t="str">
        <v>Health</v>
      </c>
      <c r="AO111" s="3" t="str">
        <v>Final report / last specified substantive output</v>
      </c>
      <c r="AP111" s="3" t="str">
        <v>Calendar monitoring benchmark; absence of public evidence is not proof of non-delivery.</v>
      </c>
      <c r="AQ111" s="21" t="n">
        <f>IF(AND(C111="Em atraso",ISNUMBER(D111)),COUNTIFS(Groups!$C$6:$C$127,"Em atraso",Groups!$D$6:$D$127,"&gt;"&amp;D111)+COUNTIFS($C$6:C111,"Em atraso",$D$6:D111,D111),"")</f>
        <v>59</v>
      </c>
      <c r="AR111" s="21" t="n">
        <f>IF(COUNTIF($F$6:F111,F111)=1,1,0)</f>
        <v>1</v>
      </c>
    </row>
    <row r="112" ht="96" customHeight="1">
      <c r="A112" s="3" t="str">
        <v>GT-2026-013</v>
      </c>
      <c r="B112" s="3" t="str">
        <v>grupo de trabalho para a elaboração de anteprojeto de diploma com vista à promoção da eficácia e da celeridade do processo penal</v>
      </c>
      <c r="C112" s="3" t="str">
        <v>Em atraso</v>
      </c>
      <c r="D112" s="21" t="n">
        <f>IF(C112="Em atraso",IF(ISNUMBER(T112),MAX(0,Dashboard!$E$4-T112),""),IF(C112="Concluído com atraso",IF(AND(ISNUMBER(T112),ISNUMBER(AC112)),MAX(0,AC112-T112),""),IF(C112="Concluído no prazo",0,"")))</f>
        <v>71</v>
      </c>
      <c r="E112" s="3" t="str">
        <v>XXV</v>
      </c>
      <c r="F112" s="3" t="str">
        <v>Despacho n.º 6859/2026</v>
      </c>
      <c r="G112" s="22" t="str">
        <v>Open DR act</v>
      </c>
      <c r="H112" s="20" t="d">
        <v>2026-05-29T00:00:00.000Z</v>
      </c>
      <c r="I112" s="20" t="d">
        <v>2026-05-22T00:00:00.000Z</v>
      </c>
      <c r="J112" s="20" t="d">
        <v>2026-05-22T00:00:00.000Z</v>
      </c>
      <c r="K112" s="3" t="str">
        <v>Finanças e Justiça - Gabinete do Ministro de Estado e das Finanças e Gabinete da Ministra da Justiça</v>
      </c>
      <c r="L112" s="3" t="str">
        <v>Prof.ª Doutora Helena Marisa Pinheiro Costa Morão, professora associada da Faculdade de Direito da Universidade de Lisboa, que preside;</v>
      </c>
      <c r="M112" s="3" t="str">
        <v>3 - O grupo de trabalho integra os seguintes elementos:
Prof.ª Doutora Helena Marisa Pinheiro Costa Morão, professora associada da Faculdade de Direito da Universidade de Lisboa, que preside;
Dr.ª Ana Maria Barata de Brito, juíza conselheira jubilada do Supremo Tribunal de Justiça;
Dr. Rui Manuel de Jesus Batista, procurador da República;
Dr. João Matos Viana, advogado;
Dr. Afonso Gomes Teixeira Esteves Virtuoso, técnico especialista do Gabinete do Ministro da Presidência;
Dr.ª Mariana Pedrosa Costa Marques da Fonseca, técnica especialista do Gabinete da Ministra da Justiça;
Dr.ª Maria Adriana Alves Martins Barreiros, consultora da Direção-Geral da Política de Justiça do Ministério da Justiça.
6 - À presidente e aos membros do grupo de trabalho não magistrados ou que não se encontrem integrados nos serviços do Ministério da Justiça ou nos gabinetes ministeriais é atribuída uma gratificação, no momento da apresentação do anteprojeto à Ministra da Justiça, no valor de, respetivamente, 5000,00 € e 2030,00 €, ao abrigo e nos termos do disposto na alínea c) do n.º 1 do artigo 6.º do Decreto-Lei n.º 110-A/81, de 14 de maio.</v>
      </c>
      <c r="N112" s="3" t="str">
        <v>Justice</v>
      </c>
      <c r="O112" s="3" t="str">
        <v>Draft criminal-procedure reforms to improve efficiency and speed, including anticorruption measures.</v>
      </c>
      <c r="P112" s="3" t="str">
        <v>1 - A constituição de um grupo de trabalho para a elaboração de anteprojeto de diploma com vista à promoção da eficácia e da celeridade do processo penal.</v>
      </c>
      <c r="Q112" s="3" t="str">
        <v>2 - Compete ao grupo de trabalho apresentar um anteprojeto de diploma de revisão da legislação processual penal, no sentido de a dotar de maior eficácia e celeridade. Além das matérias assinaladas na Agenda Anticorrupção (documento técnico, pontos 11.3, 12.1, 12.2, 12.3, 12.4 e 12.5), o grupo de trabalho deve abordar outros domínios que considere pertinentes para a prossecução do objetivo de dotar o processo penal de maior eficácia e celeridade. Designadamente, devem ser considerados os resultados apresentados pelo grupo de trabalho «Megaprocessos e processo penal: carta para a celeridade e melhor justiça», criado pelo Conselho Superior da Magistratura. A eventual necessidade de alteração da legislação processual penal para a tornar conforme com as exigências resultantes para o Estado português da jurisprudência do Tribunal Europeu dos Direitos Humanos deve igualmente ser avaliada.
7 - Os membros do grupo de trabalho têm direito ao pagamento de ajudas de custo pelas deslocações realizadas, nos termos legais em vigor, sendo que, no caso dos membros sem vínculo à função pública, é aplicável o montante correspondente ao fixado para remunerações superiores ao nível remuneratório 18, dos trabalhadores que exercem funções públicas, ao abrigo do disposto no artigo 14.º do Decreto-Lei n.º 106/98, de 24 de abril, na redação atual, conjugado com o disposto na Portaria n.º 1553-D/2008, de 31 de dezembro, na redação atual.</v>
      </c>
      <c r="R112" s="3" t="str">
        <v>Final report / last specified substantive output: 2026-07-31 — Fixed date / explicit year-end in creating act.</v>
      </c>
      <c r="S112" s="20" t="d">
        <v>2026-07-31T00:00:00.000Z</v>
      </c>
      <c r="T112" s="20" t="d">
        <v>2026-07-31T00:00:00.000Z</v>
      </c>
      <c r="U112" s="3" t="str">
        <v>Fixed date / explicit year-end in creating act.</v>
      </c>
      <c r="V112" s="20"/>
      <c r="W112" s="21" t="str">
        <f>IF(AND(C112="Em atraso",ISNUMBER(V112)),MAX(0,Dashboard!$E$4-V112),"")</f>
      </c>
      <c r="X112" s="3" t="str">
        <v>Payment terms specified; see original clause.</v>
      </c>
      <c r="Y112" s="3" t="str">
        <v>6 - À presidente e aos membros do grupo de trabalho não magistrados ou que não se encontrem integrados nos serviços do Ministério da Justiça ou nos gabinetes ministeriais é atribuída uma gratificação, no momento da apresentação do anteprojeto à Ministra da Justiça, no valor de, respetivamente, 5000,00 € e 2030,00 €, ao abrigo e nos termos do disposto na alínea c) do n.º 1 do artigo 6.º do Decreto-Lei n.º 110-A/81, de 14 de maio.
7 - Os membros do grupo de trabalho têm direito ao pagamento de ajudas de custo pelas deslocações realizadas, nos termos legais em vigor, sendo que, no caso dos membros sem vínculo à função pública, é aplicável o montante correspondente ao fixado para remunerações superiores ao nível remuneratório 18, dos trabalhadores que exercem funções públicas, ao abrigo do disposto no artigo 14.º do Decreto-Lei n.º 106/98, de 24 de abril, na redação atual, conjugado com o disposto na Portaria n.º 1553-D/2008, de 31 de dezembro, na redação atual.</v>
      </c>
      <c r="Z112" s="3" t="str">
        <v>Controlling benchmark has passed; no evidence of this output’s delivery identified in the reviewed acts and focused official-source outcome search.</v>
      </c>
      <c r="AA112" s="3" t="str">
        <v>https://diariodarepublica.pt/dr/detalhe/despacho/6859-2026-1127910940</v>
      </c>
      <c r="AB112" s="22" t="str">
        <v>Open evidence</v>
      </c>
      <c r="AC112" s="20"/>
      <c r="AD112" s="3" t="str">
        <v>No delivery evidence identified.</v>
      </c>
      <c r="AE112" s="3" t="str">
        <v>Not independently verified.</v>
      </c>
      <c r="AF112" s="3" t="str"/>
      <c r="AG112" s="3" t="str"/>
      <c r="AH112" s="3" t="str"/>
      <c r="AI112" s="3" t="str">
        <v>DR full-period singular/plural/technical phrase inventories; later acts reviewed. Outcome search: "grupo de trabalho" Código Processo Penal revisão 2026 relatório conclusões after:2024-04-01 before:2026-10-11. Domains: portugal.gov.pt, gov.pt, parlamento.pt, diariodarepublica.pt, justica.gov.pt, dgav.pt, icnf.pt, anac.pt, dgeg.gov.pt. Official evidence/limitations recorded in this row.</v>
      </c>
      <c r="AJ112" s="20" t="d">
        <v>2026-10-10T00:00:00.000Z</v>
      </c>
      <c r="AK112" s="3" t="str">
        <v>2026-05-21; 2026-05-22</v>
      </c>
      <c r="AL112" s="3" t="str">
        <v>Latest signature used where multiple signatures occur.</v>
      </c>
      <c r="AM112" s="3" t="str">
        <v>Express name / creating-act summary; descriptive source label where no formal name is assigned.</v>
      </c>
      <c r="AN112" s="3" t="str">
        <v>Finance; Justice</v>
      </c>
      <c r="AO112" s="3" t="str">
        <v>Final report / last specified substantive output</v>
      </c>
      <c r="AP112" s="3" t="str">
        <v>Calendar monitoring benchmark; absence of public evidence is not proof of non-delivery.</v>
      </c>
      <c r="AQ112" s="21" t="n">
        <f>IF(AND(C112="Em atraso",ISNUMBER(D112)),COUNTIFS(Groups!$C$6:$C$127,"Em atraso",Groups!$D$6:$D$127,"&gt;"&amp;D112)+COUNTIFS($C$6:C112,"Em atraso",$D$6:D112,D112),"")</f>
        <v>56</v>
      </c>
      <c r="AR112" s="21" t="n">
        <f>IF(COUNTIF($F$6:F112,F112)=1,1,0)</f>
        <v>1</v>
      </c>
    </row>
    <row r="113" ht="96" customHeight="1">
      <c r="A113" s="3" t="str">
        <v>GT-2026-014</v>
      </c>
      <c r="B113" s="3" t="str">
        <v>Grupo de Trabalho para a Reforma do Modelo de Acesso à Rede Elétrica de Serviço Público, doravante designado por GT-Acesso-RESP</v>
      </c>
      <c r="C113" s="3" t="str">
        <v>Em atraso</v>
      </c>
      <c r="D113" s="21" t="n">
        <f>IF(C113="Em atraso",IF(ISNUMBER(T113),MAX(0,Dashboard!$E$4-T113),""),IF(C113="Concluído com atraso",IF(AND(ISNUMBER(T113),ISNUMBER(AC113)),MAX(0,AC113-T113),""),IF(C113="Concluído no prazo",0,"")))</f>
        <v>70</v>
      </c>
      <c r="E113" s="3" t="str">
        <v>XXV</v>
      </c>
      <c r="F113" s="3" t="str">
        <v>Despacho n.º 6941/2026</v>
      </c>
      <c r="G113" s="22" t="str">
        <v>Open DR act</v>
      </c>
      <c r="H113" s="20" t="d">
        <v>2026-06-01T00:00:00.000Z</v>
      </c>
      <c r="I113" s="20" t="d">
        <v>2026-05-23T00:00:00.000Z</v>
      </c>
      <c r="J113" s="20" t="d">
        <v>2026-06-02T00:00:00.000Z</v>
      </c>
      <c r="K113" s="3" t="str">
        <v>Ambiente e Energia - Gabinete do Secretário de Estado Adjunto e da Energia</v>
      </c>
      <c r="L113" s="3" t="str">
        <v>i) Uma personalidade independente com conhecimentos das matérias em apreço, que coordena;</v>
      </c>
      <c r="M113" s="3" t="str">
        <v>4 - Devem ser convidados a acompanhar os trabalhos do GT-Acesso-RESP, através da participação em reuniões específicas ou da apresentação de contributos escritos, representantes das seguintes entidades:
a) Estrutura de Missão para o Licenciamento de Projetos de Energias Renováveis 2030 (EMER 2030);
b) Entidade Reguladora dos Serviços Energéticos (ERSE);
c) Associação Portuguesa das Empresas do Sector Elétrico (ELECPOR);
d) Associação Portuguesa de Energias Renováveis (APREN);
e) Associação Nacional de Municípios Portugueses (ANMP);
f) Outras entidades públicas, privadas, bem como especialistas a título individual, cuja participação se revele útil em função da matéria em análise.</v>
      </c>
      <c r="N113" s="3" t="str">
        <v>Energy</v>
      </c>
      <c r="O113" s="3" t="str">
        <v>Design a new model for access to the public electricity grid and draft the necessary legal changes.</v>
      </c>
      <c r="P113" s="3" t="str">
        <v>1 - É criado o Grupo de Trabalho para a Reforma do Modelo de Acesso à Rede Elétrica de Serviço Público, doravante designado por GT-Acesso-RESP.</v>
      </c>
      <c r="Q113" s="3" t="str">
        <v>2 - Compete ao GT-Acesso-RESP preparar a reforma do modelo de acesso à RESP, aplicável à produção, armazenamento e consumo de energia, assegurando, designadamente:
a) O diagnóstico do atual modelo de acesso à RESP para projetos de produção, armazenamento e consumo de energia, incluindo também o dimensionamento e caracterização dos atuais pedidos e perspetivas de evolução futura num horizonte temporal de longo-prazo (e. g., 10 anos);
b) A identificação e análise de modelos de acesso à rede existentes noutros países europeus que possam ser considerados como uma referência para os objetivos do Grupo de Trabalho, incluindo detalhe dos critérios, procedimentos e eventuais processos de transição;
c) A análise dos instrumentos complementares de política energética nacional e planeamento da rede, designadamente o Plano Nacional de Energia e Clima (PNEC), trabalhos em curso para a elaboração do Programa Setorial das Zonas de Aceleração da Implantação de Energias Renováveis (PSZAER) e da Estratégia Nacional de Armazenamento e demais instrumentos considerados relevantes;
d) A formulação dos princípios orientadores da reforma do modelo de acesso à RESP;
e) A conceção detalhada do novo modelo de acesso à RESP, que estabeleça, pelo menos, as modalidades de acesso, regras e etapas aplicáveis a cada modalidade, articulação com outros regimes jurídicos, entidades envolvidas, documentação instrutória, plataformas de suporte, critérios de análise e priorização e prazos aplicáveis, considerando as dimensões de produção, armazenamento e consumo;
f) A elaboração de propostas de alterações legislativas e regulamentares necessárias à concretização do novo modelo de acesso à RESP.</v>
      </c>
      <c r="R113" s="3" t="str">
        <v>a) O diagnóstico do atual modelo de acesso à RESP para projetos de produção, armazenamento e consumo: date not derivable — 10 anos after trigger: anchor not expressly specified; exact date cannot be verified.
e) A conceção detalhada do novo modelo de acesso à RESP, que estabeleça, pelo menos, as modalidades : date not derivable — No uniquely dated deadline derivable from this clause; cadence or trigger is preserved.
7 - O GT-Acesso-RESP deve reunir com periodicidade mínima quinzenal, para assegurar o acompanhamento: date not derivable — No uniquely dated deadline derivable from this clause; cadence or trigger is preserved.
a) No prazo de 20 dias a contar da entrada em vigor do presente despacho, a DGEG deverá assegurar a : 2026-06-22 — 2026-06-02 + 20 calendar days (monitoring convention). If CPA procedural counting applies: 2026-07-02.
b) No prazo de 10 dias após a constituição do GT-Acesso-RESP, é realizada a reunião de formalização : date not derivable — 10 dias after trigger: Actual constitution / start date not independently public.; exact date cannot be verified.
c) No prazo de 60 dias a contar da entrada em vigor do presente despacho, é entregue um primeiro rel: 2026-08-01 — 2026-06-02 + 60 calendar days (monitoring convention). If CPA procedural counting applies: 2026-08-27.
d) No prazo de 20 dias após a apresentação do primeiro relatório intercalar, é entregue um segundo r: date not derivable — 20 dias after trigger: Actual constitution / start date not independently public.; exact date cannot be verified.
e) No prazo de 60 dias após a apresentação do segundo relatório intercalar, é entregue o relatório f: date not derivable — 60 dias after trigger: Actual constitution / start date not independently public.; exact date cannot be verified.
11 - O GT-Acesso-RESP mantém-se em atividade pelo prazo de um ano a contar da data de entrada em vig: 2027-06-01 — 2026-06-01 + 1 ano by calendar anniversary, end-of-month capped if necessary.
Final report / last specified substantive output: 2026-08-01 — effective 2026-06-02 + 60 calendar days; plain “dias” benchmark. Alternative working-day date: 2026-08-27.</v>
      </c>
      <c r="S113" s="20" t="d">
        <v>2026-08-01T00:00:00.000Z</v>
      </c>
      <c r="T113" s="20" t="d">
        <v>2026-08-01T00:00:00.000Z</v>
      </c>
      <c r="U113" s="3" t="str">
        <v>effective 2026-06-02 + 60 calendar days; plain “dias” benchmark. Alternative working-day date: 2026-08-27.</v>
      </c>
      <c r="V113" s="20" t="d">
        <v>2026-08-27T00:00:00.000Z</v>
      </c>
      <c r="W113" s="21" t="n">
        <f>IF(AND(C113="Em atraso",ISNUMBER(V113)),MAX(0,Dashboard!$E$4-V113),"")</f>
        <v>44</v>
      </c>
      <c r="X113" s="3" t="str">
        <v>Unpaid; see the original clause for the scope of the exclusion.</v>
      </c>
      <c r="Y113" s="3" t="str">
        <v>12 - Pela participação no GT-Acesso-RESP, não é devido aos seus membros e às pessoas que com ele colaboram, a qualquer título, o pagamento de qualquer remuneração, abono ou senha de presença pelo trabalho desenvolvido.</v>
      </c>
      <c r="Z113" s="3" t="str">
        <v>Controlling benchmark has passed; no evidence of this output’s delivery identified in the reviewed acts and focused official-source outcome search.</v>
      </c>
      <c r="AA113" s="3" t="str">
        <v>https://diariodarepublica.pt/dr/detalhe/despacho/6941-2026-1128499274</v>
      </c>
      <c r="AB113" s="22" t="str">
        <v>Open evidence</v>
      </c>
      <c r="AC113" s="20"/>
      <c r="AD113" s="3" t="str">
        <v>No delivery evidence identified.</v>
      </c>
      <c r="AE113" s="3" t="str">
        <v>Not independently verified.</v>
      </c>
      <c r="AF113" s="3" t="str"/>
      <c r="AG113" s="3" t="str"/>
      <c r="AH113" s="3" t="str">
        <v> First report deadline is assessable. Later 20-day and 60-day phases run from actual preceding report delivery, which is unknown; final date is not fabricated.</v>
      </c>
      <c r="AI113" s="3" t="str">
        <v>DR full-period singular/plural/technical phrase inventories; later acts reviewed. Outcome search: "grupo de trabalho" acesso rede elétrica novo modelo relatório conclusões after:2024-04-01 before:2026-10-11. Domains: portugal.gov.pt, gov.pt, parlamento.pt, diariodarepublica.pt, justica.gov.pt, dgav.pt, icnf.pt, anac.pt, dgeg.gov.pt. Official evidence/limitations recorded in this row.</v>
      </c>
      <c r="AJ113" s="20" t="d">
        <v>2026-10-10T00:00:00.000Z</v>
      </c>
      <c r="AK113" s="3" t="str">
        <v>2026-05-23</v>
      </c>
      <c r="AL113" s="3" t="str">
        <v>Day after publication.</v>
      </c>
      <c r="AM113" s="3" t="str">
        <v>Express name / creating-act summary; descriptive source label where no formal name is assigned.</v>
      </c>
      <c r="AN113" s="3" t="str">
        <v>Environment / Energy</v>
      </c>
      <c r="AO113" s="3" t="str">
        <v>Final report / last specified substantive output</v>
      </c>
      <c r="AP113" s="3" t="str">
        <v>Calendar monitoring benchmark; absence of public evidence is not proof of non-delivery.</v>
      </c>
      <c r="AQ113" s="21" t="n">
        <f>IF(AND(C113="Em atraso",ISNUMBER(D113)),COUNTIFS(Groups!$C$6:$C$127,"Em atraso",Groups!$D$6:$D$127,"&gt;"&amp;D113)+COUNTIFS($C$6:C113,"Em atraso",$D$6:D113,D113),"")</f>
        <v>57</v>
      </c>
      <c r="AR113" s="21" t="n">
        <f>IF(COUNTIF($F$6:F113,F113)=1,1,0)</f>
        <v>1</v>
      </c>
    </row>
    <row r="114" ht="96" customHeight="1">
      <c r="A114" s="3" t="str">
        <v>GT-2026-015</v>
      </c>
      <c r="B114" s="3" t="str">
        <v>grupo de trabalho com o objetivo de elaborar uma proposta de uma Lei Geral da Segurança e Saúde no Trabalho (LGSST)</v>
      </c>
      <c r="C114" s="3" t="str">
        <v>Sem informação pública</v>
      </c>
      <c r="D114" s="21" t="str">
        <f>IF(C114="Em atraso",IF(ISNUMBER(T114),MAX(0,Dashboard!$E$4-T114),""),IF(C114="Concluído com atraso",IF(AND(ISNUMBER(T114),ISNUMBER(AC114)),MAX(0,AC114-T114),""),IF(C114="Concluído no prazo",0,"")))</f>
      </c>
      <c r="E114" s="3" t="str">
        <v>XXV</v>
      </c>
      <c r="F114" s="3" t="str">
        <v>Despacho n.º 7229/2026</v>
      </c>
      <c r="G114" s="22" t="str">
        <v>Open DR act</v>
      </c>
      <c r="H114" s="20" t="d">
        <v>2026-06-08T00:00:00.000Z</v>
      </c>
      <c r="I114" s="20" t="d">
        <v>2026-05-29T00:00:00.000Z</v>
      </c>
      <c r="J114" s="20" t="d">
        <v>2026-05-29T00:00:00.000Z</v>
      </c>
      <c r="K114" s="3" t="str">
        <v>Trabalho, Solidariedade e Segurança Social - Gabinete do Secretário de Estado Adjunto e do Trabalho</v>
      </c>
      <c r="L114" s="3" t="str">
        <v>a) Dois representantes da Autoridade para as Condições do Trabalho (ACT), que preside ao grupo de trabalho;</v>
      </c>
      <c r="M114" s="3" t="str">
        <v>2 - O grupo de trabalho funciona na dependência do Secretário de Estado Adjunto e do Trabalho e tem a seguinte composição:
a) Dois representantes da Autoridade para as Condições do Trabalho (ACT), que preside ao grupo de trabalho;
b) Dois representantes da Direção-Geral do Emprego e das Relações de Trabalho;
c) Dois representantes do Instituto do Emprego e da Formação Profissional, I. P.;
d) Dois representantes do Gabinete do Secretário de Estado Adjunto e do Trabalho.</v>
      </c>
      <c r="N114" s="3" t="str">
        <v>Labour / Health</v>
      </c>
      <c r="O114" s="3" t="str">
        <v>Draft a modernised and simpler General Occupational Safety and Health Law.</v>
      </c>
      <c r="P114" s="3" t="str">
        <v>1 - A constituição de um grupo de trabalho com o objetivo de elaborar uma proposta de uma Lei Geral da Segurança e Saúde no Trabalho (LGSST), numa abordagem orientada para a modernização, a simplificação e a racionalização e considerando o contexto atual de conhecimento e do processo de transição digital, a apresentar ao Secretário de Estado Adjunto e do Trabalho.</v>
      </c>
      <c r="Q114" s="3" t="str">
        <v>1 - A constituição de um grupo de trabalho com o objetivo de elaborar uma proposta de uma Lei Geral da Segurança e Saúde no Trabalho (LGSST), numa abordagem orientada para a modernização, a simplificação e a racionalização e considerando o contexto atual de conhecimento e do processo de transição digital, a apresentar ao Secretário de Estado Adjunto e do Trabalho.</v>
      </c>
      <c r="R114" s="3" t="str">
        <v>6 - O grupo de trabalho reúne com uma regularidade adequada à conclusão dos trabalhos no prazo defin: date not derivable — No uniquely dated deadline derivable from this clause; cadence or trigger is preserved.
7 - A ACT, na qualidade de entidade coordenadora, convoca a primeira reunião no prazo máximo de 10 d: 2026-06-08 — 2026-05-29 + 10 calendar days (monitoring convention). If CPA procedural counting applies: 2026-06-16.</v>
      </c>
      <c r="S114" s="20"/>
      <c r="T114" s="20"/>
      <c r="U114" s="3" t="str"/>
      <c r="V114" s="20"/>
      <c r="W114" s="21" t="str">
        <f>IF(AND(C114="Em atraso",ISNUMBER(V114)),MAX(0,Dashboard!$E$4-V114),"")</f>
      </c>
      <c r="X114" s="3" t="str">
        <v>Unpaid group participation; expense/allowance terms are stated in the original clause.</v>
      </c>
      <c r="Y114" s="3" t="str">
        <v>8 - A participação no grupo de trabalho não confere o direito a qualquer prestação, independentemente da respetiva natureza, designadamente a título de remuneração, compensação, subsídio, senhas de presença ou ajudas de custo.</v>
      </c>
      <c r="Z114" s="3" t="str">
        <v>No dated final-output deadline / public trigger date, and delivery cannot be verified.</v>
      </c>
      <c r="AA114" s="3" t="str">
        <v>https://diariodarepublica.pt/dr/detalhe/despacho/7229-2026-1130120993</v>
      </c>
      <c r="AB114" s="22" t="str">
        <v>Open evidence</v>
      </c>
      <c r="AC114" s="20"/>
      <c r="AD114" s="3" t="str">
        <v>No delivery evidence identified.</v>
      </c>
      <c r="AE114" s="3" t="str">
        <v>Not independently verified.</v>
      </c>
      <c r="AF114" s="3" t="str"/>
      <c r="AG114" s="3" t="str"/>
      <c r="AH114" s="3" t="str"/>
      <c r="AI114" s="3" t="str">
        <v>DR full-period singular/plural/technical phrase inventories; later acts reviewed. Outcome search: "grupo de trabalho" Lei Geral Segurança Saúde Trabalho relatório conclusões after:2024-04-01 before:2026-10-11. Domains: portugal.gov.pt, gov.pt, parlamento.pt, diariodarepublica.pt, justica.gov.pt, dgav.pt, icnf.pt, anac.pt, dgeg.gov.pt. Official evidence/limitations recorded in this row.</v>
      </c>
      <c r="AJ114" s="20" t="d">
        <v>2026-10-10T00:00:00.000Z</v>
      </c>
      <c r="AK114" s="3" t="str">
        <v>2026-05-29</v>
      </c>
      <c r="AL114" s="3" t="str">
        <v>Latest signature used where multiple signatures occur.</v>
      </c>
      <c r="AM114" s="3" t="str">
        <v>Express name / creating-act summary; descriptive source label where no formal name is assigned.</v>
      </c>
      <c r="AN114" s="3" t="str">
        <v>Labour / Social security</v>
      </c>
      <c r="AO114" s="3" t="str">
        <v>No dated final output / unknown trigger</v>
      </c>
      <c r="AP114" s="3" t="str"/>
      <c r="AQ114" s="21" t="str">
        <f>IF(AND(C114="Em atraso",ISNUMBER(D114)),COUNTIFS(Groups!$C$6:$C$127,"Em atraso",Groups!$D$6:$D$127,"&gt;"&amp;D114)+COUNTIFS($C$6:C114,"Em atraso",$D$6:D114,D114),"")</f>
      </c>
      <c r="AR114" s="21" t="n">
        <f>IF(COUNTIF($F$6:F114,F114)=1,1,0)</f>
        <v>1</v>
      </c>
    </row>
    <row r="115" ht="96" customHeight="1">
      <c r="A115" s="3" t="str">
        <v>GT-2026-016</v>
      </c>
      <c r="B115" s="3" t="str">
        <v>grupo de trabalho para elaborar a proposta de legislação que garanta a aplicação das Convenções da Haia de 1980 e de 1996 e do Regulamento Bruxelas II TER</v>
      </c>
      <c r="C115" s="3" t="str">
        <v>Sem informação pública</v>
      </c>
      <c r="D115" s="21" t="str">
        <f>IF(C115="Em atraso",IF(ISNUMBER(T115),MAX(0,Dashboard!$E$4-T115),""),IF(C115="Concluído com atraso",IF(AND(ISNUMBER(T115),ISNUMBER(AC115)),MAX(0,AC115-T115),""),IF(C115="Concluído no prazo",0,"")))</f>
      </c>
      <c r="E115" s="3" t="str">
        <v>XXV</v>
      </c>
      <c r="F115" s="3" t="str">
        <v>Despacho n.º 7381/2026</v>
      </c>
      <c r="G115" s="22" t="str">
        <v>Open DR act</v>
      </c>
      <c r="H115" s="20" t="d">
        <v>2026-06-12T00:00:00.000Z</v>
      </c>
      <c r="I115" s="20" t="d">
        <v>2026-06-03T00:00:00.000Z</v>
      </c>
      <c r="J115" s="20" t="d">
        <v>2026-06-12T00:00:00.000Z</v>
      </c>
      <c r="K115" s="3" t="str">
        <v>Finanças e Justiça - Gabinete da Ministra da Justiça e Gabinete da Secretária de Estado da Administração Pública</v>
      </c>
      <c r="L115" s="3" t="str">
        <v>a) Juiz desembargador António José Barrocal Fialho, juiz de ligação da Rede Internacional de Juízes da Haia, que coordena;</v>
      </c>
      <c r="M115" s="3" t="str">
        <v>3 - O Grupo de Trabalho tem a seguinte composição:
a) Juiz desembargador António José Barrocal Fialho, juiz de ligação da Rede Internacional de Juízes da Haia, que coordena;
b) Dr.ª Maria João Duarte, representante da Procuradoria-Geral da República;
c) Dr.ª Maria Eduarda Proença de Carvalho, representante da Ordem dos Advogados;
d) Dr. Miguel Vara, representante da Direção-Geral da Administração de Justiça, na qualidade de Autoridade Central;
e) Dr.ª Sara Almeida, representante da Direção-Geral da Política de Justiça;
f) Dr.ª Suzana Ferreira, representante da Direção-Geral da Segurança Social;
g) Dr.ª Sandra Monteiro, representante do Instituto dos Registos e do Notariado, I. P.</v>
      </c>
      <c r="N115" s="3" t="str">
        <v>Justice / Children</v>
      </c>
      <c r="O115" s="3" t="str">
        <v>Draft procedures implementing international child-abduction, child-protection and parental-responsibility instruments.</v>
      </c>
      <c r="P115" s="3" t="str">
        <v>1 - É criado um grupo de trabalho (Grupo de Trabalho) com a missão de elaborar a legislação necessária para a adoção de procedimentos céleres e adequados, na aplicação dos seguintes instrumentos de direito internacional:
a) Convenção sobre os Aspetos Civis do Rapto Internacional de Crianças, concluída na Haia, em 25 de outubro de 1980, pela Conferência de Haia de Direito Internacional Privado, aprovada pelo Decreto do Governo n.º 33/83, de 11 de maio (Convenção de Haia de 1980);
b) Convenção relativa à Competência, à Lei Aplicável, ao Reconhecimento, à Execução e à Cooperação em Matéria de Responsabilidade Parental e Medidas de Proteção das Crianças, adotada na Haia em 19 de outubro de 1996, aprovada pelo Decreto n.º 52/2008, de 13 de novembro (Convenção de Haia de 1996);
c) Regulamento (UE) 2019/1111, do Conselho, de 25 de junho de 2019, relativo à competência, ao reconhecimento e à execução de decisões em matéria matrimonial e em matéria de responsabilidade parental e ao rapto internacional de crianças (Regulamento Bruxelas II TER).</v>
      </c>
      <c r="Q115" s="3" t="str">
        <v>1 - É criado um grupo de trabalho (Grupo de Trabalho) com a missão de elaborar a legislação necessária para a adoção de procedimentos céleres e adequados, na aplicação dos seguintes instrumentos de direito internacional:
a) Convenção sobre os Aspetos Civis do Rapto Internacional de Crianças, concluída na Haia, em 25 de outubro de 1980, pela Conferência de Haia de Direito Internacional Privado, aprovada pelo Decreto do Governo n.º 33/83, de 11 de maio (Convenção de Haia de 1980);
b) Convenção relativa à Competência, à Lei Aplicável, ao Reconhecimento, à Execução e à Cooperação em Matéria de Responsabilidade Parental e Medidas de Proteção das Crianças, adotada na Haia em 19 de outubro de 1996, aprovada pelo Decreto n.º 52/2008, de 13 de novembro (Convenção de Haia de 1996);
c) Regulamento (UE) 2019/1111, do Conselho, de 25 de junho de 2019, relativo à competência, ao reconhecimento e à execução de decisões em matéria matrimonial e em matéria de responsabilidade parental e ao rapto internacional de crianças (Regulamento Bruxelas II TER).
4 - Na prossecução dos seus objetivos, o Grupo de Trabalho pode solicitar a participação de outras personalidades ou entidades, cujo contributo considere relevante para o cumprimento dos objetivos definidos no n.º 2.</v>
      </c>
      <c r="R115" s="3" t="str">
        <v>7 - As propostas do Grupo de Trabalho devem ser apresentadas até ao final do ano de 2026.: 2026-12-31 — Explicit year-end: 31 December 2026.</v>
      </c>
      <c r="S115" s="20"/>
      <c r="T115" s="20"/>
      <c r="U115" s="3" t="str"/>
      <c r="V115" s="20"/>
      <c r="W115" s="21" t="str">
        <f>IF(AND(C115="Em atraso",ISNUMBER(V115)),MAX(0,Dashboard!$E$4-V115),"")</f>
      </c>
      <c r="X115" s="3" t="str">
        <v>Unpaid group participation; expense/allowance terms are stated in the original clause.</v>
      </c>
      <c r="Y115" s="3" t="str">
        <v>6 - A atividade dos membros do Grupo de Trabalho não confere o direito a qualquer prestação, independentemente da respetiva natureza, designadamente a título de remuneração, compensação, subsídio, senhas de presença ou ajudas de custo.</v>
      </c>
      <c r="Z115" s="3" t="str">
        <v>No dated final-output deadline / public trigger date, and delivery cannot be verified.</v>
      </c>
      <c r="AA115" s="3" t="str">
        <v>https://diariodarepublica.pt/dr/detalhe/despacho/7381-2026-1131612628</v>
      </c>
      <c r="AB115" s="22" t="str">
        <v>Open evidence</v>
      </c>
      <c r="AC115" s="20"/>
      <c r="AD115" s="3" t="str">
        <v>No delivery evidence identified.</v>
      </c>
      <c r="AE115" s="3" t="str">
        <v>Not independently verified.</v>
      </c>
      <c r="AF115" s="3" t="str"/>
      <c r="AG115" s="3" t="str"/>
      <c r="AH115" s="3" t="str"/>
      <c r="AI115" s="3" t="str">
        <v>DR full-period singular/plural/technical phrase inventories; later acts reviewed. Outcome search: "grupo de trabalho" subtração internacional crianças procedimentos relatório conclusões after:2024-04-01 before:2026-10-11. Domains: portugal.gov.pt, gov.pt, parlamento.pt, diariodarepublica.pt, justica.gov.pt, dgav.pt, icnf.pt, anac.pt, dgeg.gov.pt. Official evidence/limitations recorded in this row.</v>
      </c>
      <c r="AJ115" s="20" t="d">
        <v>2026-10-10T00:00:00.000Z</v>
      </c>
      <c r="AK115" s="3" t="str">
        <v>2026-04-22; 2026-06-03</v>
      </c>
      <c r="AL115" s="3" t="str">
        <v>Publication date.</v>
      </c>
      <c r="AM115" s="3" t="str">
        <v>Express name / creating-act summary; descriptive source label where no formal name is assigned.</v>
      </c>
      <c r="AN115" s="3" t="str">
        <v>Finance; Justice</v>
      </c>
      <c r="AO115" s="3" t="str">
        <v>No dated final output / unknown trigger</v>
      </c>
      <c r="AP115" s="3" t="str"/>
      <c r="AQ115" s="21" t="str">
        <f>IF(AND(C115="Em atraso",ISNUMBER(D115)),COUNTIFS(Groups!$C$6:$C$127,"Em atraso",Groups!$D$6:$D$127,"&gt;"&amp;D115)+COUNTIFS($C$6:C115,"Em atraso",$D$6:D115,D115),"")</f>
      </c>
      <c r="AR115" s="21" t="n">
        <f>IF(COUNTIF($F$6:F115,F115)=1,1,0)</f>
        <v>1</v>
      </c>
    </row>
    <row r="116" ht="96" customHeight="1">
      <c r="A116" s="3" t="str">
        <v>GT-2026-017</v>
      </c>
      <c r="B116" s="3" t="str">
        <v>Define o grupo de trabalho que irá proceder à elaboração de proposta da Rede de Referenciação Hospitalar de Ortopedia, incluindo uma rede de serviços de urgência</v>
      </c>
      <c r="C116" s="3" t="str">
        <v>Sem informação pública</v>
      </c>
      <c r="D116" s="21" t="str">
        <f>IF(C116="Em atraso",IF(ISNUMBER(T116),MAX(0,Dashboard!$E$4-T116),""),IF(C116="Concluído com atraso",IF(AND(ISNUMBER(T116),ISNUMBER(AC116)),MAX(0,AC116-T116),""),IF(C116="Concluído no prazo",0,"")))</f>
      </c>
      <c r="E116" s="3" t="str">
        <v>XXV</v>
      </c>
      <c r="F116" s="3" t="str">
        <v>Despacho n.º 7541/2026</v>
      </c>
      <c r="G116" s="22" t="str">
        <v>Open DR act</v>
      </c>
      <c r="H116" s="20" t="d">
        <v>2026-06-17T00:00:00.000Z</v>
      </c>
      <c r="I116" s="20" t="d">
        <v>2026-06-08T00:00:00.000Z</v>
      </c>
      <c r="J116" s="20" t="d">
        <v>2026-06-18T00:00:00.000Z</v>
      </c>
      <c r="K116" s="3" t="str">
        <v>Saúde - Gabinete da Ministra da Saúde</v>
      </c>
      <c r="L116" s="3" t="str">
        <v>2 - A elaboração da proposta referida no número anterior é cometida a um grupo de trabalho coordenado pelo Dr. Nuno Manuel da Conceição Diogo, médico ortopedista da Unidade Local de Saúde de São José, E. P. E., e composto pelos seguintes profissionais:</v>
      </c>
      <c r="M116" s="3" t="str">
        <v>2 - A elaboração da proposta referida no número anterior é cometida a um grupo de trabalho coordenado pelo Dr. Nuno Manuel da Conceição Diogo, médico ortopedista da Unidade Local de Saúde de São José, E. P. E., e composto pelos seguintes profissionais:
a) Dr. Acácio Joaquim Correia Ramos - Ortopedia - Unidade Local de Saúde do Estuário do Tejo, E. P. E.;
b) Dr. António Fonseca de Oliveira - Ortopedia - Unidade Local de Saúde de Santo António, E. P. E.;
c) Dr. António Francisco Martingo Serdoura - Ortopedia - Unidade Local de Saúde de São João, E. P. E.;
d) Dr.ª Cristina Marta da Gama Gomes Alves - Ortopedia - Unidade Local de Saúde de Coimbra, E. P. E.;
e) Dr. Fernando Manuel Pereira Fonseca - Ortopedia - Unidade Local de Saúde de Coimbra, E. P. E.;
f) Dr. José Eduardo Seixas Osório Mesquita Montes - Ortopedia - Unidade Local de Saúde da Póvoa de Varzim/Vila do Conde, E. P. E.;
g) Dr.ª Maria Isabel Pires Rosa da Costa Pinto - Ortopedia - Unidade Local de Saúde de Lisboa Ocidental, E. P. E.;
h) Dr. Pedro Manuel Beckert Rodrigues - Ortopedia - Unidade Local de Saúde de Amadora/Sintra, E. P. E.;
i) Dr. Pedro Miguel Sousa Varanda - Ortopedia - Unidade Local de Saúde de Braga, E. P. E.;
j) Dr.ª Sílvia Dolores Lampreia Braga Silvério de Carvalho - Ortopedia - Hospital Ortopédico de Sant’Ana, Parede;
k) Dr. Francisco Lucas Matos, em representação da Direção Executiva do Serviço Nacional de Saúde, I. P.</v>
      </c>
      <c r="N116" s="3" t="str">
        <v>Health</v>
      </c>
      <c r="O116" s="3" t="str">
        <v>Propose a hospital referral network for orthopaedics, including emergency services.</v>
      </c>
      <c r="P116" s="3" t="str">
        <v>2 - A elaboração da proposta referida no número anterior é cometida a um grupo de trabalho coordenado pelo Dr. Nuno Manuel da Conceição Diogo, médico ortopedista da Unidade Local de Saúde de São José, E. P. E., e composto pelos seguintes profissionais:
a) Dr. Acácio Joaquim Correia Ramos - Ortopedia - Unidade Local de Saúde do Estuário do Tejo, E. P. E.;
b) Dr. António Fonseca de Oliveira - Ortopedia - Unidade Local de Saúde de Santo António, E. P. E.;
c) Dr. António Francisco Martingo Serdoura - Ortopedia - Unidade Local de Saúde de São João, E. P. E.;
d) Dr.ª Cristina Marta da Gama Gomes Alves - Ortopedia - Unidade Local de Saúde de Coimbra, E. P. E.;
e) Dr. Fernando Manuel Pereira Fonseca - Ortopedia - Unidade Local de Saúde de Coimbra, E. P. E.;
f) Dr. José Eduardo Seixas Osório Mesquita Montes - Ortopedia - Unidade Local de Saúde da Póvoa de Varzim/Vila do Conde, E. P. E.;
g) Dr.ª Maria Isabel Pires Rosa da Costa Pinto - Ortopedia - Unidade Local de Saúde de Lisboa Ocidental, E. P. E.;
h) Dr. Pedro Manuel Beckert Rodrigues - Ortopedia - Unidade Local de Saúde de Amadora/Sintra, E. P. E.;
i) Dr. Pedro Miguel Sousa Varanda - Ortopedia - Unidade Local de Saúde de Braga, E. P. E.;
j) Dr.ª Sílvia Dolores Lampreia Braga Silvério de Carvalho - Ortopedia - Hospital Ortopédico de Sant’Ana, Parede;
k) Dr. Francisco Lucas Matos, em representação da Direção Executiva do Serviço Nacional de Saúde, I. P.</v>
      </c>
      <c r="Q116" s="3" t="str">
        <v>3 - Os membros do grupo de trabalho não auferem qualquer remuneração ou abono pelo exercício das suas funções, ressalvadas as ajudas de custo a que haja lugar nos termos legais.
5 - O grupo de trabalho pode solicitar a colaboração e o apoio técnico de outros elementos, devendo os serviços e organismos do Ministério da Saúde prestar, no âmbito das respetivas atribuições, todo o apoio que lhes for solicitado para o desempenho da sua missão.</v>
      </c>
      <c r="R116" s="3" t="str">
        <v>1 - Deve proceder-se à elaboração de proposta da Rede de Referenciação Hospitalar de Ortopedia, incl: date not derivable — 90 dias after trigger: anchor not expressly specified; exact date cannot be verified.
Final report / last specified substantive output: 2026-09-15 — published 2026-06-17 + 90 calendar days; plain “dias” benchmark. Alternative working-day date: 2026-10-22.</v>
      </c>
      <c r="S116" s="20" t="d">
        <v>2026-09-15T00:00:00.000Z</v>
      </c>
      <c r="T116" s="20" t="d">
        <v>2026-09-15T00:00:00.000Z</v>
      </c>
      <c r="U116" s="3" t="str">
        <v>published 2026-06-17 + 90 calendar days; plain “dias” benchmark. Alternative working-day date: 2026-10-22.</v>
      </c>
      <c r="V116" s="20" t="d">
        <v>2026-10-22T00:00:00.000Z</v>
      </c>
      <c r="W116" s="21" t="str">
        <f>IF(AND(C116="Em atraso",ISNUMBER(V116)),MAX(0,Dashboard!$E$4-V116),"")</f>
      </c>
      <c r="X116" s="3" t="str">
        <v>Unpaid group participation; expense/allowance terms are stated in the original clause.</v>
      </c>
      <c r="Y116" s="3" t="str">
        <v>3 - Os membros do grupo de trabalho não auferem qualquer remuneração ou abono pelo exercício das suas funções, ressalvadas as ajudas de custo a que haja lugar nos termos legais.</v>
      </c>
      <c r="Z116" s="3" t="str">
        <v>No dated delivery evidence; an unspecified anchor or plausible alternative counting rule prevents a firm overdue assessment.</v>
      </c>
      <c r="AA116" s="3" t="str">
        <v>https://diariodarepublica.pt/dr/detalhe/despacho/7541-2026-1132818510</v>
      </c>
      <c r="AB116" s="22" t="str">
        <v>Open evidence</v>
      </c>
      <c r="AC116" s="20"/>
      <c r="AD116" s="3" t="str">
        <v>No delivery evidence identified.</v>
      </c>
      <c r="AE116" s="3" t="str">
        <v>Not independently verified.</v>
      </c>
      <c r="AF116" s="3" t="str"/>
      <c r="AG116" s="3" t="str"/>
      <c r="AH116" s="3" t="str"/>
      <c r="AI116" s="3" t="str">
        <v>DR full-period singular/plural/technical phrase inventories; later acts reviewed. Outcome search: "grupo de trabalho" rede referenciação ortopedia relatório conclusões after:2024-04-01 before:2026-10-11. Domains: portugal.gov.pt, gov.pt, parlamento.pt, diariodarepublica.pt, justica.gov.pt, dgav.pt, icnf.pt, anac.pt, dgeg.gov.pt. Official evidence/limitations recorded in this row.</v>
      </c>
      <c r="AJ116" s="20" t="d">
        <v>2026-10-10T00:00:00.000Z</v>
      </c>
      <c r="AK116" s="3" t="str">
        <v>2026-06-08</v>
      </c>
      <c r="AL116" s="3" t="str">
        <v>Day after publication.</v>
      </c>
      <c r="AM116" s="3" t="str">
        <v>Express name / creating-act summary; descriptive source label where no formal name is assigned.</v>
      </c>
      <c r="AN116" s="3" t="str">
        <v>Health</v>
      </c>
      <c r="AO116" s="3" t="str">
        <v>Final report / last specified substantive output</v>
      </c>
      <c r="AP116" s="3" t="str"/>
      <c r="AQ116" s="21" t="str">
        <f>IF(AND(C116="Em atraso",ISNUMBER(D116)),COUNTIFS(Groups!$C$6:$C$127,"Em atraso",Groups!$D$6:$D$127,"&gt;"&amp;D116)+COUNTIFS($C$6:C116,"Em atraso",$D$6:D116,D116),"")</f>
      </c>
      <c r="AR116" s="21" t="n">
        <f>IF(COUNTIF($F$6:F116,F116)=1,1,0)</f>
        <v>1</v>
      </c>
    </row>
    <row r="117" ht="96" customHeight="1">
      <c r="A117" s="3" t="str">
        <v>GT-2026-018</v>
      </c>
      <c r="B117" s="3" t="str">
        <v>Define o grupo de trabalho que irá proceder à elaboração das propostas de atualização da Rede Nacional de Urgência e Emergência</v>
      </c>
      <c r="C117" s="3" t="str">
        <v>Sem informação pública</v>
      </c>
      <c r="D117" s="21" t="str">
        <f>IF(C117="Em atraso",IF(ISNUMBER(T117),MAX(0,Dashboard!$E$4-T117),""),IF(C117="Concluído com atraso",IF(AND(ISNUMBER(T117),ISNUMBER(AC117)),MAX(0,AC117-T117),""),IF(C117="Concluído no prazo",0,"")))</f>
      </c>
      <c r="E117" s="3" t="str">
        <v>XXV</v>
      </c>
      <c r="F117" s="3" t="str">
        <v>Despacho n.º 7542/2026</v>
      </c>
      <c r="G117" s="22" t="str">
        <v>Open DR act</v>
      </c>
      <c r="H117" s="20" t="d">
        <v>2026-06-17T00:00:00.000Z</v>
      </c>
      <c r="I117" s="20" t="d">
        <v>2026-06-08T00:00:00.000Z</v>
      </c>
      <c r="J117" s="20" t="d">
        <v>2026-06-18T00:00:00.000Z</v>
      </c>
      <c r="K117" s="3" t="str">
        <v>Saúde - Gabinete da Ministra da Saúde</v>
      </c>
      <c r="L117" s="3" t="str">
        <v>6 - A elaboração das propostas referidas nos números anteriores é cometida a um grupo de trabalho coordenado pelo Dr. António Marques da Silva, médico anestesiologista, da Unidade Local de Saúde de Santo António, E. P. E., e pelos seguintes profissionais:</v>
      </c>
      <c r="M117" s="3" t="str">
        <v>6 - A elaboração das propostas referidas nos números anteriores é cometida a um grupo de trabalho coordenado pelo Dr. António Marques da Silva, médico anestesiologista, da Unidade Local de Saúde de Santo António, E. P. E., e pelos seguintes profissionais:
a) Dr. Daniel Párraga Nunez - Medicina Interna - Unidade Local de Saúde do Algarve, E. P. E.;
b) Dr. Fernando José Martins Próspero Luís - Cirurgia Geral - Unidade Local de Trás-os-Montes e Alto Douro, E. P. E.;
c) Doutor Henrique Miguel Marques Bom Borges Alexandrino - Cirurgia Geral - Unidade Local de Saúde de Coimbra, E. P. E.;
d) Dr. Paulo Manuel de Valle Flor Telles de Freitas - Medicina Interna - Unidade Local de Saúde de Amadora Sintra, E. P. E.;
e) Dr. Rui Maximiano Espada Rovisco Matono - Medicina Interna - Unidade Local de Saúde do Alentejo Central, E. P. E.;
f) Dr. Francisco Matos, em representação da Direção Executiva do Serviço Nacional de Saúde, I. P.</v>
      </c>
      <c r="N117" s="3" t="str">
        <v>Health</v>
      </c>
      <c r="O117" s="3" t="str">
        <v>Propose the national hospital emergency-services referral network.</v>
      </c>
      <c r="P117" s="3" t="str">
        <v>6 - A elaboração das propostas referidas nos números anteriores é cometida a um grupo de trabalho coordenado pelo Dr. António Marques da Silva, médico anestesiologista, da Unidade Local de Saúde de Santo António, E. P. E., e pelos seguintes profissionais:
a) Dr. Daniel Párraga Nunez - Medicina Interna - Unidade Local de Saúde do Algarve, E. P. E.;
b) Dr. Fernando José Martins Próspero Luís - Cirurgia Geral - Unidade Local de Trás-os-Montes e Alto Douro, E. P. E.;
c) Doutor Henrique Miguel Marques Bom Borges Alexandrino - Cirurgia Geral - Unidade Local de Saúde de Coimbra, E. P. E.;
d) Dr. Paulo Manuel de Valle Flor Telles de Freitas - Medicina Interna - Unidade Local de Saúde de Amadora Sintra, E. P. E.;
e) Dr. Rui Maximiano Espada Rovisco Matono - Medicina Interna - Unidade Local de Saúde do Alentejo Central, E. P. E.;
f) Dr. Francisco Matos, em representação da Direção Executiva do Serviço Nacional de Saúde, I. P.</v>
      </c>
      <c r="Q117" s="3" t="str">
        <v>8 - Os membros do grupo de trabalho não auferem qualquer remuneração ou abono pelo exercício das suas funções, ressalvadas as ajudas de custo a que haja lugar nos termos legais.
11 - A especificidade técnica e as possíveis interações entre as especialidades implicam que o que for específico dos contextos particulares da área de intervenção da Comissão Nacional da Mulher, da Criança e do Adolescente deve ser articulada com a mesma, respeitando-se integralmente as competências próprias desta, valorizando-se ainda o previsto na Rede de Referenciação Hospitalar em Pediatria e Neonatologia e na Rede de Referenciação Hospitalar em Obstetrícia e Ginecologia.
12 - Valorizando a abrangência dos objetivos, poderão ser indicados peritos e consultadas personalidades de reconhecido mérito ou entidades de especial relevância, designadamente para o contributo com propostas e medidas respeitantes ao âmbito dos objetivos enunciados, incluindo as Ordens Profissionais especialmente relevantes no contexto da Rede Nacional de Urgência e Emergência</v>
      </c>
      <c r="R117" s="3" t="str">
        <v>7 - É definido o mandato de um ano contado a partir da data de produção de efeitos do presente despa: 2026-11-27 — 1 ano after trigger: anchor not expressly specified; exact date cannot be verified.
Final report / last specified substantive output: 2026-09-15 — published 2026-06-17 + 90 calendar days; plain “dias” benchmark. Alternative working-day date: 2026-10-22.</v>
      </c>
      <c r="S117" s="20" t="d">
        <v>2026-09-15T00:00:00.000Z</v>
      </c>
      <c r="T117" s="20" t="d">
        <v>2026-09-15T00:00:00.000Z</v>
      </c>
      <c r="U117" s="3" t="str">
        <v>published 2026-06-17 + 90 calendar days; plain “dias” benchmark. Alternative working-day date: 2026-10-22.</v>
      </c>
      <c r="V117" s="20" t="d">
        <v>2026-10-22T00:00:00.000Z</v>
      </c>
      <c r="W117" s="21" t="str">
        <f>IF(AND(C117="Em atraso",ISNUMBER(V117)),MAX(0,Dashboard!$E$4-V117),"")</f>
      </c>
      <c r="X117" s="3" t="str">
        <v>Unpaid group participation; expense/allowance terms are stated in the original clause.</v>
      </c>
      <c r="Y117" s="3" t="str">
        <v>8 - Os membros do grupo de trabalho não auferem qualquer remuneração ou abono pelo exercício das suas funções, ressalvadas as ajudas de custo a que haja lugar nos termos legais.</v>
      </c>
      <c r="Z117" s="3" t="str">
        <v>No dated delivery evidence; an unspecified anchor or plausible alternative counting rule prevents a firm overdue assessment.</v>
      </c>
      <c r="AA117" s="3" t="str">
        <v>https://diariodarepublica.pt/dr/detalhe/despacho/7542-2026-1132818511</v>
      </c>
      <c r="AB117" s="22" t="str">
        <v>Open evidence</v>
      </c>
      <c r="AC117" s="20"/>
      <c r="AD117" s="3" t="str">
        <v>No delivery evidence identified.</v>
      </c>
      <c r="AE117" s="3" t="str">
        <v>Not independently verified.</v>
      </c>
      <c r="AF117" s="3" t="str"/>
      <c r="AG117" s="3" t="str"/>
      <c r="AH117" s="3" t="str"/>
      <c r="AI117" s="3" t="str">
        <v>DR full-period singular/plural/technical phrase inventories; later acts reviewed. Outcome search: "grupo de trabalho" rede referenciação urgência emergência hospitalar relatório conclusões after:2024-04-01 before:2026-10-11. Domains: portugal.gov.pt, gov.pt, parlamento.pt, diariodarepublica.pt, justica.gov.pt, dgav.pt, icnf.pt, anac.pt, dgeg.gov.pt. Official evidence/limitations recorded in this row.</v>
      </c>
      <c r="AJ117" s="20" t="d">
        <v>2026-10-10T00:00:00.000Z</v>
      </c>
      <c r="AK117" s="3" t="str">
        <v>2026-06-08</v>
      </c>
      <c r="AL117" s="3" t="str">
        <v>Day after publication.</v>
      </c>
      <c r="AM117" s="3" t="str">
        <v>Express name / creating-act summary; descriptive source label where no formal name is assigned.</v>
      </c>
      <c r="AN117" s="3" t="str">
        <v>Health</v>
      </c>
      <c r="AO117" s="3" t="str">
        <v>Final report / last specified substantive output</v>
      </c>
      <c r="AP117" s="3" t="str"/>
      <c r="AQ117" s="21" t="str">
        <f>IF(AND(C117="Em atraso",ISNUMBER(D117)),COUNTIFS(Groups!$C$6:$C$127,"Em atraso",Groups!$D$6:$D$127,"&gt;"&amp;D117)+COUNTIFS($C$6:C117,"Em atraso",$D$6:D117,D117),"")</f>
      </c>
      <c r="AR117" s="21" t="n">
        <f>IF(COUNTIF($F$6:F117,F117)=1,1,0)</f>
        <v>1</v>
      </c>
    </row>
    <row r="118" ht="96" customHeight="1">
      <c r="A118" s="3" t="str">
        <v>GT-2026-019</v>
      </c>
      <c r="B118" s="3" t="str">
        <v>Define o grupo de trabalho que irá proceder à elaboração de proposta da Rede de Referenciação Hospitalar de Imunoalergologia</v>
      </c>
      <c r="C118" s="3" t="str">
        <v>Sem informação pública</v>
      </c>
      <c r="D118" s="21" t="str">
        <f>IF(C118="Em atraso",IF(ISNUMBER(T118),MAX(0,Dashboard!$E$4-T118),""),IF(C118="Concluído com atraso",IF(AND(ISNUMBER(T118),ISNUMBER(AC118)),MAX(0,AC118-T118),""),IF(C118="Concluído no prazo",0,"")))</f>
      </c>
      <c r="E118" s="3" t="str">
        <v>XXV</v>
      </c>
      <c r="F118" s="3" t="str">
        <v>Despacho n.º 7543/2026</v>
      </c>
      <c r="G118" s="22" t="str">
        <v>Open DR act</v>
      </c>
      <c r="H118" s="20" t="d">
        <v>2026-06-17T00:00:00.000Z</v>
      </c>
      <c r="I118" s="20" t="d">
        <v>2026-06-09T00:00:00.000Z</v>
      </c>
      <c r="J118" s="20" t="d">
        <v>2026-06-18T00:00:00.000Z</v>
      </c>
      <c r="K118" s="3" t="str">
        <v>Saúde - Gabinete da Ministra da Saúde</v>
      </c>
      <c r="L118" s="3" t="str">
        <v>2 - A elaboração da proposta referida no número anterior é cometida a um grupo de trabalho coordenado pela Dr.ª Paula Leiria Pinto, médica imunoalergologista, da Unidade Local de Saúde de São José, E. P. E., e integrado pelos seguintes profissionais:</v>
      </c>
      <c r="M118" s="3" t="str">
        <v>2 - A elaboração da proposta referida no número anterior é cometida a um grupo de trabalho coordenado pela Dr.ª Paula Leiria Pinto, médica imunoalergologista, da Unidade Local de Saúde de São José, E. P. E., e integrado pelos seguintes profissionais:
a) Dr.ª Ana Todo-Bom - Imunoalergologia - Unidade Local de Saúde de Coimbra, E. P. E.;
b) Dr.ª Antónia São Braz - Imunoalergologia - Unidade Local de Saúde do Algarve, E. P. E.;
c) Dr. Daniel Machado - Imunoalergologia - Unidade Local de Saúde do Alto Minho, E. P. E.;
d) Dr.ª Helena Falcão - Imunoalergologia - Unidade Local de Saúde de Santo António, E. P. E.;
e) Dr. Pedro Carreiro Martins - Imunoalergologia - Unidade Local de Saúde de São José, E. P. E.;
f) Dr. Francisco Lucas Matos, em representação da Direção Executiva do Serviço Nacional de Saúde, I. P.</v>
      </c>
      <c r="N118" s="3" t="str">
        <v>Health</v>
      </c>
      <c r="O118" s="3" t="str">
        <v>Propose a hospital referral network for immunoallergology.</v>
      </c>
      <c r="P118" s="3" t="str">
        <v>2 - A elaboração da proposta referida no número anterior é cometida a um grupo de trabalho coordenado pela Dr.ª Paula Leiria Pinto, médica imunoalergologista, da Unidade Local de Saúde de São José, E. P. E., e integrado pelos seguintes profissionais:
a) Dr.ª Ana Todo-Bom - Imunoalergologia - Unidade Local de Saúde de Coimbra, E. P. E.;
b) Dr.ª Antónia São Braz - Imunoalergologia - Unidade Local de Saúde do Algarve, E. P. E.;
c) Dr. Daniel Machado - Imunoalergologia - Unidade Local de Saúde do Alto Minho, E. P. E.;
d) Dr.ª Helena Falcão - Imunoalergologia - Unidade Local de Saúde de Santo António, E. P. E.;
e) Dr. Pedro Carreiro Martins - Imunoalergologia - Unidade Local de Saúde de São José, E. P. E.;
f) Dr. Francisco Lucas Matos, em representação da Direção Executiva do Serviço Nacional de Saúde, I. P.</v>
      </c>
      <c r="Q118" s="3" t="str">
        <v>3 - Os membros do grupo de trabalho não auferem qualquer remuneração ou abono pelo exercício das suas funções, ressalvadas as ajudas de custo a que haja lugar nos termos legais.
5 - O grupo de trabalho pode solicitar a colaboração e o apoio técnico de outros elementos, devendo os serviços e organismos do Ministério da Saúde prestar, no âmbito das respetivas atribuições, todo o apoio que lhes for solicitado para o desempenho da sua missão.</v>
      </c>
      <c r="R118" s="3" t="str">
        <v>1 - Deve proceder-se à elaboração de proposta da Rede de Referenciação Hospitalar de Imunoalergologi: date not derivable — 90 dias after trigger: anchor not expressly specified; exact date cannot be verified.
Final report / last specified substantive output: 2026-09-15 — published 2026-06-17 + 90 calendar days; plain “dias” benchmark. Alternative working-day date: 2026-10-22.</v>
      </c>
      <c r="S118" s="20" t="d">
        <v>2026-09-15T00:00:00.000Z</v>
      </c>
      <c r="T118" s="20" t="d">
        <v>2026-09-15T00:00:00.000Z</v>
      </c>
      <c r="U118" s="3" t="str">
        <v>published 2026-06-17 + 90 calendar days; plain “dias” benchmark. Alternative working-day date: 2026-10-22.</v>
      </c>
      <c r="V118" s="20" t="d">
        <v>2026-10-22T00:00:00.000Z</v>
      </c>
      <c r="W118" s="21" t="str">
        <f>IF(AND(C118="Em atraso",ISNUMBER(V118)),MAX(0,Dashboard!$E$4-V118),"")</f>
      </c>
      <c r="X118" s="3" t="str">
        <v>Unpaid group participation; expense/allowance terms are stated in the original clause.</v>
      </c>
      <c r="Y118" s="3" t="str">
        <v>3 - Os membros do grupo de trabalho não auferem qualquer remuneração ou abono pelo exercício das suas funções, ressalvadas as ajudas de custo a que haja lugar nos termos legais.</v>
      </c>
      <c r="Z118" s="3" t="str">
        <v>No dated delivery evidence; an unspecified anchor or plausible alternative counting rule prevents a firm overdue assessment.</v>
      </c>
      <c r="AA118" s="3" t="str">
        <v>https://diariodarepublica.pt/dr/detalhe/despacho/7543-2026-1132818512</v>
      </c>
      <c r="AB118" s="22" t="str">
        <v>Open evidence</v>
      </c>
      <c r="AC118" s="20"/>
      <c r="AD118" s="3" t="str">
        <v>No delivery evidence identified.</v>
      </c>
      <c r="AE118" s="3" t="str">
        <v>Not independently verified.</v>
      </c>
      <c r="AF118" s="3" t="str"/>
      <c r="AG118" s="3" t="str"/>
      <c r="AH118" s="3" t="str"/>
      <c r="AI118" s="3" t="str">
        <v>DR full-period singular/plural/technical phrase inventories; later acts reviewed. Outcome search: "grupo de trabalho" rede referenciação imunoalergologia relatório conclusões after:2024-04-01 before:2026-10-11. Domains: portugal.gov.pt, gov.pt, parlamento.pt, diariodarepublica.pt, justica.gov.pt, dgav.pt, icnf.pt, anac.pt, dgeg.gov.pt. Official evidence/limitations recorded in this row.</v>
      </c>
      <c r="AJ118" s="20" t="d">
        <v>2026-10-10T00:00:00.000Z</v>
      </c>
      <c r="AK118" s="3" t="str">
        <v>2026-06-09</v>
      </c>
      <c r="AL118" s="3" t="str">
        <v>Day after publication.</v>
      </c>
      <c r="AM118" s="3" t="str">
        <v>Express name / creating-act summary; descriptive source label where no formal name is assigned.</v>
      </c>
      <c r="AN118" s="3" t="str">
        <v>Health</v>
      </c>
      <c r="AO118" s="3" t="str">
        <v>Final report / last specified substantive output</v>
      </c>
      <c r="AP118" s="3" t="str"/>
      <c r="AQ118" s="21" t="str">
        <f>IF(AND(C118="Em atraso",ISNUMBER(D118)),COUNTIFS(Groups!$C$6:$C$127,"Em atraso",Groups!$D$6:$D$127,"&gt;"&amp;D118)+COUNTIFS($C$6:C118,"Em atraso",$D$6:D118,D118),"")</f>
      </c>
      <c r="AR118" s="21" t="n">
        <f>IF(COUNTIF($F$6:F118,F118)=1,1,0)</f>
        <v>1</v>
      </c>
    </row>
    <row r="119" ht="96" customHeight="1">
      <c r="A119" s="3" t="str">
        <v>GT-2026-020</v>
      </c>
      <c r="B119" s="3" t="str">
        <v>Grupo de trabalho — redes de referenciação hospitalar de neurorradiologia de intervenção</v>
      </c>
      <c r="C119" s="3" t="str">
        <v>Sem informação pública</v>
      </c>
      <c r="D119" s="21" t="str">
        <f>IF(C119="Em atraso",IF(ISNUMBER(T119),MAX(0,Dashboard!$E$4-T119),""),IF(C119="Concluído com atraso",IF(AND(ISNUMBER(T119),ISNUMBER(AC119)),MAX(0,AC119-T119),""),IF(C119="Concluído no prazo",0,"")))</f>
      </c>
      <c r="E119" s="3" t="str">
        <v>XXV</v>
      </c>
      <c r="F119" s="3" t="str">
        <v>Despacho n.º 7650/2026</v>
      </c>
      <c r="G119" s="22" t="str">
        <v>Open DR act</v>
      </c>
      <c r="H119" s="20" t="d">
        <v>2026-06-18T00:00:00.000Z</v>
      </c>
      <c r="I119" s="20" t="d">
        <v>2026-06-12T00:00:00.000Z</v>
      </c>
      <c r="J119" s="20" t="d">
        <v>2026-06-18T00:00:00.000Z</v>
      </c>
      <c r="K119" s="3" t="str">
        <v>Saúde - Gabinete da Ministra da Saúde</v>
      </c>
      <c r="L119" s="3" t="str">
        <v>2 - A elaboração das propostas referidas no número anterior é cometida a um grupo de trabalho coordenado pela Dr.ª Maria Luísa Conceição Biscoito, médica neurorradiologista, da Unidade Local de Saúde de Santa Maria, E. P. E., e integrado pelos seguintes profissionais:</v>
      </c>
      <c r="M119" s="3" t="str">
        <v>2 - A elaboração das propostas referidas no número anterior é cometida a um grupo de trabalho coordenado pela Dr.ª Maria Luísa Conceição Biscoito, médica neurorradiologista, da Unidade Local de Saúde de Santa Maria, E. P. E., e integrado pelos seguintes profissionais:
a) Dr. Ângelo António da Silva Carneiro - neurorradiologista - Unidade Local de Saúde de Braga, E. P. E.;
b) Dr. Manuel Queirós Ribeiro - neurorradiologista - Unidade Local de Saúde de Gaia/Espinho, E. P. E.;
c) Dr.ª Maria Luís Ribeiro da Silva - neurorradiologista - Unidade Local de Saúde de S. João, E. P. E.;
d) Dr. Egídio Agostinho Machado - neurorradiologista - Unidade Local de Saúde de Coimbra, E. P. E.;
e) Dr.ª Isabel Maria Ribeiro Fragata - neurorradiologista - Unidade Local de Saúde de S. José, E. P. E.;
f) Dr. Francisco Matos, em representação da direção executiva do Serviço Nacional de Saúde, I. P.</v>
      </c>
      <c r="N119" s="3" t="str">
        <v>Health</v>
      </c>
      <c r="O119" s="3" t="str">
        <v>Propose a hospital referral network for interventional neuroradiology.</v>
      </c>
      <c r="P119" s="3" t="str">
        <v>2 - A elaboração das propostas referidas no número anterior é cometida a um grupo de trabalho coordenado pela Dr.ª Maria Luísa Conceição Biscoito, médica neurorradiologista, da Unidade Local de Saúde de Santa Maria, E. P. E., e integrado pelos seguintes profissionais:
a) Dr. Ângelo António da Silva Carneiro - neurorradiologista - Unidade Local de Saúde de Braga, E. P. E.;
b) Dr. Manuel Queirós Ribeiro - neurorradiologista - Unidade Local de Saúde de Gaia/Espinho, E. P. E.;
c) Dr.ª Maria Luís Ribeiro da Silva - neurorradiologista - Unidade Local de Saúde de S. João, E. P. E.;
d) Dr. Egídio Agostinho Machado - neurorradiologista - Unidade Local de Saúde de Coimbra, E. P. E.;
e) Dr.ª Isabel Maria Ribeiro Fragata - neurorradiologista - Unidade Local de Saúde de S. José, E. P. E.;
f) Dr. Francisco Matos, em representação da direção executiva do Serviço Nacional de Saúde, I. P.</v>
      </c>
      <c r="Q119" s="3" t="str">
        <v>4 - Os membros do grupo de trabalho não auferem qualquer remuneração ou abono pelo exercício das suas funções, ressalvadas as ajudas de custo a que haja lugar nos termos legais.
5 - O grupo de trabalho pode solicitar a colaboração e o apoio técnico de outros elementos, devendo os serviços e organismos do Ministério da Saúde prestar, no âmbito das respetivas atribuições, todo o apoio que lhes for solicitado para o desempenho da sua missão.</v>
      </c>
      <c r="R119" s="3" t="str">
        <v>3 - O grupo de trabalho deverá apresentar, no prazo de 90 dias, a proposta de rede de referenciação : date not derivable — 90 dias after trigger: anchor not expressly specified; exact date cannot be verified.
Final report / last specified substantive output: 2026-09-16 — published 2026-06-18 + 90 calendar days; plain “dias” benchmark. Alternative working-day date: 2026-10-23.</v>
      </c>
      <c r="S119" s="20" t="d">
        <v>2026-09-16T00:00:00.000Z</v>
      </c>
      <c r="T119" s="20" t="d">
        <v>2026-09-16T00:00:00.000Z</v>
      </c>
      <c r="U119" s="3" t="str">
        <v>published 2026-06-18 + 90 calendar days; plain “dias” benchmark. Alternative working-day date: 2026-10-23.</v>
      </c>
      <c r="V119" s="20" t="d">
        <v>2026-10-23T00:00:00.000Z</v>
      </c>
      <c r="W119" s="21" t="str">
        <f>IF(AND(C119="Em atraso",ISNUMBER(V119)),MAX(0,Dashboard!$E$4-V119),"")</f>
      </c>
      <c r="X119" s="3" t="str">
        <v>Unpaid group participation; expense/allowance terms are stated in the original clause.</v>
      </c>
      <c r="Y119" s="3" t="str">
        <v>4 - Os membros do grupo de trabalho não auferem qualquer remuneração ou abono pelo exercício das suas funções, ressalvadas as ajudas de custo a que haja lugar nos termos legais.</v>
      </c>
      <c r="Z119" s="3" t="str">
        <v>No dated delivery evidence; an unspecified anchor or plausible alternative counting rule prevents a firm overdue assessment.</v>
      </c>
      <c r="AA119" s="3" t="str">
        <v>https://diariodarepublica.pt/dr/detalhe/despacho/7650-2026-1133910824</v>
      </c>
      <c r="AB119" s="22" t="str">
        <v>Open evidence</v>
      </c>
      <c r="AC119" s="20"/>
      <c r="AD119" s="3" t="str">
        <v>No delivery evidence identified.</v>
      </c>
      <c r="AE119" s="3" t="str">
        <v>Not independently verified.</v>
      </c>
      <c r="AF119" s="3" t="str"/>
      <c r="AG119" s="3" t="str"/>
      <c r="AH119" s="3" t="str">
        <v> Descriptive label follows the Portuguese creating clause; the full act title and exact mandate are retained separately.</v>
      </c>
      <c r="AI119" s="3" t="str">
        <v>DR full-period singular/plural/technical phrase inventories; later acts reviewed. Outcome search: "grupo de trabalho" rede referenciação neurorradiologia intervenção relatório conclusões after:2024-04-01 before:2026-10-11. Domains: portugal.gov.pt, gov.pt, parlamento.pt, diariodarepublica.pt, justica.gov.pt, dgav.pt, icnf.pt, anac.pt, dgeg.gov.pt. Official evidence/limitations recorded in this row.</v>
      </c>
      <c r="AJ119" s="20" t="d">
        <v>2026-10-10T00:00:00.000Z</v>
      </c>
      <c r="AK119" s="3" t="str">
        <v>2026-06-12</v>
      </c>
      <c r="AL119" s="3" t="str">
        <v>Publication date.</v>
      </c>
      <c r="AM119" s="3" t="str">
        <v>Express name / creating-act summary; descriptive source label where no formal name is assigned.</v>
      </c>
      <c r="AN119" s="3" t="str">
        <v>Health</v>
      </c>
      <c r="AO119" s="3" t="str">
        <v>Final report / last specified substantive output</v>
      </c>
      <c r="AP119" s="3" t="str"/>
      <c r="AQ119" s="21" t="str">
        <f>IF(AND(C119="Em atraso",ISNUMBER(D119)),COUNTIFS(Groups!$C$6:$C$127,"Em atraso",Groups!$D$6:$D$127,"&gt;"&amp;D119)+COUNTIFS($C$6:C119,"Em atraso",$D$6:D119,D119),"")</f>
      </c>
      <c r="AR119" s="21" t="n">
        <f>IF(COUNTIF($F$6:F119,F119)=1,1,0)</f>
        <v>1</v>
      </c>
    </row>
    <row r="120" ht="96" customHeight="1">
      <c r="A120" s="3" t="str">
        <v>GT-2026-021</v>
      </c>
      <c r="B120" s="3" t="str">
        <v>Grupo de Trabalho para análise e reorganização das Caixas do Tesouro no contexto da administração financeira pública e da rede de cobranças do Estado</v>
      </c>
      <c r="C120" s="3" t="str">
        <v>Em curso – dentro do prazo</v>
      </c>
      <c r="D120" s="21" t="str">
        <f>IF(C120="Em atraso",IF(ISNUMBER(T120),MAX(0,Dashboard!$E$4-T120),""),IF(C120="Concluído com atraso",IF(AND(ISNUMBER(T120),ISNUMBER(AC120)),MAX(0,AC120-T120),""),IF(C120="Concluído no prazo",0,"")))</f>
      </c>
      <c r="E120" s="3" t="str">
        <v>XXV</v>
      </c>
      <c r="F120" s="3" t="str">
        <v>Despacho n.º 7971/2026</v>
      </c>
      <c r="G120" s="22" t="str">
        <v>Open DR act</v>
      </c>
      <c r="H120" s="20" t="d">
        <v>2026-06-25T00:00:00.000Z</v>
      </c>
      <c r="I120" s="20" t="d">
        <v>2026-06-19T00:00:00.000Z</v>
      </c>
      <c r="J120" s="20" t="d">
        <v>2026-06-20T00:00:00.000Z</v>
      </c>
      <c r="K120" s="3" t="str">
        <v>Finanças - Gabinete do Secretário de Estado Adjunto e do Orçamento, Gabinete da Secretária de Estado dos Assuntos Fiscais e Gabinete da Secretária de Estado da Administração Pública</v>
      </c>
      <c r="L120" s="3" t="str">
        <v>a) Mestre Márcia Raquel Duarte Rodrigues, vogal do conselho de Administração IGCP, E. P. E., que preside;
10 - A coordenação do Grupo de Trabalho é assegurada pela presidente, competindo-lhe propor o agendamento das reuniões e estabelecer a respetiva periodicidade, em articulação com os demais membros do Grupo de Trabalho.</v>
      </c>
      <c r="M120" s="3" t="str">
        <v>3 - O Grupo de Trabalho é constituído pelos seguintes elementos:
a) Mestre Márcia Raquel Duarte Rodrigues, vogal do conselho de Administração IGCP, E. P. E., que preside;
b) Dois outros representantes do IGCP, E. P. E.;
c) Dois representantes da Autoridade Tributária e Aduaneira;
d) Dois representantes da Entidade Orçamental.</v>
      </c>
      <c r="N120" s="3" t="str">
        <v>Finance</v>
      </c>
      <c r="O120" s="3" t="str">
        <v>Review treasury offices and propose improvements to their organisation and operation.</v>
      </c>
      <c r="P120" s="3" t="str">
        <v>1 - É criado o Grupo de Trabalho para análise e reorganização das Caixas do Tesouro no contexto da administração financeira pública e da rede de cobranças do Estado.</v>
      </c>
      <c r="Q120" s="3" t="str">
        <v>2 - No âmbito da missão prevista no número anterior, compete ao Grupo de Trabalho, nomeadamente:
a) Proceder à identificação das funções que as Caixas do Tesouro atualmente desempenham na arrecadação de receita do Estado, bem como dos procedimentos às mesmas inerentes, nomeadamente os relativos à prestação de serviços bancários de apoio;
b) Elencar todos os custos associados ao funcionamento das Caixas do Tesouro, designadamente de logística, pessoal e de serviços bancários de apoio à arrecadação da receita;
c) Apurar, discriminado por meio de pagamento e por Caixas do Tesouro, os valores arrecadados e a quantidade de DUC associados;
d) Identificar todas as situações de receita não titulada por DUC arrecadada nas Caixas do Tesouro;
e) Avaliar a possibilidade de reorganização da cobrança da receita do Estado pelas Caixas do Tesouro, por via, designadamente, do recurso a outros canais integrantes da RCE, identificando-se todas as medidas necessárias a tal reorganização, em particular no que respeita ao desenvolvimento da titularização da receita do Estado por via dos DUC;
f) Apresentar as propostas de atos legislativos e/ou regulamentares necessários à concretização da reorganização indicada na alínea anterior.
8 - O Grupo de Trabalho funcionará pelo período de 12 meses a contar da data da entrada em vigor do presente despacho, devendo apresentar ao Ministro de Estado e das Finanças:
a) No prazo de 6 meses a contar da data da entrada em vigor do presente despacho, um relatório que responda aos objetivos indicados nas alíneas a) a e) do n.º 2;
b) No prazo de 12 meses a contar da data da entrada em vigor do presente despacho, as propostas indicadas na alínea f) do n.º 2;
c) A pedido do Ministro de Estado e das Finanças, um relatório final dos trabalhos.</v>
      </c>
      <c r="R120" s="3" t="str">
        <v>4 - No prazo de cinco dias a contar da data da entrada em vigor do presente despacho, as três entida: 2026-06-25 — 2026-06-20 + 5 calendar days (monitoring convention). If CPA procedural counting applies: 2026-06-26.
8 - O Grupo de Trabalho funcionará pelo período de 12 meses a contar da data da entrada em vigor do : 2027-06-20 — 2026-06-20 + 12 meses by calendar anniversary, end-of-month capped if necessary.
a) No prazo de 6 meses a contar da data da entrada em vigor do presente despacho, um relatório que r: 2026-12-20 — 2026-06-20 + 6 meses by calendar anniversary, end-of-month capped if necessary.
b) No prazo de 12 meses a contar da data da entrada em vigor do presente despacho, as propostas indi: 2027-06-20 — 2026-06-20 + 12 meses by calendar anniversary, end-of-month capped if necessary.
10 - A coordenação do Grupo de Trabalho é assegurada pela presidente, competindo-lhe propor o agenda: date not derivable — No uniquely dated deadline derivable from this clause; cadence or trigger is preserved.
Final report / last specified substantive output: 2027-06-20 — effective 2026-06-20 + 12 calendar months (anniversary rule).</v>
      </c>
      <c r="S120" s="20" t="d">
        <v>2027-06-20T00:00:00.000Z</v>
      </c>
      <c r="T120" s="20" t="d">
        <v>2027-06-20T00:00:00.000Z</v>
      </c>
      <c r="U120" s="3" t="str">
        <v>effective 2026-06-20 + 12 calendar months (anniversary rule).</v>
      </c>
      <c r="V120" s="20"/>
      <c r="W120" s="21" t="str">
        <f>IF(AND(C120="Em atraso",ISNUMBER(V120)),MAX(0,Dashboard!$E$4-V120),"")</f>
      </c>
      <c r="X120" s="3" t="str">
        <v>Unpaid group participation; expense/allowance terms are stated in the original clause.</v>
      </c>
      <c r="Y120" s="3" t="str">
        <v>11 - A constituição e o funcionamento do Grupo de Trabalho não conferem aos seus membros ou a quem com eles colaborar o direito ao pagamento de qualquer remuneração ou compensação, sem prejuízo de eventuais encargos relativos a despesas de deslocação, que devem ser suportados pelos respetivos serviços de origem, nos termos da legislação em vigor.</v>
      </c>
      <c r="Z120" s="3" t="str">
        <v>Current controlling deadline has not passed; delivery not independently verified.</v>
      </c>
      <c r="AA120" s="3" t="str">
        <v>https://diariodarepublica.pt/dr/detalhe/despacho/7971-2026-1138363947</v>
      </c>
      <c r="AB120" s="22" t="str">
        <v>Open evidence</v>
      </c>
      <c r="AC120" s="20"/>
      <c r="AD120" s="3" t="str">
        <v>No delivery evidence identified.</v>
      </c>
      <c r="AE120" s="3" t="str">
        <v>Not independently verified.</v>
      </c>
      <c r="AF120" s="3" t="str"/>
      <c r="AG120" s="3" t="str"/>
      <c r="AH120" s="3" t="str">
        <v> Six-month diagnostic precedes the twelve-month proposal; submission of proposals depends on ministerial approval of the diagnostic. Final report is on request.</v>
      </c>
      <c r="AI120" s="3" t="str">
        <v>DR full-period singular/plural/technical phrase inventories; later acts reviewed. Outcome search: "grupo de trabalho" tesourarias Estado relatório conclusões after:2024-04-01 before:2026-10-11. Domains: portugal.gov.pt, gov.pt, parlamento.pt, diariodarepublica.pt, justica.gov.pt, dgav.pt, icnf.pt, anac.pt, dgeg.gov.pt. Official evidence/limitations recorded in this row.</v>
      </c>
      <c r="AJ120" s="20" t="d">
        <v>2026-10-10T00:00:00.000Z</v>
      </c>
      <c r="AK120" s="3" t="str">
        <v>2026-05-26; 2026-06-03; 2026-06-19</v>
      </c>
      <c r="AL120" s="3" t="str">
        <v>Day after latest signature.</v>
      </c>
      <c r="AM120" s="3" t="str">
        <v>Express name / creating-act summary; descriptive source label where no formal name is assigned.</v>
      </c>
      <c r="AN120" s="3" t="str">
        <v>Finance</v>
      </c>
      <c r="AO120" s="3" t="str">
        <v>Final report / last specified substantive output</v>
      </c>
      <c r="AP120" s="3" t="str"/>
      <c r="AQ120" s="21" t="str">
        <f>IF(AND(C120="Em atraso",ISNUMBER(D120)),COUNTIFS(Groups!$C$6:$C$127,"Em atraso",Groups!$D$6:$D$127,"&gt;"&amp;D120)+COUNTIFS($C$6:C120,"Em atraso",$D$6:D120,D120),"")</f>
      </c>
      <c r="AR120" s="21" t="n">
        <f>IF(COUNTIF($F$6:F120,F120)=1,1,0)</f>
        <v>1</v>
      </c>
    </row>
    <row r="121" ht="96" customHeight="1">
      <c r="A121" s="3" t="str">
        <v>GT-2026-022</v>
      </c>
      <c r="B121" s="3" t="str">
        <v>grupo de trabalho para a revisão da Lei das Finanças Regionais</v>
      </c>
      <c r="C121" s="3" t="str">
        <v>Em curso – dentro do prazo</v>
      </c>
      <c r="D121" s="21" t="str">
        <f>IF(C121="Em atraso",IF(ISNUMBER(T121),MAX(0,Dashboard!$E$4-T121),""),IF(C121="Concluído com atraso",IF(AND(ISNUMBER(T121),ISNUMBER(AC121)),MAX(0,AC121-T121),""),IF(C121="Concluído no prazo",0,"")))</f>
      </c>
      <c r="E121" s="3" t="str">
        <v>XXV</v>
      </c>
      <c r="F121" s="3" t="str">
        <v>Resolução do Conselho de Ministros n.º 144/2026</v>
      </c>
      <c r="G121" s="22" t="str">
        <v>Open DR act</v>
      </c>
      <c r="H121" s="20" t="d">
        <v>2026-07-14T00:00:00.000Z</v>
      </c>
      <c r="I121" s="20" t="d">
        <v>2026-06-11T00:00:00.000Z</v>
      </c>
      <c r="J121" s="20" t="d">
        <v>2026-07-15T00:00:00.000Z</v>
      </c>
      <c r="K121" s="3" t="str">
        <v>Presidência do Conselho de Ministros</v>
      </c>
      <c r="L121" s="3" t="str">
        <v>José Fernandes Farinha Tavares (clause 4).</v>
      </c>
      <c r="M121" s="3" t="str">
        <v>3 - Estabelecer que o grupo de trabalho é composto por:
a) Um coordenador, personalidade de reconhecido mérito na área das finanças públicas;
b) Dois representantes do Governo da República, a designar por despacho, respetivamente, do membro do Governo responsável pela área das finanças e do membro do Governo responsável pela área da Presidência do Conselho de Ministros;
c) Um representante do Governo Regional dos Açores;
d) Um representante do Governo Regional da Madeira;
e) Dois peritos independentes, a designar por despacho conjunto do membro do Governo responsável pela área das finanças e do membro do Governo responsável pela área da Presidência do Conselho de Ministros.</v>
      </c>
      <c r="N121" s="3" t="str">
        <v>Finance / Regional government</v>
      </c>
      <c r="O121" s="3" t="str">
        <v>Evaluate regional-government finance legislation and recommend reforms balancing regional autonomy and national solidarity.</v>
      </c>
      <c r="P121" s="3" t="str">
        <v>1 - Criar o grupo de trabalho para a revisão da Lei das Finanças das Regiões Autónomas (LFRA), aprovada pela Lei Orgânica n.º 2/2013, de 2 de setembro (Grupo de Trabalho).</v>
      </c>
      <c r="Q121" s="3" t="str">
        <v>2 - Determinar que o grupo de trabalho tem por missão analisar e avaliar a execução do regime vigente, bem como elaborar um estudo aprofundado e tecnicamente fundamentado que suporte a revisão da LFRA, assegurando a adequada resposta da mesma às necessidades identificadas e a devida conciliação entre a autonomia regional e os princípios da solidariedade nacional e da responsabilidade financeira.
5 - Estabelecer que o grupo de trabalho pode solicitar a colaboração de entidades públicas e privadas, bem como de especialistas de reconhecido mérito, sempre que tal se revele necessário à prossecução da sua missão.</v>
      </c>
      <c r="R121" s="3" t="str">
        <v>7 - Estabelecer que, até 31 de dezembro de 2027, o grupo de trabalho apresenta ao Governo um relatór: 2027-12-31 — Explicit calendar date in the act.
Mandate end: 2027-12-31 — Fixed date / explicit year-end in creating act.</v>
      </c>
      <c r="S121" s="20" t="d">
        <v>2027-12-31T00:00:00.000Z</v>
      </c>
      <c r="T121" s="20" t="d">
        <v>2027-12-31T00:00:00.000Z</v>
      </c>
      <c r="U121" s="3" t="str">
        <v>Fixed date / explicit year-end in creating act.</v>
      </c>
      <c r="V121" s="20"/>
      <c r="W121" s="21" t="str">
        <f>IF(AND(C121="Em atraso",ISNUMBER(V121)),MAX(0,Dashboard!$E$4-V121),"")</f>
      </c>
      <c r="X121" s="3" t="str">
        <v>Unpaid; see the original clause for the scope of the exclusion.</v>
      </c>
      <c r="Y121" s="3" t="str">
        <v>8 - Estabelecer que os membros do grupo de trabalho não recebem qualquer tipo de remuneração nem têm direito a senhas de presença pelo trabalho ou participação em reuniões.</v>
      </c>
      <c r="Z121" s="3" t="str">
        <v>Current controlling deadline has not passed; delivery not independently verified.</v>
      </c>
      <c r="AA121" s="3" t="str">
        <v>https://diariodarepublica.pt/dr/detalhe/resolucao-conselho-ministros/144-2026-1147043702</v>
      </c>
      <c r="AB121" s="22" t="str">
        <v>Open evidence</v>
      </c>
      <c r="AC121" s="20"/>
      <c r="AD121" s="3" t="str">
        <v>No delivery evidence identified.</v>
      </c>
      <c r="AE121" s="3" t="str">
        <v>Not independently verified.</v>
      </c>
      <c r="AF121" s="3" t="str"/>
      <c r="AG121" s="3" t="str"/>
      <c r="AH121" s="3" t="str"/>
      <c r="AI121" s="3" t="str">
        <v>DR full-period singular/plural/technical phrase inventories; later acts reviewed. Outcome search: "grupo de trabalho" Lei Finanças Regiões Autónomas relatório conclusões after:2024-04-01 before:2026-10-11. Domains: portugal.gov.pt, gov.pt, parlamento.pt, diariodarepublica.pt, justica.gov.pt, dgav.pt, icnf.pt, anac.pt, dgeg.gov.pt. Official evidence/limitations recorded in this row.</v>
      </c>
      <c r="AJ121" s="20" t="d">
        <v>2026-10-10T00:00:00.000Z</v>
      </c>
      <c r="AK121" s="3" t="str">
        <v>2026-06-11</v>
      </c>
      <c r="AL121" s="3" t="str">
        <v>Day after publication.</v>
      </c>
      <c r="AM121" s="3" t="str">
        <v>Express name / creating-act summary; descriptive source label where no formal name is assigned.</v>
      </c>
      <c r="AN121" s="3" t="str">
        <v>Presidency / Council of Ministers</v>
      </c>
      <c r="AO121" s="3" t="str">
        <v>Mandate end</v>
      </c>
      <c r="AP121" s="3" t="str"/>
      <c r="AQ121" s="21" t="str">
        <f>IF(AND(C121="Em atraso",ISNUMBER(D121)),COUNTIFS(Groups!$C$6:$C$127,"Em atraso",Groups!$D$6:$D$127,"&gt;"&amp;D121)+COUNTIFS($C$6:C121,"Em atraso",$D$6:D121,D121),"")</f>
      </c>
      <c r="AR121" s="21" t="n">
        <f>IF(COUNTIF($F$6:F121,F121)=1,1,0)</f>
        <v>1</v>
      </c>
    </row>
    <row r="122" ht="96" customHeight="1">
      <c r="A122" s="3" t="str">
        <v>GT-2026-023</v>
      </c>
      <c r="B122" s="3" t="str">
        <v>Grupo de Trabalho para a elaboração do regime jurídico aplicável à proteção e à assistência das vítimas do crime de tráfico de seres humanos, doravante designado por Grupo de Trabalho</v>
      </c>
      <c r="C122" s="3" t="str">
        <v>Em curso – dentro do prazo</v>
      </c>
      <c r="D122" s="21" t="str">
        <f>IF(C122="Em atraso",IF(ISNUMBER(T122),MAX(0,Dashboard!$E$4-T122),""),IF(C122="Concluído com atraso",IF(AND(ISNUMBER(T122),ISNUMBER(AC122)),MAX(0,AC122-T122),""),IF(C122="Concluído no prazo",0,"")))</f>
      </c>
      <c r="E122" s="3" t="str">
        <v>XXV</v>
      </c>
      <c r="F122" s="3" t="str">
        <v>Despacho n.º 8971/2026</v>
      </c>
      <c r="G122" s="22" t="str">
        <v>Open DR act</v>
      </c>
      <c r="H122" s="20" t="d">
        <v>2026-07-16T00:00:00.000Z</v>
      </c>
      <c r="I122" s="20" t="d">
        <v>2026-07-09T00:00:00.000Z</v>
      </c>
      <c r="J122" s="20" t="d">
        <v>2026-07-17T00:00:00.000Z</v>
      </c>
      <c r="K122" s="3" t="str">
        <v>Justiça, Administração Interna e Cultura, Juventude e Desporto - Gabinete da Ministra da Justiça, Gabinete do Ministro da Administração Interna e Gabinete da Ministra da Cultura, Juventude e Desporto</v>
      </c>
      <c r="L122" s="3" t="str">
        <v>a) Um representante do membro do Governo responsável pela área governativa da cidadania e igualdade, que coordena;
7 - A coordenação do Grupo de Trabalho compete à área governativa da cidadania e igualdade, sendo o apoio técnico assegurado pela Comissão para a Cidadania e a Igualdade de Género (CIG).
11 - O Grupo de Trabalho apresenta à tutela coordenadora uma proposta de regime jurídico aplicável à proteção e à assistência das vítimas do crime de tráfico de seres humanos, no prazo de 150 dias, sem prejuízo de eventual prorrogação devidamente fundamentada.</v>
      </c>
      <c r="M122" s="3" t="str">
        <v>2 - O Grupo de Trabalho tem por missão identificar, sistematizar e propor as soluções normativas, procedimentais e institucionais a integrar no regime jurídico aplicável à proteção e à assistência das vítimas do crime de tráfico de seres humanos.
5 - Integram o Grupo de Trabalho, em formação restrita, representantes das seguintes áreas governativas:
a) Um representante do membro do Governo responsável pela área governativa da cidadania e igualdade, que coordena;
b) Um representante do membro do Governo responsável pela área governativa das migrações;
c) Um representante do membro do Governo responsável pela área governativa da justiça;
d) Um representante do membro do Governo responsável pela área governativa da administração interna;
e) Um representante do membro do governo responsável pela área governativa do trabalho, solidariedade e segurança social;
6 - Integram o Grupo de Trabalho, em formação alargada, mediante convocatória da coordenação, representantes das seguintes áreas governativas e/ou entidades, sempre que a natureza das matérias o justifique:
a) Um representante da área governativa da Saúde;
b) Um representante da Comissão para a Cidadania e a Igualdade de Género (CIG);
c) A Chefe de Equipa do Observatório do Tráfico de Seres Humanos (OTSH);
d) Um representante da Agência para a Integração, Migrações e Asilo (AIMA);
e) Um representante da Procuradoria-Geral da República (PGR);
f) Um representante da Polícia Judiciária;
g) Um representante da Guarda Nacional Republicana (GNR);
h) Um representante da Polícia de Segurança Pública (PSP);
i) Os representantes de organizações da sociedade civil da Rede de Apoio e Proteção a Vítimas de Tráfico (RAPVT) na Comissão Técnica de Acompanhamento do V PAPCTSH.</v>
      </c>
      <c r="N122" s="3" t="str">
        <v>Justice / Human trafficking</v>
      </c>
      <c r="O122" s="3" t="str">
        <v>Draft the legal framework for protection and assistance of trafficking victims.</v>
      </c>
      <c r="P122" s="3" t="str">
        <v>1 - É criado o Grupo de Trabalho para a elaboração do regime jurídico aplicável à proteção e à assistência das vítimas do crime de tráfico de seres humanos, doravante designado por Grupo de Trabalho.</v>
      </c>
      <c r="Q122" s="3" t="str">
        <v>3 - Constituem objetivos do Grupo de Trabalho, designadamente:
a) Proceder ao levantamento e à análise do quadro jurídico e administrativo vigente aplicável às vítimas do crime de tráfico de seres humanos;
b) Identificar lacunas, insuficiências, sobreposições e constrangimentos normativos ou procedimentais;
c) Propor medidas de harmonização, simplificação e reforço do quadro de proteção e assistência;
d) Apresentar proposta de regime jurídico aplicável à proteção e à assistência das vítimas do crime de tráfico de seres humanos, incluindo, se necessário, propostas de alteração legislativa e regulamentar conexas;
e) Promover a articulação entre as várias áreas governativas e entidades com competências nesta matéria.
7 - A coordenação do Grupo de Trabalho compete à área governativa da cidadania e igualdade, sendo o apoio técnico assegurado pela Comissão para a Cidadania e a Igualdade de Género (CIG).</v>
      </c>
      <c r="R122" s="3" t="str">
        <v>8 - Os membros do Grupo de Trabalho são designados no prazo de 20 dias úteis a contar da data da pub: 2026-08-13 — 2026-07-16 + 20 working days; anchor excluded, weekends and national statutory holidays excluded.
11 - O Grupo de Trabalho apresenta à tutela coordenadora uma proposta de regime jurídico aplicável à: date not derivable — 150 dias after trigger: anchor not expressly specified; exact date cannot be verified.
Final report / last specified substantive output: 2026-12-14 — effective 2026-07-17 + 150 calendar days; plain “dias” benchmark. Alternative working-day date: 2027-02-19. The act gives 150 days without expressly naming the anchor; effective date is an assumption.</v>
      </c>
      <c r="S122" s="20" t="d">
        <v>2026-12-14T00:00:00.000Z</v>
      </c>
      <c r="T122" s="20" t="d">
        <v>2026-12-14T00:00:00.000Z</v>
      </c>
      <c r="U122" s="3" t="str">
        <v>effective 2026-07-17 + 150 calendar days; plain “dias” benchmark. Alternative working-day date: 2027-02-19. The act gives 150 days without expressly naming the anchor; effective date is an assumption.</v>
      </c>
      <c r="V122" s="20" t="d">
        <v>2027-02-19T00:00:00.000Z</v>
      </c>
      <c r="W122" s="21" t="str">
        <f>IF(AND(C122="Em atraso",ISNUMBER(V122)),MAX(0,Dashboard!$E$4-V122),"")</f>
      </c>
      <c r="X122" s="3" t="str">
        <v>Unpaid group participation; expense/allowance terms are stated in the original clause.</v>
      </c>
      <c r="Y122" s="3" t="str">
        <v>12 - A participação no grupo de trabalho não confere o direito a qualquer prestação, independentemente da respetiva natureza, designadamente a título de remuneração, compensação, subsídio, senhas de presença ou ajudas de custo.</v>
      </c>
      <c r="Z122" s="3" t="str">
        <v>Current controlling deadline has not passed; delivery not independently verified.</v>
      </c>
      <c r="AA122" s="3" t="str">
        <v>https://diariodarepublica.pt/dr/detalhe/despacho/8971-2026-1148259710</v>
      </c>
      <c r="AB122" s="22" t="str">
        <v>Open evidence</v>
      </c>
      <c r="AC122" s="20"/>
      <c r="AD122" s="3" t="str">
        <v>No delivery evidence identified.</v>
      </c>
      <c r="AE122" s="3" t="str">
        <v>Not independently verified.</v>
      </c>
      <c r="AF122" s="3" t="str"/>
      <c r="AG122" s="3" t="str"/>
      <c r="AH122" s="3" t="str"/>
      <c r="AI122" s="3" t="str">
        <v>DR full-period singular/plural/technical phrase inventories; later acts reviewed. Outcome search: "grupo de trabalho" proteção assistência vítimas tráfico seres humanos relatório conclusões after:2024-04-01 before:2026-10-11. Domains: portugal.gov.pt, gov.pt, parlamento.pt, diariodarepublica.pt, justica.gov.pt, dgav.pt, icnf.pt, anac.pt, dgeg.gov.pt. Official evidence/limitations recorded in this row.</v>
      </c>
      <c r="AJ122" s="20" t="d">
        <v>2026-10-10T00:00:00.000Z</v>
      </c>
      <c r="AK122" s="3" t="str">
        <v>2026-07-06; 2026-07-07; 2026-07-09</v>
      </c>
      <c r="AL122" s="3" t="str">
        <v>Day after publication.</v>
      </c>
      <c r="AM122" s="3" t="str">
        <v>Express name / creating-act summary; descriptive source label where no formal name is assigned.</v>
      </c>
      <c r="AN122" s="3" t="str">
        <v>Justice; Internal affairs; Culture; Youth / Sport</v>
      </c>
      <c r="AO122" s="3" t="str">
        <v>Final report / last specified substantive output</v>
      </c>
      <c r="AP122" s="3" t="str"/>
      <c r="AQ122" s="21" t="str">
        <f>IF(AND(C122="Em atraso",ISNUMBER(D122)),COUNTIFS(Groups!$C$6:$C$127,"Em atraso",Groups!$D$6:$D$127,"&gt;"&amp;D122)+COUNTIFS($C$6:C122,"Em atraso",$D$6:D122,D122),"")</f>
      </c>
      <c r="AR122" s="21" t="n">
        <f>IF(COUNTIF($F$6:F122,F122)=1,1,0)</f>
        <v>1</v>
      </c>
    </row>
    <row r="123" ht="96" customHeight="1">
      <c r="A123" s="3" t="str">
        <v>GT-2026-024</v>
      </c>
      <c r="B123" s="3" t="str">
        <v>grupo de trabalho para a avaliação, planeamento, financiamento e monitorização das respostas de acolhimento e de autonomização para vítimas de violência doméstica</v>
      </c>
      <c r="C123" s="3" t="str">
        <v>Em curso – dentro do prazo</v>
      </c>
      <c r="D123" s="21" t="str">
        <f>IF(C123="Em atraso",IF(ISNUMBER(T123),MAX(0,Dashboard!$E$4-T123),""),IF(C123="Concluído com atraso",IF(AND(ISNUMBER(T123),ISNUMBER(AC123)),MAX(0,AC123-T123),""),IF(C123="Concluído no prazo",0,"")))</f>
      </c>
      <c r="E123" s="3" t="str">
        <v>XXV</v>
      </c>
      <c r="F123" s="3" t="str">
        <v>Despacho n.º 9999/2026</v>
      </c>
      <c r="G123" s="22" t="str">
        <v>Open DR act</v>
      </c>
      <c r="H123" s="20" t="d">
        <v>2026-08-10T00:00:00.000Z</v>
      </c>
      <c r="I123" s="20" t="d">
        <v>2026-07-23T00:00:00.000Z</v>
      </c>
      <c r="J123" s="20" t="d">
        <v>2026-08-11T00:00:00.000Z</v>
      </c>
      <c r="K123" s="3" t="str">
        <v>Trabalho, Solidariedade e Segurança Social e Cultura, Juventude e Desporto - Gabinete da Secretária de Estado da Ação Social e da Inclusão e Gabinete da Secretária de Estado Adjunta e da Juventude e da Igualdade</v>
      </c>
      <c r="L123" s="3" t="str">
        <v>3 - O grupo de trabalho tem natureza temporária e integra um/a representante do Gabinete da Secretária de Estado da Ação Social e da Inclusão e um/a representante do Gabinete da Secretária Adjunta e da Juventude e da Igualdade, que coordenam.</v>
      </c>
      <c r="M123" s="3" t="str">
        <v>3 - O grupo de trabalho tem natureza temporária e integra um/a representante do Gabinete da Secretária de Estado da Ação Social e da Inclusão e um/a representante do Gabinete da Secretária Adjunta e da Juventude e da Igualdade, que coordenam.
4 - O grupo de trabalho integra ainda:
a) Um/a representante do Gabinete da Ministra da Cultura Juventude e Desporto;
b) Um/a representante do Gabinete da Secretária de Estado da Segurança Social;
c) Um/a representante do Gabinete da Secretária de Estado Adjunta e da Juventude e da Igualdade;
d) Um/a representante do Instituto da Segurança Social, I. P.;
e) Um/a representante da Comissão para a Cidadania e a Igualdade de Género.</v>
      </c>
      <c r="N123" s="3" t="str">
        <v>Social protection / Domestic violence</v>
      </c>
      <c r="O123" s="3" t="str">
        <v>Review funding, planning, monitoring and inspection of domestic-violence accommodation and independent-living services.</v>
      </c>
      <c r="P123" s="3" t="str">
        <v>1 - É constituído um grupo de trabalho para proceder à avaliação e apresentação de propostas de revisão do modelo de financiamento, planeamento, acompanhamento, monitorização e fiscalização das respostas de acolhimento e de autonomização destinadas a vítimas de violência doméstica.</v>
      </c>
      <c r="Q123" s="3" t="str">
        <v>5 - O grupo de trabalho pode convidar outras entidades públicas ou privadas, bem como peritos de reconhecido mérito, para participação em reuniões temáticas ou apresentação de contributos que sejam considerados relevantes para prossecução dos trabalhos e objetivos propostos.
9 - Os membros do grupo de trabalho, bem como os peritos e os representantes das entidades convidadas a nele participar nos termos do n.º 5, não auferem qualquer remuneração ou abono pelo exercício de funções.</v>
      </c>
      <c r="R123" s="3" t="str">
        <v>c) Definição de processos de acompanhamento, monitorização e fiscalização - elaboração de um manual : date not derivable — No uniquely dated deadline derivable from this clause; cadence or trigger is preserved.
6 - Os representantes das entidades referidas no n.º 4 são designados no prazo de 10 dias a contar d: 2026-08-21 — 2026-08-11 + 10 calendar days (monitoring convention). If CPA procedural counting applies: 2026-08-25.
7 - O grupo de trabalho apresenta, no prazo de 90 dias, um relatório final contendo o diagnóstico ef: date not derivable — 90 dias after trigger: anchor not expressly specified; exact date cannot be verified.
Final report / last specified substantive output: 2026-11-09 — effective 2026-08-11 + 90 calendar days; plain “dias” benchmark. Alternative working-day date: 2026-12-18.</v>
      </c>
      <c r="S123" s="20" t="d">
        <v>2026-11-09T00:00:00.000Z</v>
      </c>
      <c r="T123" s="20" t="d">
        <v>2026-11-09T00:00:00.000Z</v>
      </c>
      <c r="U123" s="3" t="str">
        <v>effective 2026-08-11 + 90 calendar days; plain “dias” benchmark. Alternative working-day date: 2026-12-18.</v>
      </c>
      <c r="V123" s="20" t="d">
        <v>2026-12-18T00:00:00.000Z</v>
      </c>
      <c r="W123" s="21" t="str">
        <f>IF(AND(C123="Em atraso",ISNUMBER(V123)),MAX(0,Dashboard!$E$4-V123),"")</f>
      </c>
      <c r="X123" s="3" t="str">
        <v>Unpaid; see the original clause for the scope of the exclusion.</v>
      </c>
      <c r="Y123" s="3" t="str">
        <v>9 - Os membros do grupo de trabalho, bem como os peritos e os representantes das entidades convidadas a nele participar nos termos do n.º 5, não auferem qualquer remuneração ou abono pelo exercício de funções.</v>
      </c>
      <c r="Z123" s="3" t="str">
        <v>Current controlling deadline has not passed; delivery not independently verified.</v>
      </c>
      <c r="AA123" s="3" t="str">
        <v>https://diariodarepublica.pt/dr/detalhe/despacho/9999-2026-1155101848</v>
      </c>
      <c r="AB123" s="22" t="str">
        <v>Open evidence</v>
      </c>
      <c r="AC123" s="20"/>
      <c r="AD123" s="3" t="str">
        <v>No delivery evidence identified.</v>
      </c>
      <c r="AE123" s="3" t="str">
        <v>Not independently verified.</v>
      </c>
      <c r="AF123" s="3" t="str"/>
      <c r="AG123" s="3" t="str"/>
      <c r="AH123" s="3" t="str"/>
      <c r="AI123" s="3" t="str">
        <v>DR full-period singular/plural/technical phrase inventories; later acts reviewed. Outcome search: "grupo de trabalho" acolhimento vítimas violência doméstica relatório conclusões after:2024-04-01 before:2026-10-11. Domains: portugal.gov.pt, gov.pt, parlamento.pt, diariodarepublica.pt, justica.gov.pt, dgav.pt, icnf.pt, anac.pt, dgeg.gov.pt. Official evidence/limitations recorded in this row.</v>
      </c>
      <c r="AJ123" s="20" t="d">
        <v>2026-10-10T00:00:00.000Z</v>
      </c>
      <c r="AK123" s="3" t="str">
        <v>2026-07-23</v>
      </c>
      <c r="AL123" s="3" t="str">
        <v>Day after publication.</v>
      </c>
      <c r="AM123" s="3" t="str">
        <v>Express name / creating-act summary; descriptive source label where no formal name is assigned.</v>
      </c>
      <c r="AN123" s="3" t="str">
        <v>Labour / Social security; Culture; Youth / Sport</v>
      </c>
      <c r="AO123" s="3" t="str">
        <v>Final report / last specified substantive output</v>
      </c>
      <c r="AP123" s="3" t="str"/>
      <c r="AQ123" s="21" t="str">
        <f>IF(AND(C123="Em atraso",ISNUMBER(D123)),COUNTIFS(Groups!$C$6:$C$127,"Em atraso",Groups!$D$6:$D$127,"&gt;"&amp;D123)+COUNTIFS($C$6:C123,"Em atraso",$D$6:D123,D123),"")</f>
      </c>
      <c r="AR123" s="21" t="n">
        <f>IF(COUNTIF($F$6:F123,F123)=1,1,0)</f>
        <v>1</v>
      </c>
    </row>
    <row r="124" ht="96" customHeight="1">
      <c r="A124" s="3" t="str">
        <v>GT-2026-025</v>
      </c>
      <c r="B124" s="3" t="str">
        <v>Grupo de Trabalho para a reapreciação dos critérios que permitem identificar os territórios de baixa densidade e para apresentação de políticas públicas que tenham em conta as especificidades desses territórios</v>
      </c>
      <c r="C124" s="3" t="str">
        <v>Em curso – dentro do prazo</v>
      </c>
      <c r="D124" s="21" t="str">
        <f>IF(C124="Em atraso",IF(ISNUMBER(T124),MAX(0,Dashboard!$E$4-T124),""),IF(C124="Concluído com atraso",IF(AND(ISNUMBER(T124),ISNUMBER(AC124)),MAX(0,AC124-T124),""),IF(C124="Concluído no prazo",0,"")))</f>
      </c>
      <c r="E124" s="3" t="str">
        <v>XXV</v>
      </c>
      <c r="F124" s="3" t="str">
        <v>Despacho n.º 10174/2026</v>
      </c>
      <c r="G124" s="22" t="str">
        <v>Open DR act</v>
      </c>
      <c r="H124" s="20" t="d">
        <v>2026-08-13T00:00:00.000Z</v>
      </c>
      <c r="I124" s="20" t="d">
        <v>2026-08-06T00:00:00.000Z</v>
      </c>
      <c r="J124" s="20" t="d">
        <v>2026-08-14T00:00:00.000Z</v>
      </c>
      <c r="K124" s="3" t="str">
        <v>Economia e Coesão Territorial - Gabinete do Secretário de Estado do Planeamento e Desenvolvimento Regional e Gabinete do Secretário de Estado da Administração Local e Ordenamento do Território</v>
      </c>
      <c r="L124" s="3" t="str">
        <v>a) O Chefe do Gabinete do Secretário de Estado do Planeamento e Desenvolvimento Regional, que coordena;</v>
      </c>
      <c r="M124" s="3" t="str">
        <v>3 - O Grupo de Trabalho é constituído pelos seguintes elementos:
a) O Chefe do Gabinete do Secretário de Estado do Planeamento e Desenvolvimento Regional, que coordena;
b) O Chefe do Gabinete do Secretário de Estado da Administração Local e Ordenamento do Território;
c) Um representante do Gabinete do Secretário de Estado do Planeamento e Desenvolvimento Regional;
d) Um representante do Gabinete do Secretário de Estado da Administração Local e Ordenamento do Território;
e) Um representante da Agência para o Desenvolvimento e Coesão, I. P. (AD&amp;C, I. P.);
f) Um representante da Direção-Geral das Autarquias Locais;
g) Um representante da Direção-Geral do Território;
h) Um representante das Comissões de Coordenação e Desenvolvimento Regional;
i) Um representante da Associação Nacional de Municípios Portugueses.</v>
      </c>
      <c r="N124" s="3" t="str">
        <v>Regional development</v>
      </c>
      <c r="O124" s="3" t="str">
        <v>Review low-density territory criteria and propose public policies suited to those territories.</v>
      </c>
      <c r="P124" s="3" t="str">
        <v>1 - A criação de um Grupo de Trabalho para a reapreciação dos critérios que permitem identificar os territórios de baixa densidade e para apresentação de políticas públicas que tenham em conta as especificidades desses territórios.</v>
      </c>
      <c r="Q124" s="3" t="str">
        <v>2 - O Grupo de Trabalho tem por missão:
a) Revisitar o mapa de baixa densidade, definindo os critérios de análise e a metodologia para os indicadores que devam ser objeto de ponderação, assegurando a diferenciação dos territórios de muito baixa densidade;
b) Propor um novo enquadramento estratégico de desenvolvimento regional para os territórios de baixa densidade, que deve estabelecer um conjunto de políticas públicas e de medidas de discriminação positiva e a definição do enquadramento para a territorialização de investimento público e privado nesses territórios, em alinhamento com o programa do Governo, o Programa Nacional da Política de Ordenamento do Território (PNPOT), o PTRR - Portugal Transformação, Recuperação e Resiliência, a Estratégia Portugal 2030 e os trabalhos inerentes à sua revisão (Estratégia Portugal 2040);
c) Propor as bases de um sistema de monitorização do novo enquadramento estratégico de valorização dos territórios de baixa densidade.</v>
      </c>
      <c r="R124" s="3" t="str">
        <v>7 - O Grupo de Trabalho tem natureza temporária e deve apresentar o seu relatório final no prazo de : 2027-02-13 — 2026-08-13 + 6 meses by calendar anniversary, end-of-month capped if necessary.
Final report / last specified substantive output: 2027-02-13 — published 2026-08-13 + 6 calendar months (anniversary rule).</v>
      </c>
      <c r="S124" s="20" t="d">
        <v>2027-02-13T00:00:00.000Z</v>
      </c>
      <c r="T124" s="20" t="d">
        <v>2027-02-13T00:00:00.000Z</v>
      </c>
      <c r="U124" s="3" t="str">
        <v>published 2026-08-13 + 6 calendar months (anniversary rule).</v>
      </c>
      <c r="V124" s="20"/>
      <c r="W124" s="21" t="str">
        <f>IF(AND(C124="Em atraso",ISNUMBER(V124)),MAX(0,Dashboard!$E$4-V124),"")</f>
      </c>
      <c r="X124" s="3" t="str">
        <v>Unpaid; see the original clause for the scope of the exclusion.</v>
      </c>
      <c r="Y124" s="3" t="str">
        <v>5 - Aos membros do Grupo de Trabalho e aos colaboradores referidos no n.º 4 do presente despacho, não é devido o pagamento de qualquer remuneração ou abono pelo trabalho desenvolvido.</v>
      </c>
      <c r="Z124" s="3" t="str">
        <v>Current controlling deadline has not passed; delivery not independently verified.</v>
      </c>
      <c r="AA124" s="3" t="str">
        <v>https://diariodarepublica.pt/dr/detalhe/despacho/10174-2026-1156689146</v>
      </c>
      <c r="AB124" s="22" t="str">
        <v>Open evidence</v>
      </c>
      <c r="AC124" s="20"/>
      <c r="AD124" s="3" t="str">
        <v>No delivery evidence identified.</v>
      </c>
      <c r="AE124" s="3" t="str">
        <v>Not independently verified.</v>
      </c>
      <c r="AF124" s="3" t="str"/>
      <c r="AG124" s="3" t="str"/>
      <c r="AH124" s="3" t="str"/>
      <c r="AI124" s="3" t="str">
        <v>DR full-period singular/plural/technical phrase inventories; later acts reviewed. Outcome search: "grupo de trabalho" territórios baixa densidade relatório conclusões after:2024-04-01 before:2026-10-11. Domains: portugal.gov.pt, gov.pt, parlamento.pt, diariodarepublica.pt, justica.gov.pt, dgav.pt, icnf.pt, anac.pt, dgeg.gov.pt. Official evidence/limitations recorded in this row.</v>
      </c>
      <c r="AJ124" s="20" t="d">
        <v>2026-10-10T00:00:00.000Z</v>
      </c>
      <c r="AK124" s="3" t="str">
        <v>2026-07-02; 2026-08-06</v>
      </c>
      <c r="AL124" s="3" t="str">
        <v>Day after publication.</v>
      </c>
      <c r="AM124" s="3" t="str">
        <v>Express name / creating-act summary; descriptive source label where no formal name is assigned.</v>
      </c>
      <c r="AN124" s="3" t="str">
        <v>Economy; Territorial cohesion</v>
      </c>
      <c r="AO124" s="3" t="str">
        <v>Final report / last specified substantive output</v>
      </c>
      <c r="AP124" s="3" t="str"/>
      <c r="AQ124" s="21" t="str">
        <f>IF(AND(C124="Em atraso",ISNUMBER(D124)),COUNTIFS(Groups!$C$6:$C$127,"Em atraso",Groups!$D$6:$D$127,"&gt;"&amp;D124)+COUNTIFS($C$6:C124,"Em atraso",$D$6:D124,D124),"")</f>
      </c>
      <c r="AR124" s="21" t="n">
        <f>IF(COUNTIF($F$6:F124,F124)=1,1,0)</f>
        <v>1</v>
      </c>
    </row>
    <row r="125" ht="96" customHeight="1">
      <c r="A125" s="3" t="str">
        <v>GT-2026-026</v>
      </c>
      <c r="B125" s="3" t="str">
        <v>Grupo de Trabalho para a prevenção e combate às práticas nocivas, adiante designado por Grupo de Trabalho, com a missão de apresentar ao membro do Governo responsável pela área da igualdade propostas e recomendações destinadas ao reforço da prevenção, proteção, intervenção e monitorização dos fenómenos associados aos casamentos infantis, precoces e forçados, à mutilação genital feminina e aos crimes de honra</v>
      </c>
      <c r="C125" s="3" t="str">
        <v>Em curso – dentro do prazo</v>
      </c>
      <c r="D125" s="21" t="str">
        <f>IF(C125="Em atraso",IF(ISNUMBER(T125),MAX(0,Dashboard!$E$4-T125),""),IF(C125="Concluído com atraso",IF(AND(ISNUMBER(T125),ISNUMBER(AC125)),MAX(0,AC125-T125),""),IF(C125="Concluído no prazo",0,"")))</f>
      </c>
      <c r="E125" s="3" t="str">
        <v>XXV</v>
      </c>
      <c r="F125" s="3" t="str">
        <v>Despacho n.º 11130/2026</v>
      </c>
      <c r="G125" s="22" t="str">
        <v>Open DR act</v>
      </c>
      <c r="H125" s="20" t="d">
        <v>2026-09-09T00:00:00.000Z</v>
      </c>
      <c r="I125" s="20" t="d">
        <v>2026-09-02T00:00:00.000Z</v>
      </c>
      <c r="J125" s="20" t="d">
        <v>2026-09-10T00:00:00.000Z</v>
      </c>
      <c r="K125" s="3" t="str">
        <v>Cultura, Juventude e Desporto - Gabinete da Secretária de Estado Adjunta e da Juventude e da Igualdade</v>
      </c>
      <c r="L125" s="3" t="str">
        <v>7 - A coordenação do Grupo de Trabalho é da responsabilidade da Comissão para a Cidadania e a Igualdade de Género (CIG), que assegura o apoio logístico e administrativo necessário ao funcionamento do mesmo, incluindo a convocação e condução de reuniões.</v>
      </c>
      <c r="M125" s="3" t="str">
        <v>3 - Integram o Grupo de Trabalho um representante de cada uma das seguintes entidades:
a) Comissão para a Cidadania e a Igualdade de Género (CIG);
b) Agência para a Integração, Migrações e Asilo, I. P.(AIMA);
c) Procuradoria-Geral da República (PGR);
d) Polícia Judiciária (PJ);
e) Instituto Nacional de Medicina Legal e Ciências Forenses, I. P. (INMLCF);
f) Guarda Nacional Republicana (GNR);
g) Polícia de Segurança Pública (PSP);
h) Instituto de Educação, Qualidade e Avaliação, I. P. (EduQA);
i) Direção-Geral da Saúde (DGS);
j) Instituto da Segurança Social, I. P. (ISS);
k) Comissão Nacional para os Direitos das Crianças e Jovens (CNDCJ).
4 - Integram igualmente o Grupo de Trabalho representantes da sociedade civil e/ou personalidades de reconhecido mérito designadamente:
a) Beatriz Imperatori, em representação da UNICEF Portugal;
b) Renata Costa, em representação da Ordem dos Advogados;
c) Alice Frade, em representação da P&amp;D Factor;
d) Eduardo Jaló, em representação da Associação dos Filhos e Amigos de Farim (AFAFC);
e) Vanessa Lopes, em representação da Rizoma Associação.</v>
      </c>
      <c r="N125" s="3" t="str">
        <v>Equality</v>
      </c>
      <c r="O125" s="3" t="str">
        <v>Recommend measures against child and forced marriages, female genital mutilation and honour crimes.</v>
      </c>
      <c r="P125" s="3" t="str">
        <v>1 - É criado o Grupo de Trabalho para a prevenção e combate às práticas nocivas, adiante designado por Grupo de Trabalho, com a missão de apresentar ao membro do Governo responsável pela área da igualdade propostas e recomendações destinadas ao reforço da prevenção, proteção, intervenção e monitorização dos fenómenos associados aos casamentos infantis, precoces e forçados, à mutilação genital feminina e aos crimes de honra.</v>
      </c>
      <c r="Q125" s="3" t="str">
        <v>1 - É criado o Grupo de Trabalho para a prevenção e combate às práticas nocivas, adiante designado por Grupo de Trabalho, com a missão de apresentar ao membro do Governo responsável pela área da igualdade propostas e recomendações destinadas ao reforço da prevenção, proteção, intervenção e monitorização dos fenómenos associados aos casamentos infantis, precoces e forçados, à mutilação genital feminina e aos crimes de honra.
2 - O Grupo de Trabalho tem a seguinte finalidade:
a) Acompanhar a implementação das recomendações constantes do Livro Branco sobre Práticas Tradicionais Nefastas;
b) Desenvolver uma abordagem integrada para a prevenção e o combate às práticas nocivas, centrada nos direitos humanos, mediante a definição de referenciais comuns de atuação para os diferentes setores e profissionais envolvidos;
c) Avaliar a adequação do enquadramento legislativo nacional aplicável às práticas nocivas e formular propostas de aperfeiçoamento normativo, designadamente em matéria de prevenção e repressão dos casamentos infantis, precoces e forçados, à mutilação genital feminina e aos crimes de honra;
d) Produzir recomendações para o reforço dos mecanismos de identificação, sinalização, proteção e acompanhamento das vítimas de práticas nocivas;
e) Promover mecanismos de melhor articulação entre os setores da justiça, saúde, educação, segurança social, migrações, proteção de crianças e jovens e forças de segurança;
f) Identificar as necessidades de formação e capacitação dos profissionais e elaborar um referencial de formação, estruturado por áreas de atuação, designadamente saúde, educação, segurança, justiça e ação social, que contemple os conteúdos, as metodologias e a carga horária adequados.
g) Propor medidas de recolha e harmonização de dados estatísticos relativos a práticas nocivas;
h) Elaborar orientações técnicas e instrumentos de intervenção destinados aos serviços públicos e entidades da sociedade civil;
i) Propor campanhas de sensibilização e estratégias de prevenção dirigidas às comunidades afetadas, profissionais e público em geral;
j) Formular recomendações destinadas ao reforço das políticas públicas de prevenção e combate às práticas nocivas.
7 - A coordenação do Grupo de Trabalho é da responsabilidade da Comissão para a Cidadania e a Igualdade de Género (CIG), que assegura o apoio logístico e administrativo necessário ao funcionamento do mesmo, incluindo a convocação e condução de reuniões.
8 - Os membros do Grupo de Trabalho são designados no prazo de 10 dias consecutivos a contar da data de publicação do presente despacho, mediante comunicação à Comissão para a Cidadania e a Igualdade de Género (CIG), enquanto entidade coordenadora.</v>
      </c>
      <c r="R125" s="3" t="str">
        <v>8 - Os membros do Grupo de Trabalho são designados no prazo de 10 dias consecutivos a contar da data: 2026-09-19 — 2026-09-09 + 10 calendar days (monitoring convention).
9 - O Grupo de Trabalho tem natureza temporária, com duração de 182 dias a contar da data de publica: 2027-03-10 — 2026-09-09 + 182 calendar days (monitoring convention).
Final report / last specified substantive output: 2027-03-10 — published 2026-09-09 + 182 calendar days; plain “dias” benchmark. Alternative working-day date: not applied (&gt;180 days).</v>
      </c>
      <c r="S125" s="20" t="d">
        <v>2027-03-10T00:00:00.000Z</v>
      </c>
      <c r="T125" s="20" t="d">
        <v>2027-03-10T00:00:00.000Z</v>
      </c>
      <c r="U125" s="3" t="str">
        <v>published 2026-09-09 + 182 calendar days; plain “dias” benchmark. Alternative working-day date: not applied (&gt;180 days).</v>
      </c>
      <c r="V125" s="20"/>
      <c r="W125" s="21" t="str">
        <f>IF(AND(C125="Em atraso",ISNUMBER(V125)),MAX(0,Dashboard!$E$4-V125),"")</f>
      </c>
      <c r="X125" s="3" t="str">
        <v>Unpaid group participation; expense/allowance terms are stated in the original clause.</v>
      </c>
      <c r="Y125" s="3" t="str">
        <v>6 - Aos membros do Grupo de Trabalho e às pessoas ou entidades que com ele eventualmente colaborem não é devido o pagamento de qualquer remuneração ou abono pelo trabalho desenvolvido, sem prejuízo do pagamento de ajudas de custo e despesas de deslocação nos termos legais aplicáveis a suportar pelas entidades que representam.</v>
      </c>
      <c r="Z125" s="3" t="str">
        <v>Current controlling deadline has not passed; delivery not independently verified.</v>
      </c>
      <c r="AA125" s="3" t="str">
        <v>https://diariodarepublica.pt/dr/detalhe/despacho/11130-2026-1168075404</v>
      </c>
      <c r="AB125" s="22" t="str">
        <v>Open evidence</v>
      </c>
      <c r="AC125" s="20"/>
      <c r="AD125" s="3" t="str">
        <v>No delivery evidence identified.</v>
      </c>
      <c r="AE125" s="3" t="str">
        <v>Not independently verified.</v>
      </c>
      <c r="AF125" s="3" t="str"/>
      <c r="AG125" s="3" t="str"/>
      <c r="AH125" s="3" t="str">
        <v> The act has no concise formal name; the label follows its Portuguese creating clause/summary.</v>
      </c>
      <c r="AI125" s="3" t="str">
        <v>DR full-period singular/plural/technical phrase inventories; later acts reviewed. Outcome search: "grupo de trabalho" casamentos forçados mutilação genital crimes honra relatório conclusões after:2024-04-01 before:2026-10-11. Domains: portugal.gov.pt, gov.pt, parlamento.pt, diariodarepublica.pt, justica.gov.pt, dgav.pt, icnf.pt, anac.pt, dgeg.gov.pt. Official evidence/limitations recorded in this row.</v>
      </c>
      <c r="AJ125" s="20" t="d">
        <v>2026-10-10T00:00:00.000Z</v>
      </c>
      <c r="AK125" s="3" t="str">
        <v>2026-09-02</v>
      </c>
      <c r="AL125" s="3" t="str">
        <v>Day after publication.</v>
      </c>
      <c r="AM125" s="3" t="str">
        <v>Express name / creating-act summary; descriptive source label where no formal name is assigned.</v>
      </c>
      <c r="AN125" s="3" t="str">
        <v>Culture; Youth / Sport</v>
      </c>
      <c r="AO125" s="3" t="str">
        <v>Final report / last specified substantive output</v>
      </c>
      <c r="AP125" s="3" t="str"/>
      <c r="AQ125" s="21" t="str">
        <f>IF(AND(C125="Em atraso",ISNUMBER(D125)),COUNTIFS(Groups!$C$6:$C$127,"Em atraso",Groups!$D$6:$D$127,"&gt;"&amp;D125)+COUNTIFS($C$6:C125,"Em atraso",$D$6:D125,D125),"")</f>
      </c>
      <c r="AR125" s="21" t="n">
        <f>IF(COUNTIF($F$6:F125,F125)=1,1,0)</f>
        <v>1</v>
      </c>
    </row>
    <row r="126" ht="96" customHeight="1">
      <c r="A126" s="3" t="str">
        <v>GT-2026-027</v>
      </c>
      <c r="B126" s="3" t="str">
        <v>grupo de trabalho para diagnóstico e propostas de melhoria da pontualidade ferroviária</v>
      </c>
      <c r="C126" s="3" t="str">
        <v>Em curso – dentro do prazo</v>
      </c>
      <c r="D126" s="21" t="str">
        <f>IF(C126="Em atraso",IF(ISNUMBER(T126),MAX(0,Dashboard!$E$4-T126),""),IF(C126="Concluído com atraso",IF(AND(ISNUMBER(T126),ISNUMBER(AC126)),MAX(0,AC126-T126),""),IF(C126="Concluído no prazo",0,"")))</f>
      </c>
      <c r="E126" s="3" t="str">
        <v>XXV</v>
      </c>
      <c r="F126" s="3" t="str">
        <v>Despacho n.º 11488/2026</v>
      </c>
      <c r="G126" s="22" t="str">
        <v>Open DR act</v>
      </c>
      <c r="H126" s="20" t="d">
        <v>2026-09-18T00:00:00.000Z</v>
      </c>
      <c r="I126" s="20" t="d">
        <v>2026-08-27T00:00:00.000Z</v>
      </c>
      <c r="J126" s="20" t="d">
        <v>2026-08-27T00:00:00.000Z</v>
      </c>
      <c r="K126" s="3" t="str">
        <v>Presidência do Conselho de Ministros - Gabinete do Secretário de Estado das Infraestruturas e Gabinete da Secretária de Estado da Mobilidade</v>
      </c>
      <c r="L126" s="3" t="str">
        <v>3 - O Grupo de Trabalho é coordenado por um representante do Gabinete do Ministro das Infraestruturas e Habitação e integra ainda:</v>
      </c>
      <c r="M126" s="3" t="str">
        <v>3 - O Grupo de Trabalho é coordenado por um representante do Gabinete do Ministro das Infraestruturas e Habitação e integra ainda:
a) Um representante do Gabinete do Secretário de Estado das Infraestruturas;
b) Um representante do Gabinete da Secretária de Estado da Mobilidade;
c) Dois representantes da Infraestruturas de Portugal, S. A.; e
d) Dois representantes da Comboios de Portugal, E. P. E.</v>
      </c>
      <c r="N126" s="3" t="str">
        <v>Transport / Rail</v>
      </c>
      <c r="O126" s="3" t="str">
        <v>Diagnose declining rail punctuality and propose an action plan with responsibilities and indicators.</v>
      </c>
      <c r="P126" s="3" t="str">
        <v>1 - É criado um grupo de trabalho, de natureza temporária, com o objetivo de analisar as principais causas de degradação da pontualidade ferroviária e apresentar recomendações de atuação com vista à sua melhoria.</v>
      </c>
      <c r="Q126" s="3" t="str">
        <v>1 - É criado um grupo de trabalho, de natureza temporária, com o objetivo de analisar as principais causas de degradação da pontualidade ferroviária e apresentar recomendações de atuação com vista à sua melhoria.
2 - O Grupo de Trabalho prossegue os seguintes objetivos:
a) Realizar o diagnóstico da situação atual, identificando e caracterizando as principais causas dos atrasos, quer de natureza estrutural quer operacional;
b) Identificar pontos críticos da rede e dos serviços, designadamente linhas, troços ou interfaces com maior incidência de perturbações;
c) Identificar medidas de melhoria, com impacto na pontualidade, nomeadamente ao nível da gestão operacional do material circulante, das limitações de velocidade e dos horários técnicos;
d) Definir mecanismos de monitorização e avaliação contínua, que permitam acompanhar e avaliar a implementação das medidas e propor ajustamentos sempre que necessário.
5 - Os representantes a designar pelas entidades referidas nas alíneas c) e d) do n.º 3 devem ser detentores de competências técnicas adequadas aos objetivos do Grupo de Trabalho, designadamente nas áreas de planeamento, gestão de operações e manutenção.</v>
      </c>
      <c r="R126" s="3" t="str">
        <v>4 - As entidades referidas no número anterior indicam os respetivos representantes ao Gabinete do Mi: 2026-09-25 — 2026-09-18 + 5 working days; anchor excluded, weekends and national statutory holidays excluded.
7 - O Grupo de Trabalho reúne com a periodicidade adequada ao cumprimento do disposto no n.º 10 e po: date not derivable — No uniquely dated deadline derivable from this clause; cadence or trigger is preserved.
10 - O Grupo de Trabalho entrega, no prazo de quatro meses após a publicação do presente despacho, u: 2027-01-18 — 2026-09-18 + 4 meses by calendar anniversary, end-of-month capped if necessary.
Final report / last specified substantive output: 2027-01-18 — published 2026-09-18 + 4 calendar months (anniversary rule).</v>
      </c>
      <c r="S126" s="20" t="d">
        <v>2027-01-18T00:00:00.000Z</v>
      </c>
      <c r="T126" s="20" t="d">
        <v>2027-01-18T00:00:00.000Z</v>
      </c>
      <c r="U126" s="3" t="str">
        <v>published 2026-09-18 + 4 calendar months (anniversary rule).</v>
      </c>
      <c r="V126" s="20"/>
      <c r="W126" s="21" t="str">
        <f>IF(AND(C126="Em atraso",ISNUMBER(V126)),MAX(0,Dashboard!$E$4-V126),"")</f>
      </c>
      <c r="X126" s="3" t="str">
        <v>Unpaid; see the original clause for the scope of the exclusion.</v>
      </c>
      <c r="Y126" s="3" t="str">
        <v>9 - A participação no Grupo de Trabalho não confere direito a qualquer remuneração ou compensação adicional.</v>
      </c>
      <c r="Z126" s="3" t="str">
        <v>Current controlling deadline has not passed; delivery not independently verified.</v>
      </c>
      <c r="AA126" s="3" t="str">
        <v>https://diariodarepublica.pt/dr/detalhe/despacho/11488-2026-1171481959</v>
      </c>
      <c r="AB126" s="22" t="str">
        <v>Open evidence</v>
      </c>
      <c r="AC126" s="20"/>
      <c r="AD126" s="3" t="str">
        <v>No delivery evidence identified.</v>
      </c>
      <c r="AE126" s="3" t="str">
        <v>Not independently verified.</v>
      </c>
      <c r="AF126" s="3" t="str"/>
      <c r="AG126" s="3" t="str"/>
      <c r="AH126" s="3" t="str"/>
      <c r="AI126" s="3" t="str">
        <v>DR full-period singular/plural/technical phrase inventories; later acts reviewed. Outcome search: "grupo de trabalho" pontualidade ferroviária relatório conclusões after:2024-04-01 before:2026-10-11. Domains: portugal.gov.pt, gov.pt, parlamento.pt, diariodarepublica.pt, justica.gov.pt, dgav.pt, icnf.pt, anac.pt, dgeg.gov.pt. Official evidence/limitations recorded in this row.</v>
      </c>
      <c r="AJ126" s="20" t="d">
        <v>2026-10-10T00:00:00.000Z</v>
      </c>
      <c r="AK126" s="3" t="str">
        <v>2026-08-26; 2026-08-27</v>
      </c>
      <c r="AL126" s="3" t="str">
        <v>Latest signature used where multiple signatures occur.</v>
      </c>
      <c r="AM126" s="3" t="str">
        <v>Express name / creating-act summary; descriptive source label where no formal name is assigned.</v>
      </c>
      <c r="AN126" s="3" t="str">
        <v>Presidency / Council of Ministers; Infrastructure / Housing</v>
      </c>
      <c r="AO126" s="3" t="str">
        <v>Final report / last specified substantive output</v>
      </c>
      <c r="AP126" s="3" t="str"/>
      <c r="AQ126" s="21" t="str">
        <f>IF(AND(C126="Em atraso",ISNUMBER(D126)),COUNTIFS(Groups!$C$6:$C$127,"Em atraso",Groups!$D$6:$D$127,"&gt;"&amp;D126)+COUNTIFS($C$6:C126,"Em atraso",$D$6:D126,D126),"")</f>
      </c>
      <c r="AR126" s="21" t="n">
        <f>IF(COUNTIF($F$6:F126,F126)=1,1,0)</f>
        <v>1</v>
      </c>
    </row>
    <row r="127" ht="96" customHeight="1">
      <c r="A127" s="3" t="str">
        <v>GT-2026-028</v>
      </c>
      <c r="B127" s="3" t="str">
        <v>grupo de trabalho para promover a revisão do regime do exercício da atividade de segurança privada decorrente da Lei n</v>
      </c>
      <c r="C127" s="3" t="str">
        <v>Em curso – dentro do prazo</v>
      </c>
      <c r="D127" s="21" t="str">
        <f>IF(C127="Em atraso",IF(ISNUMBER(T127),MAX(0,Dashboard!$E$4-T127),""),IF(C127="Concluído com atraso",IF(AND(ISNUMBER(T127),ISNUMBER(AC127)),MAX(0,AC127-T127),""),IF(C127="Concluído no prazo",0,"")))</f>
      </c>
      <c r="E127" s="3" t="str">
        <v>XXV</v>
      </c>
      <c r="F127" s="3" t="str">
        <v>Despacho n.º 11672/2026</v>
      </c>
      <c r="G127" s="22" t="str">
        <v>Open DR act</v>
      </c>
      <c r="H127" s="20" t="d">
        <v>2026-09-23T00:00:00.000Z</v>
      </c>
      <c r="I127" s="20" t="d">
        <v>2026-09-15T00:00:00.000Z</v>
      </c>
      <c r="J127" s="20" t="d">
        <v>2026-09-24T00:00:00.000Z</v>
      </c>
      <c r="K127" s="3" t="str">
        <v>Administração Interna - Gabinete do Secretário de Estado da Administração Interna</v>
      </c>
      <c r="L127" s="3" t="str">
        <v>5 - A coordenação do grupo de trabalho é assegurada pelo representante do DSP.</v>
      </c>
      <c r="M127" s="3" t="str">
        <v>3 - O grupo de trabalho é composto, em permanência, por:
a) Um representante indicado pelo Gabinete do Secretário de Estado da Administração Interna (GSEAI);
b) Um representante indicado pela Secretaria-Geral do Ministério da Administração Interna;
c) Um representante indicado pelo Departamento de Segurança Privada da Direção Nacional da Polícia de Segurança Pública (DSP);
d) Um representante indicado pela Guarda Nacional Republicana.</v>
      </c>
      <c r="N127" s="3" t="str">
        <v>Internal administration</v>
      </c>
      <c r="O127" s="3" t="str">
        <v>Review private-security legislation and propose an updated regulatory framework.</v>
      </c>
      <c r="P127" s="3" t="str">
        <v>1 - A criação do grupo de trabalho para promover a revisão do regime do exercício da atividade de segurança privada decorrente da Lei n.º 34/2013, de 16 de maio, bem como da respetiva regulamentação e legislação conexa.</v>
      </c>
      <c r="Q127" s="3" t="str">
        <v>2 - O grupo de trabalho tem por missão elaborar uma proposta de revisão legislativa, tendo em vista:
a) A modernização e simplificação do quadro normativo aplicável ao setor;
b) A valorização, qualificação e proteção dos profissionais do setor, designadamente através da revisão e reforço do modelo de formação;
c) O reforço da complementaridade da segurança privada com as forças de segurança;
d) O reforço dos mecanismos de regulação, supervisão e fiscalização da atividade;
e) O desenvolvimento e reforço das funcionalidades do SIGESP - Sistema Integrado de Gestão de Segurança Privada;
f) A promoção da sustentabilidade, competitividade e qualidade da atividade de segurança privada;
g) A adaptação do setor à evolução tecnológica e aos novos desafios em matéria de segurança;
h) A ponderação da articulação do regime da segurança privada com o regime aplicável em matéria de infraestruturas críticas (Decreto-Lei n.º 22/2025, de 19 de março).
7 - Para efeitos do número anterior, o grupo de trabalho reúne trimestralmente com o CSP, desde o início das respetivas funções, para prestar informação sobre o estado de desenvolvimento dos trabalhos.
9 - O grupo de trabalho inicia funções 10 dias após a publicação do presente despacho e reúne, pelo menos, com periodicidade mensal, devendo as respetivas conclusões ser vertidas em memorando sumário, disponibilizado a todos os membros.</v>
      </c>
      <c r="R127" s="3" t="str">
        <v>4 - Os representantes referidos no número anterior são designados no prazo de 10 dias, a contar da d: 2026-10-03 — 2026-09-23 + 10 calendar days (monitoring convention). If CPA procedural counting applies: 2026-10-08.
7 - Para efeitos do número anterior, o grupo de trabalho reúne trimestralmente com o CSP, desde o in: date not derivable — No uniquely dated deadline derivable from this clause; cadence or trigger is preserved.
9 - O grupo de trabalho inicia funções 10 dias após a publicação do presente despacho e reúne, pelo : 2026-10-03 — 2026-09-23 + 10 calendar days (monitoring convention). If CPA procedural counting applies: 2026-10-08.
10 - O grupo de trabalho dispõe de um prazo de seis meses, contado da data referida no número anteri: date not derivable — 6 meses after trigger: anchor not expressly specified; exact date cannot be verified.
Final report / last specified substantive output: 2027-04-03 — Work starts 10 days after publication 2026-09-23 → 2026-10-03; six-month mandate → 2027-04-03 (calendar benchmark).</v>
      </c>
      <c r="S127" s="20" t="d">
        <v>2027-04-03T00:00:00.000Z</v>
      </c>
      <c r="T127" s="20" t="d">
        <v>2027-04-03T00:00:00.000Z</v>
      </c>
      <c r="U127" s="3" t="str">
        <v>Work starts 10 days after publication 2026-09-23 → 2026-10-03; six-month mandate → 2027-04-03 (calendar benchmark).</v>
      </c>
      <c r="V127" s="20"/>
      <c r="W127" s="21" t="str">
        <f>IF(AND(C127="Em atraso",ISNUMBER(V127)),MAX(0,Dashboard!$E$4-V127),"")</f>
      </c>
      <c r="X127" s="3" t="str">
        <v>Unpaid; see the original clause for the scope of the exclusion.</v>
      </c>
      <c r="Y127" s="3" t="str">
        <v>12 - A constituição e funcionamento do grupo de trabalho não confere aos seus membros ou a quem com eles colaborar o direito ao pagamento de qualquer remuneração ou compensação.</v>
      </c>
      <c r="Z127" s="3" t="str">
        <v>Current controlling deadline has not passed; delivery not independently verified.</v>
      </c>
      <c r="AA127" s="3" t="str">
        <v>https://diariodarepublica.pt/dr/detalhe/despacho/11672-2026-1172867984</v>
      </c>
      <c r="AB127" s="22" t="str">
        <v>Open evidence</v>
      </c>
      <c r="AC127" s="20"/>
      <c r="AD127" s="3" t="str">
        <v>No delivery evidence identified.</v>
      </c>
      <c r="AE127" s="3" t="str">
        <v>Not independently verified.</v>
      </c>
      <c r="AF127" s="3" t="str"/>
      <c r="AG127" s="3" t="str"/>
      <c r="AH127" s="3" t="str"/>
      <c r="AI127" s="3" t="str">
        <v>DR full-period singular/plural/technical phrase inventories; later acts reviewed. Outcome search: "grupo de trabalho" segurança privada revisão legislação relatório conclusões after:2024-04-01 before:2026-10-11. Domains: portugal.gov.pt, gov.pt, parlamento.pt, diariodarepublica.pt, justica.gov.pt, dgav.pt, icnf.pt, anac.pt, dgeg.gov.pt. Official evidence/limitations recorded in this row.</v>
      </c>
      <c r="AJ127" s="20" t="d">
        <v>2026-10-10T00:00:00.000Z</v>
      </c>
      <c r="AK127" s="3" t="str">
        <v>2026-09-15</v>
      </c>
      <c r="AL127" s="3" t="str">
        <v>Day after publication.</v>
      </c>
      <c r="AM127" s="3" t="str">
        <v>Express name / creating-act summary; descriptive source label where no formal name is assigned.</v>
      </c>
      <c r="AN127" s="3" t="str">
        <v>Internal affairs</v>
      </c>
      <c r="AO127" s="3" t="str">
        <v>Final report / last specified substantive output</v>
      </c>
      <c r="AP127" s="3" t="str"/>
      <c r="AQ127" s="21" t="str">
        <f>IF(AND(C127="Em atraso",ISNUMBER(D127)),COUNTIFS(Groups!$C$6:$C$127,"Em atraso",Groups!$D$6:$D$127,"&gt;"&amp;D127)+COUNTIFS($C$6:C127,"Em atraso",$D$6:D127,D127),"")</f>
      </c>
      <c r="AR127" s="21" t="n">
        <f>IF(COUNTIF($F$6:F127,F127)=1,1,0)</f>
        <v>1</v>
      </c>
    </row>
  </sheetData>
  <conditionalFormatting sqref="C6:C127">
    <cfRule type="containsText" dxfId="0" priority="1" operator="containsText" text="Concluído no prazo"/>
    <cfRule type="containsText" dxfId="1" priority="2" operator="containsText" text="Concluído com atraso"/>
    <cfRule type="containsText" dxfId="2" priority="3" operator="containsText" text="Em curso – dentro do prazo"/>
    <cfRule type="containsText" dxfId="3" priority="4" operator="containsText" text="Em atraso"/>
    <cfRule type="containsText" dxfId="4" priority="5" operator="containsText" text="Prorrogado"/>
    <cfRule type="containsText" dxfId="5" priority="6" operator="containsText" text="Extinto / substituído"/>
    <cfRule type="containsText" dxfId="6" priority="7" operator="containsText" text="Sem informação pública"/>
  </conditionalFormatting>
  <hyperlinks>
    <hyperlink ref="G6" r:id="nativeLink1"/>
    <hyperlink ref="AB6" r:id="nativeLink2"/>
    <hyperlink ref="G7" r:id="nativeLink3"/>
    <hyperlink ref="AB7" r:id="nativeLink4"/>
    <hyperlink ref="G8" r:id="nativeLink5"/>
    <hyperlink ref="AB8" r:id="nativeLink6"/>
    <hyperlink ref="G9" r:id="nativeLink7"/>
    <hyperlink ref="AB9" r:id="nativeLink8"/>
    <hyperlink ref="G10" r:id="nativeLink9"/>
    <hyperlink ref="AB10" r:id="nativeLink10"/>
    <hyperlink ref="G11" r:id="nativeLink11"/>
    <hyperlink ref="AB11" r:id="nativeLink12"/>
    <hyperlink ref="G12" r:id="nativeLink13"/>
    <hyperlink ref="AB12" r:id="nativeLink14"/>
    <hyperlink ref="G13" r:id="nativeLink15"/>
    <hyperlink ref="AB13" r:id="nativeLink16"/>
    <hyperlink ref="G14" r:id="nativeLink17"/>
    <hyperlink ref="AB14" r:id="nativeLink18"/>
    <hyperlink ref="G15" r:id="nativeLink19"/>
    <hyperlink ref="AB15" r:id="nativeLink20"/>
    <hyperlink ref="G16" r:id="nativeLink21"/>
    <hyperlink ref="AB16" r:id="nativeLink22"/>
    <hyperlink ref="G17" r:id="nativeLink23"/>
    <hyperlink ref="AB17" r:id="nativeLink24"/>
    <hyperlink ref="G18" r:id="nativeLink25"/>
    <hyperlink ref="AB18" r:id="nativeLink26"/>
    <hyperlink ref="G19" r:id="nativeLink27"/>
    <hyperlink ref="AB19" r:id="nativeLink28"/>
    <hyperlink ref="G20" r:id="nativeLink29"/>
    <hyperlink ref="AB20" r:id="nativeLink30"/>
    <hyperlink ref="G21" r:id="nativeLink31"/>
    <hyperlink ref="AB21" r:id="nativeLink32"/>
    <hyperlink ref="G22" r:id="nativeLink33"/>
    <hyperlink ref="AB22" r:id="nativeLink34"/>
    <hyperlink ref="G23" r:id="nativeLink35"/>
    <hyperlink ref="AB23" r:id="nativeLink36"/>
    <hyperlink ref="G24" r:id="nativeLink37"/>
    <hyperlink ref="AB24" r:id="nativeLink38"/>
    <hyperlink ref="G25" r:id="nativeLink39"/>
    <hyperlink ref="AB25" r:id="nativeLink40"/>
    <hyperlink ref="G26" r:id="nativeLink41"/>
    <hyperlink ref="AB26" r:id="nativeLink42"/>
    <hyperlink ref="G27" r:id="nativeLink43"/>
    <hyperlink ref="AB27" r:id="nativeLink44"/>
    <hyperlink ref="G28" r:id="nativeLink45"/>
    <hyperlink ref="AB28" r:id="nativeLink46"/>
    <hyperlink ref="G29" r:id="nativeLink47"/>
    <hyperlink ref="AB29" r:id="nativeLink48"/>
    <hyperlink ref="G30" r:id="nativeLink49"/>
    <hyperlink ref="AB30" r:id="nativeLink50"/>
    <hyperlink ref="G31" r:id="nativeLink51"/>
    <hyperlink ref="AB31" r:id="nativeLink52"/>
    <hyperlink ref="G32" r:id="nativeLink53"/>
    <hyperlink ref="AB32" r:id="nativeLink54"/>
    <hyperlink ref="G33" r:id="nativeLink55"/>
    <hyperlink ref="AB33" r:id="nativeLink56"/>
    <hyperlink ref="G34" r:id="nativeLink57"/>
    <hyperlink ref="AB34" r:id="nativeLink58"/>
    <hyperlink ref="G35" r:id="nativeLink59"/>
    <hyperlink ref="AB35" r:id="nativeLink60"/>
    <hyperlink ref="G36" r:id="nativeLink61"/>
    <hyperlink ref="AB36" r:id="nativeLink62"/>
    <hyperlink ref="G37" r:id="nativeLink63"/>
    <hyperlink ref="AB37" r:id="nativeLink64"/>
    <hyperlink ref="G38" r:id="nativeLink65"/>
    <hyperlink ref="AB38" r:id="nativeLink66"/>
    <hyperlink ref="G39" r:id="nativeLink67"/>
    <hyperlink ref="AB39" r:id="nativeLink68"/>
    <hyperlink ref="G40" r:id="nativeLink69"/>
    <hyperlink ref="AB40" r:id="nativeLink70"/>
    <hyperlink ref="G41" r:id="nativeLink71"/>
    <hyperlink ref="AB41" r:id="nativeLink72"/>
    <hyperlink ref="G42" r:id="nativeLink73"/>
    <hyperlink ref="AB42" r:id="nativeLink74"/>
    <hyperlink ref="G43" r:id="nativeLink75"/>
    <hyperlink ref="AB43" r:id="nativeLink76"/>
    <hyperlink ref="G44" r:id="nativeLink77"/>
    <hyperlink ref="AB44" r:id="nativeLink78"/>
    <hyperlink ref="G45" r:id="nativeLink79"/>
    <hyperlink ref="AB45" r:id="nativeLink80"/>
    <hyperlink ref="G46" r:id="nativeLink81"/>
    <hyperlink ref="AB46" r:id="nativeLink82"/>
    <hyperlink ref="G47" r:id="nativeLink83"/>
    <hyperlink ref="AB47" r:id="nativeLink84"/>
    <hyperlink ref="G48" r:id="nativeLink85"/>
    <hyperlink ref="AB48" r:id="nativeLink86"/>
    <hyperlink ref="G49" r:id="nativeLink87"/>
    <hyperlink ref="AB49" r:id="nativeLink88"/>
    <hyperlink ref="G50" r:id="nativeLink89"/>
    <hyperlink ref="AB50" r:id="nativeLink90"/>
    <hyperlink ref="G51" r:id="nativeLink91"/>
    <hyperlink ref="AB51" r:id="nativeLink92"/>
    <hyperlink ref="G52" r:id="nativeLink93"/>
    <hyperlink ref="AB52" r:id="nativeLink94"/>
    <hyperlink ref="G53" r:id="nativeLink95"/>
    <hyperlink ref="AB53" r:id="nativeLink96"/>
    <hyperlink ref="G54" r:id="nativeLink97"/>
    <hyperlink ref="AB54" r:id="nativeLink98"/>
    <hyperlink ref="G55" r:id="nativeLink99"/>
    <hyperlink ref="AB55" r:id="nativeLink100"/>
    <hyperlink ref="G56" r:id="nativeLink101"/>
    <hyperlink ref="AB56" r:id="nativeLink102"/>
    <hyperlink ref="G57" r:id="nativeLink103"/>
    <hyperlink ref="AB57" r:id="nativeLink104"/>
    <hyperlink ref="G58" r:id="nativeLink105"/>
    <hyperlink ref="AB58" r:id="nativeLink106"/>
    <hyperlink ref="G59" r:id="nativeLink107"/>
    <hyperlink ref="AB59" r:id="nativeLink108"/>
    <hyperlink ref="G60" r:id="nativeLink109"/>
    <hyperlink ref="AB60" r:id="nativeLink110"/>
    <hyperlink ref="G61" r:id="nativeLink111"/>
    <hyperlink ref="AB61" r:id="nativeLink112"/>
    <hyperlink ref="G62" r:id="nativeLink113"/>
    <hyperlink ref="AB62" r:id="nativeLink114"/>
    <hyperlink ref="G63" r:id="nativeLink115"/>
    <hyperlink ref="AB63" r:id="nativeLink116"/>
    <hyperlink ref="G64" r:id="nativeLink117"/>
    <hyperlink ref="AB64" r:id="nativeLink118"/>
    <hyperlink ref="G65" r:id="nativeLink119"/>
    <hyperlink ref="AB65" r:id="nativeLink120"/>
    <hyperlink ref="G66" r:id="nativeLink121"/>
    <hyperlink ref="AB66" r:id="nativeLink122"/>
    <hyperlink ref="G67" r:id="nativeLink123"/>
    <hyperlink ref="AB67" r:id="nativeLink124"/>
    <hyperlink ref="G68" r:id="nativeLink125"/>
    <hyperlink ref="AB68" r:id="nativeLink126"/>
    <hyperlink ref="G69" r:id="nativeLink127"/>
    <hyperlink ref="AB69" r:id="nativeLink128"/>
    <hyperlink ref="G70" r:id="nativeLink129"/>
    <hyperlink ref="AB70" r:id="nativeLink130"/>
    <hyperlink ref="G71" r:id="nativeLink131"/>
    <hyperlink ref="AB71" r:id="nativeLink132"/>
    <hyperlink ref="G72" r:id="nativeLink133"/>
    <hyperlink ref="AB72" r:id="nativeLink134"/>
    <hyperlink ref="G73" r:id="nativeLink135"/>
    <hyperlink ref="AB73" r:id="nativeLink136"/>
    <hyperlink ref="G74" r:id="nativeLink137"/>
    <hyperlink ref="AB74" r:id="nativeLink138"/>
    <hyperlink ref="G75" r:id="nativeLink139"/>
    <hyperlink ref="AB75" r:id="nativeLink140"/>
    <hyperlink ref="G76" r:id="nativeLink141"/>
    <hyperlink ref="AB76" r:id="nativeLink142"/>
    <hyperlink ref="G77" r:id="nativeLink143"/>
    <hyperlink ref="AB77" r:id="nativeLink144"/>
    <hyperlink ref="G78" r:id="nativeLink145"/>
    <hyperlink ref="AB78" r:id="nativeLink146"/>
    <hyperlink ref="G79" r:id="nativeLink147"/>
    <hyperlink ref="AB79" r:id="nativeLink148"/>
    <hyperlink ref="G80" r:id="nativeLink149"/>
    <hyperlink ref="AB80" r:id="nativeLink150"/>
    <hyperlink ref="G81" r:id="nativeLink151"/>
    <hyperlink ref="AB81" r:id="nativeLink152"/>
    <hyperlink ref="G82" r:id="nativeLink153"/>
    <hyperlink ref="AB82" r:id="nativeLink154"/>
    <hyperlink ref="G83" r:id="nativeLink155"/>
    <hyperlink ref="AB83" r:id="nativeLink156"/>
    <hyperlink ref="G84" r:id="nativeLink157"/>
    <hyperlink ref="AB84" r:id="nativeLink158"/>
    <hyperlink ref="G85" r:id="nativeLink159"/>
    <hyperlink ref="AB85" r:id="nativeLink160"/>
    <hyperlink ref="G86" r:id="nativeLink161"/>
    <hyperlink ref="AB86" r:id="nativeLink162"/>
    <hyperlink ref="G87" r:id="nativeLink163"/>
    <hyperlink ref="AB87" r:id="nativeLink164"/>
    <hyperlink ref="G88" r:id="nativeLink165"/>
    <hyperlink ref="AB88" r:id="nativeLink166"/>
    <hyperlink ref="G89" r:id="nativeLink167"/>
    <hyperlink ref="AB89" r:id="nativeLink168"/>
    <hyperlink ref="G90" r:id="nativeLink169"/>
    <hyperlink ref="AB90" r:id="nativeLink170"/>
    <hyperlink ref="G91" r:id="nativeLink171"/>
    <hyperlink ref="AB91" r:id="nativeLink172"/>
    <hyperlink ref="G92" r:id="nativeLink173"/>
    <hyperlink ref="AB92" r:id="nativeLink174"/>
    <hyperlink ref="G93" r:id="nativeLink175"/>
    <hyperlink ref="AB93" r:id="nativeLink176"/>
    <hyperlink ref="G94" r:id="nativeLink177"/>
    <hyperlink ref="AB94" r:id="nativeLink178"/>
    <hyperlink ref="G95" r:id="nativeLink179"/>
    <hyperlink ref="AB95" r:id="nativeLink180"/>
    <hyperlink ref="G96" r:id="nativeLink181"/>
    <hyperlink ref="AB96" r:id="nativeLink182"/>
    <hyperlink ref="G97" r:id="nativeLink183"/>
    <hyperlink ref="AB97" r:id="nativeLink184"/>
    <hyperlink ref="G98" r:id="nativeLink185"/>
    <hyperlink ref="AB98" r:id="nativeLink186"/>
    <hyperlink ref="G99" r:id="nativeLink187"/>
    <hyperlink ref="AB99" r:id="nativeLink188"/>
    <hyperlink ref="G100" r:id="nativeLink189"/>
    <hyperlink ref="AB100" r:id="nativeLink190"/>
    <hyperlink ref="G101" r:id="nativeLink191"/>
    <hyperlink ref="AB101" r:id="nativeLink192"/>
    <hyperlink ref="G102" r:id="nativeLink193"/>
    <hyperlink ref="AB102" r:id="nativeLink194"/>
    <hyperlink ref="G103" r:id="nativeLink195"/>
    <hyperlink ref="AB103" r:id="nativeLink196"/>
    <hyperlink ref="G104" r:id="nativeLink197"/>
    <hyperlink ref="AB104" r:id="nativeLink198"/>
    <hyperlink ref="G105" r:id="nativeLink199"/>
    <hyperlink ref="AB105" r:id="nativeLink200"/>
    <hyperlink ref="G106" r:id="nativeLink201"/>
    <hyperlink ref="AB106" r:id="nativeLink202"/>
    <hyperlink ref="G107" r:id="nativeLink203"/>
    <hyperlink ref="AB107" r:id="nativeLink204"/>
    <hyperlink ref="G108" r:id="nativeLink205"/>
    <hyperlink ref="AB108" r:id="nativeLink206"/>
    <hyperlink ref="G109" r:id="nativeLink207"/>
    <hyperlink ref="AB109" r:id="nativeLink208"/>
    <hyperlink ref="G110" r:id="nativeLink209"/>
    <hyperlink ref="AB110" r:id="nativeLink210"/>
    <hyperlink ref="G111" r:id="nativeLink211"/>
    <hyperlink ref="AB111" r:id="nativeLink212"/>
    <hyperlink ref="G112" r:id="nativeLink213"/>
    <hyperlink ref="AB112" r:id="nativeLink214"/>
    <hyperlink ref="G113" r:id="nativeLink215"/>
    <hyperlink ref="AB113" r:id="nativeLink216"/>
    <hyperlink ref="G114" r:id="nativeLink217"/>
    <hyperlink ref="AB114" r:id="nativeLink218"/>
    <hyperlink ref="G115" r:id="nativeLink219"/>
    <hyperlink ref="AB115" r:id="nativeLink220"/>
    <hyperlink ref="G116" r:id="nativeLink221"/>
    <hyperlink ref="AB116" r:id="nativeLink222"/>
    <hyperlink ref="G117" r:id="nativeLink223"/>
    <hyperlink ref="AB117" r:id="nativeLink224"/>
    <hyperlink ref="G118" r:id="nativeLink225"/>
    <hyperlink ref="AB118" r:id="nativeLink226"/>
    <hyperlink ref="G119" r:id="nativeLink227"/>
    <hyperlink ref="AB119" r:id="nativeLink228"/>
    <hyperlink ref="G120" r:id="nativeLink229"/>
    <hyperlink ref="AB120" r:id="nativeLink230"/>
    <hyperlink ref="G121" r:id="nativeLink231"/>
    <hyperlink ref="AB121" r:id="nativeLink232"/>
    <hyperlink ref="G122" r:id="nativeLink233"/>
    <hyperlink ref="AB122" r:id="nativeLink234"/>
    <hyperlink ref="G123" r:id="nativeLink235"/>
    <hyperlink ref="AB123" r:id="nativeLink236"/>
    <hyperlink ref="G124" r:id="nativeLink237"/>
    <hyperlink ref="AB124" r:id="nativeLink238"/>
    <hyperlink ref="G125" r:id="nativeLink239"/>
    <hyperlink ref="AB125" r:id="nativeLink240"/>
    <hyperlink ref="G126" r:id="nativeLink241"/>
    <hyperlink ref="AB126" r:id="nativeLink242"/>
    <hyperlink ref="G127" r:id="nativeLink243"/>
    <hyperlink ref="AB127" r:id="nativeLink244"/>
  </hyperlinks>
  <pageMargins left="0.7" right="0.7" top="0.75" bottom="0.75" header="0.3" footer="0.3"/>
  <tableParts count="1">
    <tablePart r:id="R999c186e57ac49c4"/>
  </tableParts>
</worksheet>
</file>

<file path=xl/worksheets/sheet3.xml><?xml version="1.0" encoding="utf-8"?>
<worksheet xmlns="http://schemas.openxmlformats.org/spreadsheetml/2006/main" xmlns:r="http://schemas.openxmlformats.org/officeDocument/2006/relationships">
  <sheetViews>
    <sheetView showGridLines="0" workbookViewId="0">
      <pane xSplit="2" ySplit="5" topLeftCell="C6" activePane="bottomRight" state="frozen"/>
    </sheetView>
  </sheetViews>
  <sheetFormatPr defaultRowHeight="15"/>
  <cols>
    <col min="1" max="1" width="27" hidden="0" customWidth="1"/>
    <col min="2" max="2" width="19" hidden="0" customWidth="1"/>
    <col min="3" max="3" width="60" hidden="0" customWidth="1"/>
    <col min="4" max="4" width="31" hidden="0" customWidth="1"/>
    <col min="5" max="5" width="100" hidden="0" customWidth="1"/>
    <col min="6" max="6" width="50" hidden="0" customWidth="1"/>
    <col min="7" max="7" width="17" hidden="0" customWidth="1"/>
    <col min="8" max="8" width="17" hidden="0" customWidth="1"/>
    <col min="9" max="9" width="95" hidden="0" customWidth="1"/>
    <col min="10" max="10" width="90" hidden="0" customWidth="1"/>
    <col min="11" max="11" width="70" hidden="0" customWidth="1"/>
  </cols>
  <sheetData>
    <row r="1">
      <c r="A1" s="3"/>
      <c r="B1" s="3"/>
      <c r="C1" s="3"/>
      <c r="D1" s="3"/>
      <c r="E1" s="3"/>
      <c r="F1" s="3"/>
      <c r="G1" s="3"/>
      <c r="H1" s="3"/>
      <c r="I1" s="3"/>
      <c r="J1" s="3"/>
      <c r="K1" s="3"/>
    </row>
    <row r="2" ht="28" customHeight="1">
      <c r="A2" s="5" t="str">
        <v>Deadlines</v>
      </c>
      <c r="B2" s="5"/>
      <c r="C2" s="5"/>
      <c r="D2" s="5"/>
      <c r="E2" s="5"/>
      <c r="F2" s="5"/>
      <c r="G2" s="5"/>
      <c r="H2" s="5"/>
      <c r="I2" s="5"/>
      <c r="J2" s="5"/>
      <c r="K2" s="5"/>
    </row>
    <row r="3" ht="23" customHeight="1">
      <c r="A3" s="7" t="str">
        <v>Evidence checked 10 October 2026 · Full text retained in cells; use filters and expand rows for long provisions.</v>
      </c>
      <c r="B3" s="7"/>
      <c r="C3" s="7"/>
      <c r="D3" s="7"/>
      <c r="E3" s="7"/>
      <c r="F3" s="7"/>
      <c r="G3" s="7"/>
      <c r="H3" s="7"/>
      <c r="I3" s="7"/>
      <c r="J3" s="7"/>
      <c r="K3" s="7"/>
    </row>
    <row r="4">
      <c r="A4" s="8"/>
      <c r="B4" s="8"/>
      <c r="C4" s="8"/>
      <c r="D4" s="8"/>
      <c r="E4" s="8"/>
      <c r="F4" s="8"/>
      <c r="G4" s="8"/>
      <c r="H4" s="8"/>
      <c r="I4" s="8"/>
      <c r="J4" s="8"/>
      <c r="K4" s="8"/>
    </row>
    <row r="5" ht="52" customHeight="1">
      <c r="A5" s="17" t="str">
        <v>Deadline ID</v>
      </c>
      <c r="B5" s="18" t="str">
        <v>Group ID</v>
      </c>
      <c r="C5" s="18" t="str">
        <v>Milestone / provision</v>
      </c>
      <c r="D5" s="18" t="str">
        <v>Type / scope</v>
      </c>
      <c r="E5" s="18" t="str">
        <v>Original Portuguese wording</v>
      </c>
      <c r="F5" s="18" t="str">
        <v>Trigger / anchor</v>
      </c>
      <c r="G5" s="18" t="str">
        <v>Calculated date / benchmark</v>
      </c>
      <c r="H5" s="18" t="str">
        <v>Alternative date</v>
      </c>
      <c r="I5" s="18" t="str">
        <v>Calculation / qualification</v>
      </c>
      <c r="J5" s="18" t="str">
        <v>Source URL</v>
      </c>
      <c r="K5" s="19" t="str">
        <v>Verification</v>
      </c>
    </row>
    <row r="6" ht="90" customHeight="1">
      <c r="A6" s="3" t="str">
        <v>GT-2024-001-D01</v>
      </c>
      <c r="B6" s="3" t="str">
        <v>GT-2024-001</v>
      </c>
      <c r="C6" s="3" t="str">
        <v>1 - Determinar que a Infraestruturas de Portugal, S. A., antecipe a conclusão dos estudos necessário</v>
      </c>
      <c r="D6" s="3" t="str">
        <v>Deliverable / duration</v>
      </c>
      <c r="E6" s="3" t="str">
        <v>1 - Determinar que a Infraestruturas de Portugal, S. A., antecipe a conclusão dos estudos necessários à tomada de decisão pelo Governo, relativamente às valências e às principais características topológicas da terceira travessia do Tejo, no eixo Chelas-Barreiro, até ao final de 2024.</v>
      </c>
      <c r="F6" s="3" t="str"/>
      <c r="G6" s="20" t="d">
        <v>2024-12-31T00:00:00.000Z</v>
      </c>
      <c r="H6" s="20"/>
      <c r="I6" s="3" t="str">
        <v>Explicit year-end: 31 December 2024.</v>
      </c>
      <c r="J6" s="3" t="str">
        <v>https://diariodarepublica.pt/dr/detalhe/resolucao-conselho-ministros/68-2024-867194464</v>
      </c>
      <c r="K6" s="3" t="str">
        <v>No dated delivery evidence identified.</v>
      </c>
    </row>
    <row r="7" ht="90" customHeight="1">
      <c r="A7" s="3" t="str">
        <v>GT-2024-001-D02</v>
      </c>
      <c r="B7" s="3" t="str">
        <v>GT-2024-001</v>
      </c>
      <c r="C7" s="3" t="str">
        <v>2 - Determinar que a Infraestruturas de Portugal, S. A., promova, até ao final do primeiro trimestre</v>
      </c>
      <c r="D7" s="3" t="str">
        <v>Deliverable / duration</v>
      </c>
      <c r="E7" s="3" t="str">
        <v>2 - Determinar que a Infraestruturas de Portugal, S. A., promova, até ao final do primeiro trimestre de 2026, os estudos de procura, os estudos sobre a resiliência às alterações climáticas, as análises de custo-benefício, os estudos prévios e os estudos de impacte ambiental (a serem submetidos a processo de avaliação de impacte ambiental, durante o segundo trimestre de 2026) dos seguintes projetos, potencialmente integrados:</v>
      </c>
      <c r="F7" s="3" t="str"/>
      <c r="G7" s="20" t="d">
        <v>2026-03-31T00:00:00.000Z</v>
      </c>
      <c r="H7" s="20"/>
      <c r="I7" s="3" t="str">
        <v>End-of-quarter monitoring benchmark: 2026-03-31; the act specifies a window rather than an exact day.</v>
      </c>
      <c r="J7" s="3" t="str">
        <v>https://diariodarepublica.pt/dr/detalhe/resolucao-conselho-ministros/68-2024-867194464</v>
      </c>
      <c r="K7" s="3" t="str">
        <v>No dated delivery evidence identified.</v>
      </c>
    </row>
    <row r="8" ht="90" customHeight="1">
      <c r="A8" s="3" t="str">
        <v>GT-2024-001-D03</v>
      </c>
      <c r="B8" s="3" t="str">
        <v>GT-2024-001</v>
      </c>
      <c r="C8" s="3" t="str">
        <v>2 - Determinar que a Infraestruturas de Portugal, S. A., promova, até ao final d — additional dated phase</v>
      </c>
      <c r="D8" s="3" t="str">
        <v>Deliverable / duration</v>
      </c>
      <c r="E8" s="3" t="str">
        <v>2 - Determinar que a Infraestruturas de Portugal, S. A., promova, até ao final do primeiro trimestre de 2026, os estudos de procura, os estudos sobre a resiliência às alterações climáticas, as análises de custo-benefício, os estudos prévios e os estudos de impacte ambiental (a serem submetidos a processo de avaliação de impacte ambiental, durante o segundo trimestre de 2026) dos seguintes projetos, potencialmente integrados:</v>
      </c>
      <c r="F8" s="3" t="str"/>
      <c r="G8" s="20" t="d">
        <v>2026-06-30T00:00:00.000Z</v>
      </c>
      <c r="H8" s="20"/>
      <c r="I8" s="3" t="str">
        <v>Quarter boundary: segundo trimestre de 2026; last day of the stated window.</v>
      </c>
      <c r="J8" s="3" t="str">
        <v>https://diariodarepublica.pt/dr/detalhe/resolucao-conselho-ministros/68-2024-867194464</v>
      </c>
      <c r="K8" s="3" t="str">
        <v>No dated delivery evidence identified.</v>
      </c>
    </row>
    <row r="9" ht="90" customHeight="1">
      <c r="A9" s="3" t="str">
        <v>GT-2024-001-D04</v>
      </c>
      <c r="B9" s="3" t="str">
        <v>GT-2024-001</v>
      </c>
      <c r="C9" s="3" t="str">
        <v>3 - Determinar que a Infraestruturas de Portugal, S. A., e o Instituto da Mobilidade e dos Transport</v>
      </c>
      <c r="D9" s="3" t="str">
        <v>Deliverable / duration</v>
      </c>
      <c r="E9" s="3" t="str">
        <v>3 - Determinar que a Infraestruturas de Portugal, S. A., e o Instituto da Mobilidade e dos Transportes, I. P., analisem, em conjunto, as alternativas equiparáveis para um novo modelo de gestão das travessias do Tejo em Lisboa, que inclua a construção de uma terceira travessia do Tejo, a submeter à aprovação do Governo, até ao final de 2026.</v>
      </c>
      <c r="F9" s="3" t="str"/>
      <c r="G9" s="20" t="d">
        <v>2026-12-31T00:00:00.000Z</v>
      </c>
      <c r="H9" s="20"/>
      <c r="I9" s="3" t="str">
        <v>Explicit year-end: 31 December 2026.</v>
      </c>
      <c r="J9" s="3" t="str">
        <v>https://diariodarepublica.pt/dr/detalhe/resolucao-conselho-ministros/68-2024-867194464</v>
      </c>
      <c r="K9" s="3" t="str">
        <v>No dated delivery evidence identified.</v>
      </c>
    </row>
    <row r="10" ht="90" customHeight="1">
      <c r="A10" s="3" t="str">
        <v>GT-2024-001-D05</v>
      </c>
      <c r="B10" s="3" t="str">
        <v>GT-2024-001</v>
      </c>
      <c r="C10" s="3" t="str">
        <v>4 - Determinar que a Infraestruturas de Portugal, S. A., apresente ao Governo, até final do segundo </v>
      </c>
      <c r="D10" s="3" t="str">
        <v>Deliverable / duration</v>
      </c>
      <c r="E10" s="3" t="str">
        <v>4 - Determinar que a Infraestruturas de Portugal, S. A., apresente ao Governo, até final do segundo trimestre de 2026, uma proposta fundamentada que permita uma tomada de decisão relativamente ao modelo de contratação e de gestão a adotar, que assegure um desenvolvimento eficaz e eficiente do projeto, com elevado nível de qualidade e, simultaneamente, comportável num quadro de boa gestão de finanças públicas, para os seguintes projetos, potencialmente integrados:</v>
      </c>
      <c r="F10" s="3" t="str"/>
      <c r="G10" s="20" t="d">
        <v>2026-06-30T00:00:00.000Z</v>
      </c>
      <c r="H10" s="20"/>
      <c r="I10" s="3" t="str">
        <v>End-of-quarter monitoring benchmark: 2026-06-30; the act specifies a window rather than an exact day.</v>
      </c>
      <c r="J10" s="3" t="str">
        <v>https://diariodarepublica.pt/dr/detalhe/resolucao-conselho-ministros/68-2024-867194464</v>
      </c>
      <c r="K10" s="3" t="str">
        <v>No dated delivery evidence identified.</v>
      </c>
    </row>
    <row r="11" ht="90" customHeight="1">
      <c r="A11" s="3" t="str">
        <v>GT-2024-001-D06</v>
      </c>
      <c r="B11" s="3" t="str">
        <v>GT-2024-001</v>
      </c>
      <c r="C11" s="3" t="str">
        <v>6 - Autorizar a realização da despesa necessária à execução dos estudos, para o triénio 2025-2028, a</v>
      </c>
      <c r="D11" s="3" t="str">
        <v>Deliverable / duration</v>
      </c>
      <c r="E11" s="3" t="str">
        <v>6 - Autorizar a realização da despesa necessária à execução dos estudos, para o triénio 2025-2028, até ao montante máximo global de 4 000 000,00 EUR, a que acresce o imposto sobre o valor acrescentado (IVA) à taxa legal em vigor.</v>
      </c>
      <c r="F11" s="3" t="str"/>
      <c r="G11" s="20"/>
      <c r="H11" s="20"/>
      <c r="I11" s="3" t="str">
        <v>No uniquely dated deadline derivable from this clause; cadence or trigger is preserved.</v>
      </c>
      <c r="J11" s="3" t="str">
        <v>https://diariodarepublica.pt/dr/detalhe/resolucao-conselho-ministros/68-2024-867194464</v>
      </c>
      <c r="K11" s="3" t="str">
        <v>No dated delivery evidence identified.</v>
      </c>
    </row>
    <row r="12" ht="90" customHeight="1">
      <c r="A12" s="3" t="str">
        <v>GT-2024-001-D07</v>
      </c>
      <c r="B12" s="3" t="str">
        <v>GT-2024-001</v>
      </c>
      <c r="C12" s="3" t="str">
        <v>9 - Determinar que os encargos emergentes da presente resolução devem merecer financiamento europeu,</v>
      </c>
      <c r="D12" s="3" t="str">
        <v>Appointments / planning</v>
      </c>
      <c r="E12" s="3" t="str">
        <v>9 - Determinar que os encargos emergentes da presente resolução devem merecer financiamento europeu, através do Programa Portugal 2030, no valor de 1 980 000,00 EUR, sendo a contrapartida nacional suportada por verbas a inscrever no Plano de Atividades e Orçamento da Infraestruturas de Portugal, S. A., em cada um dos anos económicos referidos no n.º 7.</v>
      </c>
      <c r="F12" s="3" t="str"/>
      <c r="G12" s="20"/>
      <c r="H12" s="20"/>
      <c r="I12" s="3" t="str">
        <v>No uniquely dated deadline derivable from this clause; cadence or trigger is preserved.</v>
      </c>
      <c r="J12" s="3" t="str">
        <v>https://diariodarepublica.pt/dr/detalhe/resolucao-conselho-ministros/68-2024-867194464</v>
      </c>
      <c r="K12" s="3" t="str">
        <v>No dated delivery evidence identified.</v>
      </c>
    </row>
    <row r="13" ht="90" customHeight="1">
      <c r="A13" s="3" t="str">
        <v>GT-2024-002-D01</v>
      </c>
      <c r="B13" s="3" t="str">
        <v>GT-2024-002</v>
      </c>
      <c r="C13" s="3" t="str">
        <v>7 - As entidades referidas no n.º 3 devem indicar à Agência, I. P., até 10 dias após a publicação do</v>
      </c>
      <c r="D13" s="3" t="str">
        <v>Appointments / planning</v>
      </c>
      <c r="E13" s="3" t="str">
        <v>7 - As entidades referidas no n.º 3 devem indicar à Agência, I. P., até 10 dias após a publicação do presente despacho, o respetivo representante para o Grupo de Trabalho.</v>
      </c>
      <c r="F13" s="3" t="str">
        <v>Publication 2024-06-11</v>
      </c>
      <c r="G13" s="20" t="d">
        <v>2024-06-21T00:00:00.000Z</v>
      </c>
      <c r="H13" s="20" t="d">
        <v>2024-06-25T00:00:00.000Z</v>
      </c>
      <c r="I13" s="3" t="str">
        <v>2024-06-11 + 10 calendar days (monitoring convention). If CPA procedural counting applies: 2024-06-25.</v>
      </c>
      <c r="J13" s="3" t="str">
        <v>https://diariodarepublica.pt/dr/detalhe/despacho/6475-2024-868409451</v>
      </c>
      <c r="K13" s="3" t="str">
        <v>No dated delivery evidence identified.</v>
      </c>
    </row>
    <row r="14" ht="90" customHeight="1">
      <c r="A14" s="3" t="str">
        <v>GT-2024-002-D02</v>
      </c>
      <c r="B14" s="3" t="str">
        <v>GT-2024-002</v>
      </c>
      <c r="C14" s="3" t="str">
        <v>Mandate end</v>
      </c>
      <c r="D14" s="3" t="str">
        <v>Status benchmark</v>
      </c>
      <c r="E14" s="3" t="str"/>
      <c r="F14" s="3" t="str"/>
      <c r="G14" s="20" t="d">
        <v>2029-12-31T00:00:00.000Z</v>
      </c>
      <c r="H14" s="20"/>
      <c r="I14" s="3" t="str">
        <v>Fixed date / explicit year-end in creating act.</v>
      </c>
      <c r="J14" s="3" t="str">
        <v>https://diariodarepublica.pt/dr/detalhe/despacho/6475-2024-868409451</v>
      </c>
      <c r="K14" s="3" t="str">
        <v>Em curso – dentro do prazo — Current controlling deadline has not passed; delivery not independently verified.</v>
      </c>
    </row>
    <row r="15" ht="90" customHeight="1">
      <c r="A15" s="3" t="str">
        <v>GT-2024-003-D01</v>
      </c>
      <c r="B15" s="3" t="str">
        <v>GT-2024-003</v>
      </c>
      <c r="C15" s="3" t="str">
        <v>h) Fernando Severino, licenciado em Medicina, assistente na área de medicina geral e familiar, em Vi</v>
      </c>
      <c r="D15" s="3" t="str">
        <v>Deliverable / duration</v>
      </c>
      <c r="E15" s="3" t="str">
        <v>h) Fernando Severino, licenciado em Medicina, assistente na área de medicina geral e familiar, em Viseu, até 30 de novembro de 2023;</v>
      </c>
      <c r="F15" s="3" t="str"/>
      <c r="G15" s="20" t="d">
        <v>2023-11-30T00:00:00.000Z</v>
      </c>
      <c r="H15" s="20"/>
      <c r="I15" s="3" t="str">
        <v>Explicit calendar date in the act.</v>
      </c>
      <c r="J15" s="3" t="str">
        <v>https://diariodarepublica.pt/dr/detalhe/despacho/6563-2024-868447723</v>
      </c>
      <c r="K15" s="3" t="str">
        <v>No dated delivery evidence identified.</v>
      </c>
    </row>
    <row r="16" ht="90" customHeight="1">
      <c r="A16" s="3" t="str">
        <v>GT-2024-003-D02</v>
      </c>
      <c r="B16" s="3" t="str">
        <v>GT-2024-003</v>
      </c>
      <c r="C16" s="3" t="str">
        <v>6 - O grupo de trabalho deverá apresentar um relatório final que cumpra os objetivos mencionados no </v>
      </c>
      <c r="D16" s="3" t="str">
        <v>Deliverable / duration</v>
      </c>
      <c r="E16" s="3" t="str">
        <v>6 - O grupo de trabalho deverá apresentar um relatório final que cumpra os objetivos mencionados no n.º 1, no prazo de 30 dias após a entrada em vigor do presente despacho.</v>
      </c>
      <c r="F16" s="3" t="str">
        <v>Entry into force 2024-04-05</v>
      </c>
      <c r="G16" s="20" t="d">
        <v>2024-05-05T00:00:00.000Z</v>
      </c>
      <c r="H16" s="20" t="d">
        <v>2024-05-21T00:00:00.000Z</v>
      </c>
      <c r="I16" s="3" t="str">
        <v>2024-04-05 + 30 calendar days (monitoring convention). If CPA procedural counting applies: 2024-05-21.</v>
      </c>
      <c r="J16" s="3" t="str">
        <v>https://diariodarepublica.pt/dr/detalhe/despacho/6563-2024-868447723</v>
      </c>
      <c r="K16" s="3" t="str">
        <v>No dated delivery evidence identified.</v>
      </c>
    </row>
    <row r="17" ht="90" customHeight="1">
      <c r="A17" s="3" t="str">
        <v>GT-2024-003-D03</v>
      </c>
      <c r="B17" s="3" t="str">
        <v>GT-2024-003</v>
      </c>
      <c r="C17" s="3" t="str">
        <v>Final report / last specified substantive output</v>
      </c>
      <c r="D17" s="3" t="str">
        <v>Status benchmark</v>
      </c>
      <c r="E17" s="3" t="str"/>
      <c r="F17" s="3" t="str"/>
      <c r="G17" s="20" t="d">
        <v>2024-05-05T00:00:00.000Z</v>
      </c>
      <c r="H17" s="20" t="d">
        <v>2024-05-21T00:00:00.000Z</v>
      </c>
      <c r="I17" s="3" t="str">
        <v>effective 2024-04-05 + 30 calendar days; plain “dias” benchmark. Alternative working-day date: 2024-05-21.</v>
      </c>
      <c r="J17" s="3" t="str">
        <v>https://diariodarepublica.pt/dr/detalhe/despacho/6563-2024-868447723</v>
      </c>
      <c r="K17" s="3" t="str">
        <v>Em atraso — Controlling benchmark has passed; no evidence of this output’s delivery identified in the reviewed acts and focused official-source outcome search.</v>
      </c>
    </row>
    <row r="18" ht="90" customHeight="1">
      <c r="A18" s="3" t="str">
        <v>GT-2024-005-D01</v>
      </c>
      <c r="B18" s="3" t="str">
        <v>GT-2024-005</v>
      </c>
      <c r="C18" s="3" t="str">
        <v>a) A Fase 1, que consiste nos trabalhos preparatórios da transposição do artigo 1.º da Diretiva RED </v>
      </c>
      <c r="D18" s="3" t="str">
        <v>Deliverable / duration</v>
      </c>
      <c r="E18" s="3" t="str">
        <v>a) A Fase 1, que consiste nos trabalhos preparatórios da transposição do artigo 1.º da Diretiva RED III, no que diz respeito às disposições referidas no n.º 1 in fine do artigo 5.º da referida diretiva, a ser concluída até 1 de julho de 2024;</v>
      </c>
      <c r="F18" s="3" t="str"/>
      <c r="G18" s="20" t="d">
        <v>2024-07-01T00:00:00.000Z</v>
      </c>
      <c r="H18" s="20"/>
      <c r="I18" s="3" t="str">
        <v>Explicit calendar date in the act.</v>
      </c>
      <c r="J18" s="3" t="str">
        <v>https://diariodarepublica.pt/dr/detalhe/despacho/6757-a-2024-868812119</v>
      </c>
      <c r="K18" s="3" t="str">
        <v>No dated delivery evidence identified.</v>
      </c>
    </row>
    <row r="19" ht="90" customHeight="1">
      <c r="A19" s="3" t="str">
        <v>GT-2024-005-D02</v>
      </c>
      <c r="B19" s="3" t="str">
        <v>GT-2024-005</v>
      </c>
      <c r="C19" s="3" t="str">
        <v>b) A Fase 2, que consiste nos trabalhos preparatórios da transposição das restantes disposições da D</v>
      </c>
      <c r="D19" s="3" t="str">
        <v>Deliverable / duration</v>
      </c>
      <c r="E19" s="3" t="str">
        <v>b) A Fase 2, que consiste nos trabalhos preparatórios da transposição das restantes disposições da Diretiva RED III, a ser concluída até 21 de maio de 2025.</v>
      </c>
      <c r="F19" s="3" t="str"/>
      <c r="G19" s="20" t="d">
        <v>2025-05-21T00:00:00.000Z</v>
      </c>
      <c r="H19" s="20"/>
      <c r="I19" s="3" t="str">
        <v>Explicit calendar date in the act.</v>
      </c>
      <c r="J19" s="3" t="str">
        <v>https://diariodarepublica.pt/dr/detalhe/despacho/6757-a-2024-868812119</v>
      </c>
      <c r="K19" s="3" t="str">
        <v>No dated delivery evidence identified.</v>
      </c>
    </row>
    <row r="20" ht="90" customHeight="1">
      <c r="A20" s="3" t="str">
        <v>GT-2024-005-D03</v>
      </c>
      <c r="B20" s="3" t="str">
        <v>GT-2024-005</v>
      </c>
      <c r="C20" s="3" t="str">
        <v>a) Propostas relativas aos atos legislativos a adotar para transposição da Diretiva RED III, respeit</v>
      </c>
      <c r="D20" s="3" t="str">
        <v>Deliverable / duration</v>
      </c>
      <c r="E20" s="3" t="str">
        <v>a) Propostas relativas aos atos legislativos a adotar para transposição da Diretiva RED III, respeitando os seguintes prazos:</v>
      </c>
      <c r="F20" s="3" t="str"/>
      <c r="G20" s="20"/>
      <c r="H20" s="20"/>
      <c r="I20" s="3" t="str">
        <v>No uniquely dated deadline derivable from this clause; cadence or trigger is preserved.</v>
      </c>
      <c r="J20" s="3" t="str">
        <v>https://diariodarepublica.pt/dr/detalhe/despacho/6757-a-2024-868812119</v>
      </c>
      <c r="K20" s="3" t="str">
        <v>No dated delivery evidence identified.</v>
      </c>
    </row>
    <row r="21" ht="90" customHeight="1">
      <c r="A21" s="3" t="str">
        <v>GT-2024-005-D04</v>
      </c>
      <c r="B21" s="3" t="str">
        <v>GT-2024-005</v>
      </c>
      <c r="C21" s="3" t="str">
        <v>i) Fase 1 - até 19 de junho de 2024, sem prejuízo do disposto na alínea d) do n.º 2;</v>
      </c>
      <c r="D21" s="3" t="str">
        <v>Deliverable / duration</v>
      </c>
      <c r="E21" s="3" t="str">
        <v>i) Fase 1 - até 19 de junho de 2024, sem prejuízo do disposto na alínea d) do n.º 2;</v>
      </c>
      <c r="F21" s="3" t="str"/>
      <c r="G21" s="20" t="d">
        <v>2024-06-19T00:00:00.000Z</v>
      </c>
      <c r="H21" s="20"/>
      <c r="I21" s="3" t="str">
        <v>Explicit calendar date in the act.</v>
      </c>
      <c r="J21" s="3" t="str">
        <v>https://diariodarepublica.pt/dr/detalhe/despacho/6757-a-2024-868812119</v>
      </c>
      <c r="K21" s="3" t="str">
        <v>No dated delivery evidence identified.</v>
      </c>
    </row>
    <row r="22" ht="90" customHeight="1">
      <c r="A22" s="3" t="str">
        <v>GT-2024-005-D05</v>
      </c>
      <c r="B22" s="3" t="str">
        <v>GT-2024-005</v>
      </c>
      <c r="C22" s="3" t="str">
        <v>ii) Fase 2 - até 24 de janeiro de 2025;</v>
      </c>
      <c r="D22" s="3" t="str">
        <v>Deliverable / duration</v>
      </c>
      <c r="E22" s="3" t="str">
        <v>ii) Fase 2 - até 24 de janeiro de 2025;</v>
      </c>
      <c r="F22" s="3" t="str"/>
      <c r="G22" s="20" t="d">
        <v>2025-01-24T00:00:00.000Z</v>
      </c>
      <c r="H22" s="20"/>
      <c r="I22" s="3" t="str">
        <v>Explicit calendar date in the act.</v>
      </c>
      <c r="J22" s="3" t="str">
        <v>https://diariodarepublica.pt/dr/detalhe/despacho/6757-a-2024-868812119</v>
      </c>
      <c r="K22" s="3" t="str">
        <v>No dated delivery evidence identified.</v>
      </c>
    </row>
    <row r="23" ht="90" customHeight="1">
      <c r="A23" s="3" t="str">
        <v>GT-2024-005-D06</v>
      </c>
      <c r="B23" s="3" t="str">
        <v>GT-2024-005</v>
      </c>
      <c r="C23" s="3" t="str">
        <v>7 - As entidades referidas no n.º 4 indicam à DGEG - Direção-Geral de Energia e Geologia os seus rep</v>
      </c>
      <c r="D23" s="3" t="str">
        <v>Appointments / planning</v>
      </c>
      <c r="E23" s="3" t="str">
        <v>7 - As entidades referidas no n.º 4 indicam à DGEG - Direção-Geral de Energia e Geologia os seus representantes, nos seguintes prazos:</v>
      </c>
      <c r="F23" s="3" t="str">
        <v>Latest signature 2024-06-17</v>
      </c>
      <c r="G23" s="20"/>
      <c r="H23" s="20"/>
      <c r="I23" s="3" t="str">
        <v>No uniquely dated deadline derivable from this clause; cadence or trigger is preserved.</v>
      </c>
      <c r="J23" s="3" t="str">
        <v>https://diariodarepublica.pt/dr/detalhe/despacho/6757-a-2024-868812119</v>
      </c>
      <c r="K23" s="3" t="str">
        <v>No dated delivery evidence identified.</v>
      </c>
    </row>
    <row r="24" ht="90" customHeight="1">
      <c r="A24" s="3" t="str">
        <v>GT-2024-005-D07</v>
      </c>
      <c r="B24" s="3" t="str">
        <v>GT-2024-005</v>
      </c>
      <c r="C24" s="3" t="str">
        <v>a) Até ao final do dia seguinte ao da assinatura do presente despacho as entidades referidas na alín</v>
      </c>
      <c r="D24" s="3" t="str">
        <v>Deliverable / duration</v>
      </c>
      <c r="E24" s="3" t="str">
        <v>a) Até ao final do dia seguinte ao da assinatura do presente despacho as entidades referidas na alínea a) do n.º 4;</v>
      </c>
      <c r="F24" s="3" t="str">
        <v>Latest signature 2024-06-17</v>
      </c>
      <c r="G24" s="20" t="d">
        <v>2024-06-18T00:00:00.000Z</v>
      </c>
      <c r="H24" s="20"/>
      <c r="I24" s="3" t="str">
        <v>Day after latest signature 2024-06-17; calendar day specified.</v>
      </c>
      <c r="J24" s="3" t="str">
        <v>https://diariodarepublica.pt/dr/detalhe/despacho/6757-a-2024-868812119</v>
      </c>
      <c r="K24" s="3" t="str">
        <v>No dated delivery evidence identified.</v>
      </c>
    </row>
    <row r="25" ht="90" customHeight="1">
      <c r="A25" s="3" t="str">
        <v>GT-2024-005-D08</v>
      </c>
      <c r="B25" s="3" t="str">
        <v>GT-2024-005</v>
      </c>
      <c r="C25" s="3" t="str">
        <v>b) Até 5 dias úteis após o da assinatura do presente despacho as entidades referidas na alínea b) do</v>
      </c>
      <c r="D25" s="3" t="str">
        <v>Deliverable / duration</v>
      </c>
      <c r="E25" s="3" t="str">
        <v>b) Até 5 dias úteis após o da assinatura do presente despacho as entidades referidas na alínea b) do n.º 4.</v>
      </c>
      <c r="F25" s="3" t="str">
        <v>Latest signature 2024-06-17</v>
      </c>
      <c r="G25" s="20" t="d">
        <v>2024-06-24T00:00:00.000Z</v>
      </c>
      <c r="H25" s="20"/>
      <c r="I25" s="3" t="str">
        <v>2024-06-17 + 5 working days; anchor excluded, weekends and national statutory holidays excluded.</v>
      </c>
      <c r="J25" s="3" t="str">
        <v>https://diariodarepublica.pt/dr/detalhe/despacho/6757-a-2024-868812119</v>
      </c>
      <c r="K25" s="3" t="str">
        <v>No dated delivery evidence identified.</v>
      </c>
    </row>
    <row r="26" ht="90" customHeight="1">
      <c r="A26" s="3" t="str">
        <v>GT-2024-005-D09</v>
      </c>
      <c r="B26" s="3" t="str">
        <v>GT-2024-005</v>
      </c>
      <c r="C26" s="3" t="str">
        <v>Final report / last specified substantive output</v>
      </c>
      <c r="D26" s="3" t="str">
        <v>Status benchmark</v>
      </c>
      <c r="E26" s="3" t="str"/>
      <c r="F26" s="3" t="str"/>
      <c r="G26" s="20" t="d">
        <v>2025-05-21T00:00:00.000Z</v>
      </c>
      <c r="H26" s="20"/>
      <c r="I26" s="3" t="str">
        <v>Fixed date / explicit year-end in creating act.</v>
      </c>
      <c r="J26" s="3" t="str">
        <v>https://diariodarepublica.pt/dr/detalhe/despacho/6757-a-2024-868812119</v>
      </c>
      <c r="K26" s="3" t="str">
        <v>Em atraso — Controlling benchmark has passed; no evidence of this output’s delivery identified in the reviewed acts and focused official-source outcome search.</v>
      </c>
    </row>
    <row r="27" ht="90" customHeight="1">
      <c r="A27" s="3" t="str">
        <v>GT-2024-006-D01</v>
      </c>
      <c r="B27" s="3" t="str">
        <v>GT-2024-006</v>
      </c>
      <c r="C27" s="3" t="str">
        <v>1 - É criado um grupo de trabalho com o objetivo de definir a fórmula de financiamento para cada res</v>
      </c>
      <c r="D27" s="3" t="str">
        <v>Periodic / conditional</v>
      </c>
      <c r="E27" s="3" t="str">
        <v>1 - É criado um grupo de trabalho com o objetivo de definir a fórmula de financiamento para cada resposta social, que traduza, em função da respetiva estrutura de custos e da evolução das contribuições familiares, os critérios de apuramento dos montantes a transferir anualmente pelo Estado considerando fatores de atualização para financiamento dos seguintes encargos:</v>
      </c>
      <c r="F27" s="3" t="str"/>
      <c r="G27" s="20"/>
      <c r="H27" s="20"/>
      <c r="I27" s="3" t="str">
        <v>No uniquely dated deadline derivable from this clause; cadence or trigger is preserved.</v>
      </c>
      <c r="J27" s="3" t="str">
        <v>https://diariodarepublica.pt/dr/detalhe/despacho/7321-2024-871047338</v>
      </c>
      <c r="K27" s="3" t="str">
        <v>No dated delivery evidence identified.</v>
      </c>
    </row>
    <row r="28" ht="90" customHeight="1">
      <c r="A28" s="3" t="str">
        <v>GT-2024-006-D02</v>
      </c>
      <c r="B28" s="3" t="str">
        <v>GT-2024-006</v>
      </c>
      <c r="C28" s="3" t="str">
        <v>2 - O grupo de trabalho deve apresentar o previsto no número anterior até ao final do mês de julho d</v>
      </c>
      <c r="D28" s="3" t="str">
        <v>Deliverable / duration</v>
      </c>
      <c r="E28" s="3" t="str">
        <v>2 - O grupo de trabalho deve apresentar o previsto no número anterior até ao final do mês de julho de 2024.</v>
      </c>
      <c r="F28" s="3" t="str"/>
      <c r="G28" s="20" t="d">
        <v>2024-07-31T00:00:00.000Z</v>
      </c>
      <c r="H28" s="20"/>
      <c r="I28" s="3" t="str">
        <v>Explicit month-end: 2024-07-31.</v>
      </c>
      <c r="J28" s="3" t="str">
        <v>https://diariodarepublica.pt/dr/detalhe/despacho/7321-2024-871047338</v>
      </c>
      <c r="K28" s="3" t="str">
        <v>No dated delivery evidence identified.</v>
      </c>
    </row>
    <row r="29" ht="90" customHeight="1">
      <c r="A29" s="3" t="str">
        <v>GT-2024-006-D03</v>
      </c>
      <c r="B29" s="3" t="str">
        <v>GT-2024-006</v>
      </c>
      <c r="C29" s="3" t="str">
        <v>4 - Os representantes designados no número anterior escolherão na primeira reunião, entre si, o coor</v>
      </c>
      <c r="D29" s="3" t="str">
        <v>Appointments / planning</v>
      </c>
      <c r="E29" s="3" t="str">
        <v>4 - Os representantes designados no número anterior escolherão na primeira reunião, entre si, o coordenador, bem como o relator das conclusões que venham a sair do estudo a elaborar.</v>
      </c>
      <c r="F29" s="3" t="str"/>
      <c r="G29" s="20"/>
      <c r="H29" s="20"/>
      <c r="I29" s="3" t="str">
        <v>No uniquely dated deadline derivable from this clause; cadence or trigger is preserved.</v>
      </c>
      <c r="J29" s="3" t="str">
        <v>https://diariodarepublica.pt/dr/detalhe/despacho/7321-2024-871047338</v>
      </c>
      <c r="K29" s="3" t="str">
        <v>No dated delivery evidence identified.</v>
      </c>
    </row>
    <row r="30" ht="90" customHeight="1">
      <c r="A30" s="3" t="str">
        <v>GT-2024-006-D04</v>
      </c>
      <c r="B30" s="3" t="str">
        <v>GT-2024-006</v>
      </c>
      <c r="C30" s="3" t="str">
        <v>8 - Os representantes das entidades referidas no n.º 2 são designados, no prazo máximo de 10 dias, a</v>
      </c>
      <c r="D30" s="3" t="str">
        <v>Appointments / planning</v>
      </c>
      <c r="E30" s="3" t="str">
        <v>8 - Os representantes das entidades referidas no n.º 2 são designados, no prazo máximo de 10 dias, após a data de entrada em vigor do presente despacho.</v>
      </c>
      <c r="F30" s="3" t="str">
        <v>Entry into force 2024-07-05</v>
      </c>
      <c r="G30" s="20" t="d">
        <v>2024-07-15T00:00:00.000Z</v>
      </c>
      <c r="H30" s="20" t="d">
        <v>2024-07-19T00:00:00.000Z</v>
      </c>
      <c r="I30" s="3" t="str">
        <v>2024-07-05 + 10 calendar days (monitoring convention). If CPA procedural counting applies: 2024-07-19.</v>
      </c>
      <c r="J30" s="3" t="str">
        <v>https://diariodarepublica.pt/dr/detalhe/despacho/7321-2024-871047338</v>
      </c>
      <c r="K30" s="3" t="str">
        <v>No dated delivery evidence identified.</v>
      </c>
    </row>
    <row r="31" ht="90" customHeight="1">
      <c r="A31" s="3" t="str">
        <v>GT-2024-007-D01</v>
      </c>
      <c r="B31" s="3" t="str">
        <v>GT-2024-007</v>
      </c>
      <c r="C31" s="3" t="str">
        <v>6 - O grupo de trabalho deve concluir os seus trabalhos até 15 de setembro de 2024 com a entrega ao </v>
      </c>
      <c r="D31" s="3" t="str">
        <v>Deliverable / duration</v>
      </c>
      <c r="E31" s="3" t="str">
        <v>6 - O grupo de trabalho deve concluir os seus trabalhos até 15 de setembro de 2024 com a entrega ao Governo de um relatório final do qual conste as recomendações relativas ao modelo de subsídio social de mobilidade.</v>
      </c>
      <c r="F31" s="3" t="str"/>
      <c r="G31" s="20" t="d">
        <v>2024-09-15T00:00:00.000Z</v>
      </c>
      <c r="H31" s="20"/>
      <c r="I31" s="3" t="str">
        <v>Explicit calendar date in the act.</v>
      </c>
      <c r="J31" s="3" t="str">
        <v>https://diariodarepublica.pt/dr/detalhe/despacho/7613-2024-871760310</v>
      </c>
      <c r="K31" s="3" t="str">
        <v>No dated delivery evidence identified.</v>
      </c>
    </row>
    <row r="32" ht="90" customHeight="1">
      <c r="A32" s="3" t="str">
        <v>GT-2024-007-D02</v>
      </c>
      <c r="B32" s="3" t="str">
        <v>GT-2024-007</v>
      </c>
      <c r="C32" s="3" t="str">
        <v>Extension acknowledged in public report</v>
      </c>
      <c r="D32" s="3" t="str">
        <v>Acknowledged extension</v>
      </c>
      <c r="E32" s="3" t="str">
        <v>tendo o prazo sido prorrogado até 30 de setembro de 2024</v>
      </c>
      <c r="F32" s="3" t="str"/>
      <c r="G32" s="20" t="d">
        <v>2024-09-30T00:00:00.000Z</v>
      </c>
      <c r="H32" s="20"/>
      <c r="I32" s="3" t="str">
        <v>Final report §1.5; formal published act not retrieved.</v>
      </c>
      <c r="J32" s="3" t="str">
        <v>https://portugal.gov.pt/api/media/edge/Project/Portal-do-Governo/Portal-do-Governo/gc24/Files/Documentos/relatorio-final-de-mobilidade/relatorio_final_do_grupo_de_trabalho_para_estudo_analise_e_revisao_do_modelo_do_subsidio_social_de_mobilidade.pdf</v>
      </c>
      <c r="K32" s="3" t="str">
        <v>No dated delivery evidence identified.</v>
      </c>
    </row>
    <row r="33" ht="90" customHeight="1">
      <c r="A33" s="3" t="str">
        <v>GT-2024-008-D01</v>
      </c>
      <c r="B33" s="3" t="str">
        <v>GT-2024-008</v>
      </c>
      <c r="C33" s="3" t="str">
        <v>9 - O Grupo de Trabalho "Água que Une" tem natureza temporária, com a duração de 180 dias, a contar </v>
      </c>
      <c r="D33" s="3" t="str">
        <v>Deliverable / duration</v>
      </c>
      <c r="E33" s="3" t="str">
        <v>9 - O Grupo de Trabalho "Água que Une" tem natureza temporária, com a duração de 180 dias, a contar da data da assinatura do presente despacho.</v>
      </c>
      <c r="F33" s="3" t="str">
        <v>Latest signature 2024-06-22</v>
      </c>
      <c r="G33" s="20" t="d">
        <v>2024-12-19T00:00:00.000Z</v>
      </c>
      <c r="H33" s="20" t="d">
        <v>2025-03-06T00:00:00.000Z</v>
      </c>
      <c r="I33" s="3" t="str">
        <v>2024-06-22 + 180 calendar days (monitoring convention). If CPA procedural counting applies: 2025-03-06.</v>
      </c>
      <c r="J33" s="3" t="str">
        <v>https://diariodarepublica.pt/dr/detalhe/despacho/7821-2024-872108077</v>
      </c>
      <c r="K33" s="3" t="str">
        <v>No dated delivery evidence identified.</v>
      </c>
    </row>
    <row r="34" ht="90" customHeight="1">
      <c r="A34" s="3" t="str">
        <v>GT-2024-008-D02</v>
      </c>
      <c r="B34" s="3" t="str">
        <v>GT-2024-008</v>
      </c>
      <c r="C34" s="3" t="str">
        <v>180-day group duration / strategy</v>
      </c>
      <c r="D34" s="3" t="str">
        <v>Status benchmark</v>
      </c>
      <c r="E34" s="3" t="str"/>
      <c r="F34" s="3" t="str"/>
      <c r="G34" s="20" t="d">
        <v>2024-12-19T00:00:00.000Z</v>
      </c>
      <c r="H34" s="20"/>
      <c r="I34" s="3" t="str">
        <v>2024-06-22 + 180 calendar days; duration of the body, rather than a procedural response period.</v>
      </c>
      <c r="J34" s="3" t="str">
        <v>https://diariodarepublica.pt/dr/detalhe/despacho/7821-2024-872108077</v>
      </c>
      <c r="K34" s="3" t="str">
        <v>Sem informação pública — Delivery is officially confirmed, but the handover date is not public; timeliness cannot be classified.</v>
      </c>
    </row>
    <row r="35" ht="90" customHeight="1">
      <c r="A35" s="3" t="str">
        <v>GT-2024-009-D01</v>
      </c>
      <c r="B35" s="3" t="str">
        <v>GT-2024-009</v>
      </c>
      <c r="C35" s="3" t="str">
        <v>a) Relatório e documentação de suporte à consulta pública, a que se referem as alíneas a) a c) do n.</v>
      </c>
      <c r="D35" s="3" t="str">
        <v>Deliverable / duration</v>
      </c>
      <c r="E35" s="3" t="str">
        <v>a) Relatório e documentação de suporte à consulta pública, a que se referem as alíneas a) a c) do n.º 2, até 30 de novembro de 2025.</v>
      </c>
      <c r="F35" s="3" t="str"/>
      <c r="G35" s="20" t="d">
        <v>2025-11-30T00:00:00.000Z</v>
      </c>
      <c r="H35" s="20"/>
      <c r="I35" s="3" t="str">
        <v>Explicit calendar date in the act.</v>
      </c>
      <c r="J35" s="3" t="str">
        <v>https://diariodarepublica.pt/dr/detalhe/despacho/8023-2024-872631226</v>
      </c>
      <c r="K35" s="3" t="str">
        <v>No dated delivery evidence identified.</v>
      </c>
    </row>
    <row r="36" ht="90" customHeight="1">
      <c r="A36" s="3" t="str">
        <v>GT-2024-009-D02</v>
      </c>
      <c r="B36" s="3" t="str">
        <v>GT-2024-009</v>
      </c>
      <c r="C36" s="3" t="str">
        <v>b) Relatório a que se refere a alínea d) do n.º 2, até 30 dias após a data de encerramento da consul</v>
      </c>
      <c r="D36" s="3" t="str">
        <v>Deliverable / duration</v>
      </c>
      <c r="E36" s="3" t="str">
        <v>b) Relatório a que se refere a alínea d) do n.º 2, até 30 dias após a data de encerramento da consulta pública;</v>
      </c>
      <c r="F36" s="3" t="str"/>
      <c r="G36" s="20"/>
      <c r="H36" s="20"/>
      <c r="I36" s="3" t="str">
        <v>30 dias after trigger: anchor not expressly specified; exact date cannot be verified.</v>
      </c>
      <c r="J36" s="3" t="str">
        <v>https://diariodarepublica.pt/dr/detalhe/despacho/8023-2024-872631226</v>
      </c>
      <c r="K36" s="3" t="str">
        <v>No dated delivery evidence identified.</v>
      </c>
    </row>
    <row r="37" ht="90" customHeight="1">
      <c r="A37" s="3" t="str">
        <v>GT-2024-009-D03</v>
      </c>
      <c r="B37" s="3" t="str">
        <v>GT-2024-009</v>
      </c>
      <c r="C37" s="3" t="str">
        <v>c) Relatório relativo ao disposto na alínea e) e propostas atualizadas a que se refere a alínea f) d</v>
      </c>
      <c r="D37" s="3" t="str">
        <v>Deliverable / duration</v>
      </c>
      <c r="E37" s="3" t="str">
        <v>c) Relatório relativo ao disposto na alínea e) e propostas atualizadas a que se refere a alínea f) do n.º 2, até 31 de janeiro de 2026.</v>
      </c>
      <c r="F37" s="3" t="str"/>
      <c r="G37" s="20" t="d">
        <v>2026-01-31T00:00:00.000Z</v>
      </c>
      <c r="H37" s="20"/>
      <c r="I37" s="3" t="str">
        <v>Explicit calendar date in the act.</v>
      </c>
      <c r="J37" s="3" t="str">
        <v>https://diariodarepublica.pt/dr/detalhe/despacho/8023-2024-872631226</v>
      </c>
      <c r="K37" s="3" t="str">
        <v>No dated delivery evidence identified.</v>
      </c>
    </row>
    <row r="38" ht="90" customHeight="1">
      <c r="A38" s="3" t="str">
        <v>GT-2024-009-D04</v>
      </c>
      <c r="B38" s="3" t="str">
        <v>GT-2024-009</v>
      </c>
      <c r="C38" s="3" t="str">
        <v>6 - Os membros do GT-EPBD são designados no prazo máximo de cinco dias após a data de entrada em vig</v>
      </c>
      <c r="D38" s="3" t="str">
        <v>Appointments / planning</v>
      </c>
      <c r="E38" s="3" t="str">
        <v>6 - Os membros do GT-EPBD são designados no prazo máximo de cinco dias após a data de entrada em vigor do presente despacho, podendo ser substituídos no decorrer dos trabalhos e a substituição ser comunicada à entidade coordenadora da respetiva fase.</v>
      </c>
      <c r="F38" s="3" t="str">
        <v>Entry into force 2024-06-27</v>
      </c>
      <c r="G38" s="20" t="d">
        <v>2024-07-02T00:00:00.000Z</v>
      </c>
      <c r="H38" s="20" t="d">
        <v>2024-07-04T00:00:00.000Z</v>
      </c>
      <c r="I38" s="3" t="str">
        <v>2024-06-27 + 5 calendar days (monitoring convention). If CPA procedural counting applies: 2024-07-04.</v>
      </c>
      <c r="J38" s="3" t="str">
        <v>https://diariodarepublica.pt/dr/detalhe/despacho/8023-2024-872631226</v>
      </c>
      <c r="K38" s="3" t="str">
        <v>No dated delivery evidence identified.</v>
      </c>
    </row>
    <row r="39" ht="90" customHeight="1">
      <c r="A39" s="3" t="str">
        <v>GT-2024-009-D05</v>
      </c>
      <c r="B39" s="3" t="str">
        <v>GT-2024-009</v>
      </c>
      <c r="C39" s="3" t="str">
        <v>Final report / last specified substantive output</v>
      </c>
      <c r="D39" s="3" t="str">
        <v>Status benchmark</v>
      </c>
      <c r="E39" s="3" t="str"/>
      <c r="F39" s="3" t="str"/>
      <c r="G39" s="20" t="d">
        <v>2026-01-31T00:00:00.000Z</v>
      </c>
      <c r="H39" s="20"/>
      <c r="I39" s="3" t="str">
        <v>Fixed date / explicit year-end in creating act.</v>
      </c>
      <c r="J39" s="3" t="str">
        <v>https://diariodarepublica.pt/dr/detalhe/despacho/8023-2024-872631226</v>
      </c>
      <c r="K39" s="3" t="str">
        <v>Em atraso — Controlling benchmark has passed; no evidence of this output’s delivery identified in the reviewed acts and focused official-source outcome search.</v>
      </c>
    </row>
    <row r="40" ht="90" customHeight="1">
      <c r="A40" s="3" t="str">
        <v>GT-2024-010-D01</v>
      </c>
      <c r="B40" s="3" t="str">
        <v>GT-2024-010</v>
      </c>
      <c r="C40" s="3" t="str">
        <v>1 - É constituído o Grupo de Trabalho para as Comemorações dos 100 Anos do Nascimento de Carlos Pare</v>
      </c>
      <c r="D40" s="3" t="str">
        <v>Deliverable / duration</v>
      </c>
      <c r="E40" s="3" t="str">
        <v>1 - É constituído o Grupo de Trabalho para as Comemorações dos 100 Anos do Nascimento de Carlos Paredes, doravante designado por Grupo de Trabalho, que funciona sob a dependência do membro do Governo responsável pela área da Cultura.</v>
      </c>
      <c r="F40" s="3" t="str"/>
      <c r="G40" s="20"/>
      <c r="H40" s="20"/>
      <c r="I40" s="3" t="str">
        <v>100 anos after trigger: anchor not expressly specified; exact date cannot be verified.</v>
      </c>
      <c r="J40" s="3" t="str">
        <v>https://diariodarepublica.pt/dr/detalhe/despacho/8151-2024-873009448</v>
      </c>
      <c r="K40" s="3" t="str">
        <v>No dated delivery evidence identified.</v>
      </c>
    </row>
    <row r="41" ht="90" customHeight="1">
      <c r="A41" s="3" t="str">
        <v>GT-2024-010-D02</v>
      </c>
      <c r="B41" s="3" t="str">
        <v>GT-2024-010</v>
      </c>
      <c r="C41" s="3" t="str">
        <v>3 - Para efeitos do disposto no número anterior, o Grupo de Trabalho apresenta, até ao final de sete</v>
      </c>
      <c r="D41" s="3" t="str">
        <v>Deliverable / duration</v>
      </c>
      <c r="E41" s="3" t="str">
        <v>3 - Para efeitos do disposto no número anterior, o Grupo de Trabalho apresenta, até ao final de setembro de 2024, uma proposta de programa oficial das comemorações para aprovação pelo membro do Governo responsável pela área da cultura.</v>
      </c>
      <c r="F41" s="3" t="str"/>
      <c r="G41" s="20" t="d">
        <v>2024-09-30T00:00:00.000Z</v>
      </c>
      <c r="H41" s="20"/>
      <c r="I41" s="3" t="str">
        <v>Explicit month-end: 2024-09-30.</v>
      </c>
      <c r="J41" s="3" t="str">
        <v>https://diariodarepublica.pt/dr/detalhe/despacho/8151-2024-873009448</v>
      </c>
      <c r="K41" s="3" t="str">
        <v>No dated delivery evidence identified.</v>
      </c>
    </row>
    <row r="42" ht="90" customHeight="1">
      <c r="A42" s="3" t="str">
        <v>GT-2024-011-D01</v>
      </c>
      <c r="B42" s="3" t="str">
        <v>GT-2024-011</v>
      </c>
      <c r="C42" s="3" t="str">
        <v>c) Propor uma estratégia que assegure a continuidade na transição da creche para a educação pré-esco</v>
      </c>
      <c r="D42" s="3" t="str">
        <v>Deliverable / duration</v>
      </c>
      <c r="E42" s="3" t="str">
        <v>c) Propor uma estratégia que assegure a continuidade na transição da creche para a educação pré-escolar e a qualidade pedagógica da resposta integrada para as crianças entre os 0 e os 6 anos de idade.</v>
      </c>
      <c r="F42" s="3" t="str"/>
      <c r="G42" s="20"/>
      <c r="H42" s="20"/>
      <c r="I42" s="3" t="str">
        <v>6 anos after trigger: anchor not expressly specified; exact date cannot be verified.</v>
      </c>
      <c r="J42" s="3" t="str">
        <v>https://diariodarepublica.pt/dr/detalhe/despacho/8251-2024-873180041</v>
      </c>
      <c r="K42" s="3" t="str">
        <v>No dated delivery evidence identified.</v>
      </c>
    </row>
    <row r="43" ht="90" customHeight="1">
      <c r="A43" s="3" t="str">
        <v>GT-2024-011-D02</v>
      </c>
      <c r="B43" s="3" t="str">
        <v>GT-2024-011</v>
      </c>
      <c r="C43" s="3" t="str">
        <v>2 - O grupo de trabalho deve apresentar o previsto nas alíneas a) e b) do número anterior até 28 de </v>
      </c>
      <c r="D43" s="3" t="str">
        <v>Deliverable / duration</v>
      </c>
      <c r="E43" s="3" t="str">
        <v>2 - O grupo de trabalho deve apresentar o previsto nas alíneas a) e b) do número anterior até 28 de junho de 2024 e o previsto na alínea c) do número anterior até ao final do mês de novembro de 2024.</v>
      </c>
      <c r="F43" s="3" t="str"/>
      <c r="G43" s="20" t="d">
        <v>2024-11-30T00:00:00.000Z</v>
      </c>
      <c r="H43" s="20"/>
      <c r="I43" s="3" t="str">
        <v>Explicit month-end: 2024-11-30.</v>
      </c>
      <c r="J43" s="3" t="str">
        <v>https://diariodarepublica.pt/dr/detalhe/despacho/8251-2024-873180041</v>
      </c>
      <c r="K43" s="3" t="str">
        <v>No dated delivery evidence identified.</v>
      </c>
    </row>
    <row r="44" ht="90" customHeight="1">
      <c r="A44" s="3" t="str">
        <v>GT-2024-011-D03</v>
      </c>
      <c r="B44" s="3" t="str">
        <v>GT-2024-011</v>
      </c>
      <c r="C44" s="3" t="str">
        <v>Final report / last specified substantive output</v>
      </c>
      <c r="D44" s="3" t="str">
        <v>Status benchmark</v>
      </c>
      <c r="E44" s="3" t="str"/>
      <c r="F44" s="3" t="str"/>
      <c r="G44" s="20" t="d">
        <v>2024-11-30T00:00:00.000Z</v>
      </c>
      <c r="H44" s="20"/>
      <c r="I44" s="3" t="str">
        <v>Fixed date / explicit year-end in creating act.</v>
      </c>
      <c r="J44" s="3" t="str">
        <v>https://diariodarepublica.pt/dr/detalhe/despacho/8251-2024-873180041</v>
      </c>
      <c r="K44" s="3" t="str">
        <v>Em atraso — Controlling benchmark has passed; no evidence of this output’s delivery identified in the reviewed acts and focused official-source outcome search.</v>
      </c>
    </row>
    <row r="45" ht="90" customHeight="1">
      <c r="A45" s="3" t="str">
        <v>GT-2024-012-D01</v>
      </c>
      <c r="B45" s="3" t="str">
        <v>GT-2024-012</v>
      </c>
      <c r="C45" s="3" t="str">
        <v>5 - As candidaturas devem ser enviadas até 30 dias corridos a contar da data de publicação do presen</v>
      </c>
      <c r="D45" s="3" t="str">
        <v>Appointments / planning</v>
      </c>
      <c r="E45" s="3" t="str">
        <v>5 - As candidaturas devem ser enviadas até 30 dias corridos a contar da data de publicação do presente despacho, para o endereço veneza.arquitetura@mc.gov.pt, contendo os seguintes elementos:</v>
      </c>
      <c r="F45" s="3" t="str">
        <v>Publication 2024-07-24</v>
      </c>
      <c r="G45" s="20" t="d">
        <v>2024-08-23T00:00:00.000Z</v>
      </c>
      <c r="H45" s="20"/>
      <c r="I45" s="3" t="str">
        <v>2024-07-24 + 30 calendar days (monitoring convention).</v>
      </c>
      <c r="J45" s="3" t="str">
        <v>https://diariodarepublica.pt/dr/detalhe/despacho/8277-2024-873180289</v>
      </c>
      <c r="K45" s="3" t="str">
        <v>No dated delivery evidence identified.</v>
      </c>
    </row>
    <row r="46" ht="90" customHeight="1">
      <c r="A46" s="3" t="str">
        <v>GT-2024-012-D02</v>
      </c>
      <c r="B46" s="3" t="str">
        <v>GT-2024-012</v>
      </c>
      <c r="C46" s="3" t="str">
        <v>a) Uma proposta curatorial, até ao limite de 1000 palavras;</v>
      </c>
      <c r="D46" s="3" t="str">
        <v>Deliverable / duration</v>
      </c>
      <c r="E46" s="3" t="str">
        <v>a) Uma proposta curatorial, até ao limite de 1000 palavras;</v>
      </c>
      <c r="F46" s="3" t="str">
        <v>Publication 2024-07-24</v>
      </c>
      <c r="G46" s="20"/>
      <c r="H46" s="20"/>
      <c r="I46" s="3" t="str">
        <v>No uniquely dated deadline derivable from this clause; cadence or trigger is preserved.</v>
      </c>
      <c r="J46" s="3" t="str">
        <v>https://diariodarepublica.pt/dr/detalhe/despacho/8277-2024-873180289</v>
      </c>
      <c r="K46" s="3" t="str">
        <v>No dated delivery evidence identified.</v>
      </c>
    </row>
    <row r="47" ht="90" customHeight="1">
      <c r="A47" s="3" t="str">
        <v>GT-2024-012-D03</v>
      </c>
      <c r="B47" s="3" t="str">
        <v>GT-2024-012</v>
      </c>
      <c r="C47" s="3" t="str">
        <v>b) Um curriculum vitae abreviado do candidato ou equipa, até ao limite de 500 palavras;</v>
      </c>
      <c r="D47" s="3" t="str">
        <v>Deliverable / duration</v>
      </c>
      <c r="E47" s="3" t="str">
        <v>b) Um curriculum vitae abreviado do candidato ou equipa, até ao limite de 500 palavras;</v>
      </c>
      <c r="F47" s="3" t="str">
        <v>Publication 2024-07-24</v>
      </c>
      <c r="G47" s="20"/>
      <c r="H47" s="20"/>
      <c r="I47" s="3" t="str">
        <v>No uniquely dated deadline derivable from this clause; cadence or trigger is preserved.</v>
      </c>
      <c r="J47" s="3" t="str">
        <v>https://diariodarepublica.pt/dr/detalhe/despacho/8277-2024-873180289</v>
      </c>
      <c r="K47" s="3" t="str">
        <v>No dated delivery evidence identified.</v>
      </c>
    </row>
    <row r="48" ht="90" customHeight="1">
      <c r="A48" s="3" t="str">
        <v>GT-2024-013-D01</v>
      </c>
      <c r="B48" s="3" t="str">
        <v>GT-2024-013</v>
      </c>
      <c r="C48" s="3" t="str">
        <v>a) Assegurar a coordenação eficaz entre as entidades envolvidas na implementação do REMPC, no âmbito</v>
      </c>
      <c r="D48" s="3" t="str">
        <v>Deliverable / duration</v>
      </c>
      <c r="E48" s="3" t="str">
        <v>a) Assegurar a coordenação eficaz entre as entidades envolvidas na implementação do REMPC, no âmbito das respetivas competências, e da fase da cadeia de valor das matérias-primas, desde a extração, ao processamento, à transformação e fabricação de produtos finais, à reciclagem/circularidade, ao armazenamento, à substituição de materiais até à monitorização do mercado e reporte;</v>
      </c>
      <c r="F48" s="3" t="str"/>
      <c r="G48" s="20"/>
      <c r="H48" s="20"/>
      <c r="I48" s="3" t="str">
        <v>No uniquely dated deadline derivable from this clause; cadence or trigger is preserved.</v>
      </c>
      <c r="J48" s="3" t="str">
        <v>https://diariodarepublica.pt/dr/detalhe/despacho/8335-2024-873447584</v>
      </c>
      <c r="K48" s="3" t="str">
        <v>No dated delivery evidence identified.</v>
      </c>
    </row>
    <row r="49" ht="90" customHeight="1">
      <c r="A49" s="3" t="str">
        <v>GT-2024-013-D02</v>
      </c>
      <c r="B49" s="3" t="str">
        <v>GT-2024-013</v>
      </c>
      <c r="C49" s="3" t="str">
        <v>g) Identificar e propor o ponto único de contacto a criar ou a designar até 24 de fevereiro de 2025 </v>
      </c>
      <c r="D49" s="3" t="str">
        <v>Deliverable / duration</v>
      </c>
      <c r="E49" s="3" t="str">
        <v>g) Identificar e propor o ponto único de contacto a criar ou a designar até 24 de fevereiro de 2025 para o licenciamento dos projetos estratégicos, em cumprimento do REMPC, de acordo com a tipologia/fase da cadeia de valor das matérias-primas, em conformidade com as competências das entidades envolvidas;</v>
      </c>
      <c r="F49" s="3" t="str"/>
      <c r="G49" s="20" t="d">
        <v>2025-02-24T00:00:00.000Z</v>
      </c>
      <c r="H49" s="20"/>
      <c r="I49" s="3" t="str">
        <v>Explicit calendar date in the act.</v>
      </c>
      <c r="J49" s="3" t="str">
        <v>https://diariodarepublica.pt/dr/detalhe/despacho/8335-2024-873447584</v>
      </c>
      <c r="K49" s="3" t="str">
        <v>No dated delivery evidence identified.</v>
      </c>
    </row>
    <row r="50" ht="90" customHeight="1">
      <c r="A50" s="3" t="str">
        <v>GT-2024-013-D03</v>
      </c>
      <c r="B50" s="3" t="str">
        <v>GT-2024-013</v>
      </c>
      <c r="C50" s="3" t="str">
        <v>k) Identificar e propor as entidades responsáveis pela elaboração do Programa Nacional de Prospeção </v>
      </c>
      <c r="D50" s="3" t="str">
        <v>Deliverable / duration</v>
      </c>
      <c r="E50" s="3" t="str">
        <v>k) Identificar e propor as entidades responsáveis pela elaboração do Programa Nacional de Prospeção e Pesquisa Geral, o plano de trabalhos, as metas e os prazos para a sua elaboração e aprovação até 24 de maio de 2025;</v>
      </c>
      <c r="F50" s="3" t="str"/>
      <c r="G50" s="20" t="d">
        <v>2025-05-24T00:00:00.000Z</v>
      </c>
      <c r="H50" s="20"/>
      <c r="I50" s="3" t="str">
        <v>Explicit calendar date in the act.</v>
      </c>
      <c r="J50" s="3" t="str">
        <v>https://diariodarepublica.pt/dr/detalhe/despacho/8335-2024-873447584</v>
      </c>
      <c r="K50" s="3" t="str">
        <v>No dated delivery evidence identified.</v>
      </c>
    </row>
    <row r="51" ht="90" customHeight="1">
      <c r="A51" s="3" t="str">
        <v>GT-2024-013-D04</v>
      </c>
      <c r="B51" s="3" t="str">
        <v>GT-2024-013</v>
      </c>
      <c r="C51" s="3" t="str">
        <v>l) Identificar as grandes empresas que operam em Portugal e que utilizam matérias-primas estratégica</v>
      </c>
      <c r="D51" s="3" t="str">
        <v>Deliverable / duration</v>
      </c>
      <c r="E51" s="3" t="str">
        <v>l) Identificar as grandes empresas que operam em Portugal e que utilizam matérias-primas estratégicas, nos termos do artigo 24.º do REMPC, até 24 de maio de 2025;</v>
      </c>
      <c r="F51" s="3" t="str"/>
      <c r="G51" s="20" t="d">
        <v>2025-05-24T00:00:00.000Z</v>
      </c>
      <c r="H51" s="20"/>
      <c r="I51" s="3" t="str">
        <v>Explicit calendar date in the act.</v>
      </c>
      <c r="J51" s="3" t="str">
        <v>https://diariodarepublica.pt/dr/detalhe/despacho/8335-2024-873447584</v>
      </c>
      <c r="K51" s="3" t="str">
        <v>No dated delivery evidence identified.</v>
      </c>
    </row>
    <row r="52" ht="90" customHeight="1">
      <c r="A52" s="3" t="str">
        <v>GT-2024-013-D05</v>
      </c>
      <c r="B52" s="3" t="str">
        <v>GT-2024-013</v>
      </c>
      <c r="C52" s="3" t="str">
        <v>o) Identificar todas as demais necessidades de reporte de informação e respetivos prazos, e propor m</v>
      </c>
      <c r="D52" s="3" t="str">
        <v>Deliverable / duration</v>
      </c>
      <c r="E52" s="3" t="str">
        <v>o) Identificar todas as demais necessidades de reporte de informação e respetivos prazos, e propor medidas e entidades responsáveis de forma a assegurar o cumprimento das obrigações previstas no REMPC;</v>
      </c>
      <c r="F52" s="3" t="str"/>
      <c r="G52" s="20"/>
      <c r="H52" s="20"/>
      <c r="I52" s="3" t="str">
        <v>No uniquely dated deadline derivable from this clause; cadence or trigger is preserved.</v>
      </c>
      <c r="J52" s="3" t="str">
        <v>https://diariodarepublica.pt/dr/detalhe/despacho/8335-2024-873447584</v>
      </c>
      <c r="K52" s="3" t="str">
        <v>No dated delivery evidence identified.</v>
      </c>
    </row>
    <row r="53" ht="90" customHeight="1">
      <c r="A53" s="3" t="str">
        <v>GT-2024-013-D06</v>
      </c>
      <c r="B53" s="3" t="str">
        <v>GT-2024-013</v>
      </c>
      <c r="C53" s="3" t="str">
        <v>5 - As entidades referidas no n.º 3 indicam os representantes ao membro do Governo responsável pela </v>
      </c>
      <c r="D53" s="3" t="str">
        <v>Appointments / planning</v>
      </c>
      <c r="E53" s="3" t="str">
        <v>5 - As entidades referidas no n.º 3 indicam os representantes ao membro do Governo responsável pela área da energia, no prazo de oito dias, após a entrada em vigor do presente despacho.</v>
      </c>
      <c r="F53" s="3" t="str">
        <v>Entry into force 2024-07-18</v>
      </c>
      <c r="G53" s="20" t="d">
        <v>2024-07-26T00:00:00.000Z</v>
      </c>
      <c r="H53" s="20" t="d">
        <v>2024-07-30T00:00:00.000Z</v>
      </c>
      <c r="I53" s="3" t="str">
        <v>2024-07-18 + 8 calendar days (monitoring convention). If CPA procedural counting applies: 2024-07-30.</v>
      </c>
      <c r="J53" s="3" t="str">
        <v>https://diariodarepublica.pt/dr/detalhe/despacho/8335-2024-873447584</v>
      </c>
      <c r="K53" s="3" t="str">
        <v>No dated delivery evidence identified.</v>
      </c>
    </row>
    <row r="54" ht="90" customHeight="1">
      <c r="A54" s="3" t="str">
        <v>GT-2024-013-D07</v>
      </c>
      <c r="B54" s="3" t="str">
        <v>GT-2024-013</v>
      </c>
      <c r="C54" s="3" t="str">
        <v>7 - O Grupo de Trabalho deverá apresentar o primeiro relatório no prazo de três meses após a entrada</v>
      </c>
      <c r="D54" s="3" t="str">
        <v>Appointments / planning</v>
      </c>
      <c r="E54" s="3" t="str">
        <v>7 - O Grupo de Trabalho deverá apresentar o primeiro relatório no prazo de três meses após a entrada em vigor do presente despacho, que deverá incluir um plano de ação com a identificação das medidas necessárias para o cumprimento dos n.os 1 e 2 do presente despacho, um cronograma de implementação e a designação do membro do Grupo de Trabalho responsável pela sua elaboração.</v>
      </c>
      <c r="F54" s="3" t="str">
        <v>Entry into force 2024-07-18</v>
      </c>
      <c r="G54" s="20" t="d">
        <v>2024-10-18T00:00:00.000Z</v>
      </c>
      <c r="H54" s="20"/>
      <c r="I54" s="3" t="str">
        <v>2024-07-18 + 3 meses by calendar anniversary, end-of-month capped if necessary.</v>
      </c>
      <c r="J54" s="3" t="str">
        <v>https://diariodarepublica.pt/dr/detalhe/despacho/8335-2024-873447584</v>
      </c>
      <c r="K54" s="3" t="str">
        <v>No dated delivery evidence identified.</v>
      </c>
    </row>
    <row r="55" ht="90" customHeight="1">
      <c r="A55" s="3" t="str">
        <v>GT-2024-013-D08</v>
      </c>
      <c r="B55" s="3" t="str">
        <v>GT-2024-013</v>
      </c>
      <c r="C55" s="3" t="str">
        <v>Final report / last specified substantive output</v>
      </c>
      <c r="D55" s="3" t="str">
        <v>Status benchmark</v>
      </c>
      <c r="E55" s="3" t="str"/>
      <c r="F55" s="3" t="str"/>
      <c r="G55" s="20" t="d">
        <v>2025-05-24T00:00:00.000Z</v>
      </c>
      <c r="H55" s="20"/>
      <c r="I55" s="3" t="str">
        <v>Fixed date / explicit year-end in creating act.</v>
      </c>
      <c r="J55" s="3" t="str">
        <v>https://diariodarepublica.pt/dr/detalhe/despacho/8335-2024-873447584</v>
      </c>
      <c r="K55" s="3" t="str">
        <v>Em atraso — Controlling benchmark has passed; no evidence of this output’s delivery identified in the reviewed acts and focused official-source outcome search.</v>
      </c>
    </row>
    <row r="56" ht="90" customHeight="1">
      <c r="A56" s="3" t="str">
        <v>GT-2024-014-D01</v>
      </c>
      <c r="B56" s="3" t="str">
        <v>GT-2024-014</v>
      </c>
      <c r="C56" s="3" t="str">
        <v>iv) Da revisão do manual de atuação funcional, com base na experiência existente desde a sua publica</v>
      </c>
      <c r="D56" s="3" t="str">
        <v>Periodic / conditional</v>
      </c>
      <c r="E56" s="3" t="str">
        <v>iv) Da revisão do manual de atuação funcional, com base na experiência existente desde a sua publicação e divulgação, integrando contributos designadamente das estruturas formativas e operacionais da GNR, da PSP e da PJ, do Centro de Estudos Judiciários e da PGR;</v>
      </c>
      <c r="F56" s="3" t="str">
        <v>Publication 2024-07-31</v>
      </c>
      <c r="G56" s="20"/>
      <c r="H56" s="20"/>
      <c r="I56" s="3" t="str">
        <v>No uniquely dated deadline derivable from this clause; cadence or trigger is preserved.</v>
      </c>
      <c r="J56" s="3" t="str">
        <v>https://diariodarepublica.pt/dr/detalhe/despacho/8591-2024-874078354</v>
      </c>
      <c r="K56" s="3" t="str">
        <v>No dated delivery evidence identified.</v>
      </c>
    </row>
    <row r="57" ht="90" customHeight="1">
      <c r="A57" s="3" t="str">
        <v>GT-2024-014-D02</v>
      </c>
      <c r="B57" s="3" t="str">
        <v>GT-2024-014</v>
      </c>
      <c r="C57" s="3" t="str">
        <v>b) A promoção de formação contínua em matéria de violência contra as mulheres e violência doméstica,</v>
      </c>
      <c r="D57" s="3" t="str">
        <v>Periodic / conditional</v>
      </c>
      <c r="E57" s="3" t="str">
        <v>b) A promoção de formação contínua em matéria de violência contra as mulheres e violência doméstica, designadamente através da elaboração de um plano de formação sobre o manual de atuação funcional e os instrumentos identificados nas subalíneas i), iv) e v) da alínea a) destinado a profissionais que atuam nas 72 horas subsequentes à apresentação de denúncia por maus-tratos cometidos em contexto de violência doméstica.</v>
      </c>
      <c r="F57" s="3" t="str">
        <v>Publication 2024-07-31</v>
      </c>
      <c r="G57" s="20"/>
      <c r="H57" s="20"/>
      <c r="I57" s="3" t="str">
        <v>No uniquely dated deadline derivable from this clause; cadence or trigger is preserved.</v>
      </c>
      <c r="J57" s="3" t="str">
        <v>https://diariodarepublica.pt/dr/detalhe/despacho/8591-2024-874078354</v>
      </c>
      <c r="K57" s="3" t="str">
        <v>No dated delivery evidence identified.</v>
      </c>
    </row>
    <row r="58" ht="90" customHeight="1">
      <c r="A58" s="3" t="str">
        <v>GT-2024-014-D03</v>
      </c>
      <c r="B58" s="3" t="str">
        <v>GT-2024-014</v>
      </c>
      <c r="C58" s="3" t="str">
        <v>4 - Os representantes referidos no número anterior são designados no prazo de 10 dias, a contar da d</v>
      </c>
      <c r="D58" s="3" t="str">
        <v>Appointments / planning</v>
      </c>
      <c r="E58" s="3" t="str">
        <v>4 - Os representantes referidos no número anterior são designados no prazo de 10 dias, a contar da data da publicação do presente despacho, mediante comunicação ao membro do governo responsável pela área governativa da cidadania e igualdade.</v>
      </c>
      <c r="F58" s="3" t="str">
        <v>Publication 2024-07-31</v>
      </c>
      <c r="G58" s="20" t="d">
        <v>2024-08-10T00:00:00.000Z</v>
      </c>
      <c r="H58" s="20" t="d">
        <v>2024-08-14T00:00:00.000Z</v>
      </c>
      <c r="I58" s="3" t="str">
        <v>2024-07-31 + 10 calendar days (monitoring convention). If CPA procedural counting applies: 2024-08-14.</v>
      </c>
      <c r="J58" s="3" t="str">
        <v>https://diariodarepublica.pt/dr/detalhe/despacho/8591-2024-874078354</v>
      </c>
      <c r="K58" s="3" t="str">
        <v>No dated delivery evidence identified.</v>
      </c>
    </row>
    <row r="59" ht="90" customHeight="1">
      <c r="A59" s="3" t="str">
        <v>GT-2024-014-D04</v>
      </c>
      <c r="B59" s="3" t="str">
        <v>GT-2024-014</v>
      </c>
      <c r="C59" s="3" t="str">
        <v>7 - O Grupo de Trabalho reúne com periodicidade trimestral e as respetivas conclusões são vertidas e</v>
      </c>
      <c r="D59" s="3" t="str">
        <v>Periodic / conditional</v>
      </c>
      <c r="E59" s="3" t="str">
        <v>7 - O Grupo de Trabalho reúne com periodicidade trimestral e as respetivas conclusões são vertidas em memorando sumário, disponibilizado a todos os membros.</v>
      </c>
      <c r="F59" s="3" t="str"/>
      <c r="G59" s="20"/>
      <c r="H59" s="20"/>
      <c r="I59" s="3" t="str">
        <v>No uniquely dated deadline derivable from this clause; cadence or trigger is preserved.</v>
      </c>
      <c r="J59" s="3" t="str">
        <v>https://diariodarepublica.pt/dr/detalhe/despacho/8591-2024-874078354</v>
      </c>
      <c r="K59" s="3" t="str">
        <v>No dated delivery evidence identified.</v>
      </c>
    </row>
    <row r="60" ht="90" customHeight="1">
      <c r="A60" s="3" t="str">
        <v>GT-2024-015-D01</v>
      </c>
      <c r="B60" s="3" t="str">
        <v>GT-2024-015</v>
      </c>
      <c r="C60" s="3" t="str">
        <v>Final report / last specified substantive output</v>
      </c>
      <c r="D60" s="3" t="str">
        <v>Status benchmark</v>
      </c>
      <c r="E60" s="3" t="str"/>
      <c r="F60" s="3" t="str"/>
      <c r="G60" s="20" t="d">
        <v>2024-09-30T00:00:00.000Z</v>
      </c>
      <c r="H60" s="20"/>
      <c r="I60" s="3" t="str">
        <v>Fixed date / explicit year-end in creating act.</v>
      </c>
      <c r="J60" s="3" t="str">
        <v>https://diariodarepublica.pt/dr/detalhe/despacho/8914-a-2024-875716593</v>
      </c>
      <c r="K60" s="3" t="str">
        <v>Em atraso — Controlling benchmark has passed; no evidence of this output’s delivery identified in the reviewed acts and focused official-source outcome search.</v>
      </c>
    </row>
    <row r="61" ht="90" customHeight="1">
      <c r="A61" s="3" t="str">
        <v>GT-2024-016-D01</v>
      </c>
      <c r="B61" s="3" t="str">
        <v>GT-2024-016</v>
      </c>
      <c r="C61" s="3" t="str">
        <v>6 - O grupo de trabalho apresenta aos membros do Governo das áreas do trabalho, solidariedade e segu</v>
      </c>
      <c r="D61" s="3" t="str">
        <v>Deliverable / duration</v>
      </c>
      <c r="E61" s="3" t="str">
        <v>6 - O grupo de trabalho apresenta aos membros do Governo das áreas do trabalho, solidariedade e segurança social, da justiça, da educação, da juventude e da administração interna a avaliação e respetivas conclusões, nos termos do previsto na alínea a) do n.º 1, até 30 de novembro de 2024.</v>
      </c>
      <c r="F61" s="3" t="str"/>
      <c r="G61" s="20" t="d">
        <v>2024-11-30T00:00:00.000Z</v>
      </c>
      <c r="H61" s="20"/>
      <c r="I61" s="3" t="str">
        <v>Explicit calendar date in the act.</v>
      </c>
      <c r="J61" s="3" t="str">
        <v>https://diariodarepublica.pt/dr/detalhe/despacho/8972-2024-875838784</v>
      </c>
      <c r="K61" s="3" t="str">
        <v>No dated delivery evidence identified.</v>
      </c>
    </row>
    <row r="62" ht="90" customHeight="1">
      <c r="A62" s="3" t="str">
        <v>GT-2024-016-D02</v>
      </c>
      <c r="B62" s="3" t="str">
        <v>GT-2024-016</v>
      </c>
      <c r="C62" s="3" t="str">
        <v>7 - O grupo de trabalho apresenta, ainda, ao membro do Governo da área do trabalho, solidariedade e </v>
      </c>
      <c r="D62" s="3" t="str">
        <v>Deliverable / duration</v>
      </c>
      <c r="E62" s="3" t="str">
        <v>7 - O grupo de trabalho apresenta, ainda, ao membro do Governo da área do trabalho, solidariedade e segurança social uma proposta de Estratégia Nacional única, nos termos do previsto na alínea b) do n.º 1, até 30 de novembro de 2024.</v>
      </c>
      <c r="F62" s="3" t="str"/>
      <c r="G62" s="20" t="d">
        <v>2024-11-30T00:00:00.000Z</v>
      </c>
      <c r="H62" s="20"/>
      <c r="I62" s="3" t="str">
        <v>Explicit calendar date in the act.</v>
      </c>
      <c r="J62" s="3" t="str">
        <v>https://diariodarepublica.pt/dr/detalhe/despacho/8972-2024-875838784</v>
      </c>
      <c r="K62" s="3" t="str">
        <v>No dated delivery evidence identified.</v>
      </c>
    </row>
    <row r="63" ht="90" customHeight="1">
      <c r="A63" s="3" t="str">
        <v>GT-2024-016-D03</v>
      </c>
      <c r="B63" s="3" t="str">
        <v>GT-2024-016</v>
      </c>
      <c r="C63" s="3" t="str">
        <v>8 - Os representantes das entidades referidas no n.º 3 são designados, no prazo máximo de 10 dias, a</v>
      </c>
      <c r="D63" s="3" t="str">
        <v>Appointments / planning</v>
      </c>
      <c r="E63" s="3" t="str">
        <v>8 - Os representantes das entidades referidas no n.º 3 são designados, no prazo máximo de 10 dias, após a data de entrada em vigor do presente despacho.</v>
      </c>
      <c r="F63" s="3" t="str">
        <v>Entry into force 2024-08-30</v>
      </c>
      <c r="G63" s="20" t="d">
        <v>2024-09-09T00:00:00.000Z</v>
      </c>
      <c r="H63" s="20" t="d">
        <v>2024-09-13T00:00:00.000Z</v>
      </c>
      <c r="I63" s="3" t="str">
        <v>2024-08-30 + 10 calendar days (monitoring convention). If CPA procedural counting applies: 2024-09-13.</v>
      </c>
      <c r="J63" s="3" t="str">
        <v>https://diariodarepublica.pt/dr/detalhe/despacho/8972-2024-875838784</v>
      </c>
      <c r="K63" s="3" t="str">
        <v>No dated delivery evidence identified.</v>
      </c>
    </row>
    <row r="64" ht="90" customHeight="1">
      <c r="A64" s="3" t="str">
        <v>GT-2024-016-D04</v>
      </c>
      <c r="B64" s="3" t="str">
        <v>GT-2024-016</v>
      </c>
      <c r="C64" s="3" t="str">
        <v>Final report / last specified substantive output</v>
      </c>
      <c r="D64" s="3" t="str">
        <v>Status benchmark</v>
      </c>
      <c r="E64" s="3" t="str"/>
      <c r="F64" s="3" t="str"/>
      <c r="G64" s="20" t="d">
        <v>2024-11-30T00:00:00.000Z</v>
      </c>
      <c r="H64" s="20"/>
      <c r="I64" s="3" t="str">
        <v>Fixed date / explicit year-end in creating act.</v>
      </c>
      <c r="J64" s="3" t="str">
        <v>https://diariodarepublica.pt/dr/detalhe/despacho/8972-2024-875838784</v>
      </c>
      <c r="K64" s="3" t="str">
        <v>Sem informação pública — Delivery is officially confirmed, but the handover date is not public; timeliness cannot be classified.</v>
      </c>
    </row>
    <row r="65" ht="90" customHeight="1">
      <c r="A65" s="3" t="str">
        <v>GT-2024-017-D01</v>
      </c>
      <c r="B65" s="3" t="str">
        <v>GT-2024-017</v>
      </c>
      <c r="C65" s="3" t="str">
        <v>a) Um coordenador, que será o secretário-geral do Governo ou, até à respetiva nomeação, uma personal</v>
      </c>
      <c r="D65" s="3" t="str">
        <v>Deliverable / duration</v>
      </c>
      <c r="E65" s="3" t="str">
        <v>a) Um coordenador, que será o secretário-geral do Governo ou, até à respetiva nomeação, uma personalidade designada por despacho conjunto do Ministro de Estado e das Finanças e do Ministro da Presidência;</v>
      </c>
      <c r="F65" s="3" t="str"/>
      <c r="G65" s="20"/>
      <c r="H65" s="20"/>
      <c r="I65" s="3" t="str">
        <v>No uniquely dated deadline derivable from this clause; cadence or trigger is preserved.</v>
      </c>
      <c r="J65" s="3" t="str">
        <v>https://diariodarepublica.pt/dr/detalhe/despacho/9075-a-2024-876110681</v>
      </c>
      <c r="K65" s="3" t="str">
        <v>No dated delivery evidence identified.</v>
      </c>
    </row>
    <row r="66" ht="90" customHeight="1">
      <c r="A66" s="3" t="str">
        <v>GT-2024-017-D02</v>
      </c>
      <c r="B66" s="3" t="str">
        <v>GT-2024-017</v>
      </c>
      <c r="C66" s="3" t="str">
        <v>9 - Para a operacionalização da sua missão, o grupo de trabalho pode recrutar até 10 trabalhadores, </v>
      </c>
      <c r="D66" s="3" t="str">
        <v>Deliverable / duration</v>
      </c>
      <c r="E66" s="3" t="str">
        <v>9 - Para a operacionalização da sua missão, o grupo de trabalho pode recrutar até 10 trabalhadores, nos termos da Lei Geral do Trabalho em Funções Públicas, aprovada em anexo à Lei n.º 35/2014, de 20 de junho, na sua redação atual, e demais legislação aplicável, dos quais até cinco podem ser recrutados fora da Administração Pública, devendo ser dada preferência a regimes aplicáveis a quem já tenha uma relação de emprego previamente estabelecida, designadamente:</v>
      </c>
      <c r="F66" s="3" t="str"/>
      <c r="G66" s="20"/>
      <c r="H66" s="20"/>
      <c r="I66" s="3" t="str">
        <v>No uniquely dated deadline derivable from this clause; cadence or trigger is preserved.</v>
      </c>
      <c r="J66" s="3" t="str">
        <v>https://diariodarepublica.pt/dr/detalhe/despacho/9075-a-2024-876110681</v>
      </c>
      <c r="K66" s="3" t="str">
        <v>No dated delivery evidence identified.</v>
      </c>
    </row>
    <row r="67" ht="90" customHeight="1">
      <c r="A67" s="3" t="str">
        <v>GT-2024-017-D03</v>
      </c>
      <c r="B67" s="3" t="str">
        <v>GT-2024-017</v>
      </c>
      <c r="C67" s="3" t="str">
        <v>13 - Os encargos financeiros com o funcionamento e cumprimento da missão do grupo de trabalho, desig</v>
      </c>
      <c r="D67" s="3" t="str">
        <v>Deliverable / duration</v>
      </c>
      <c r="E67" s="3" t="str">
        <v>13 - Os encargos financeiros com o funcionamento e cumprimento da missão do grupo de trabalho, designadamente com a contratação de serviços externos de apoio à gestão de projeto ou de comunicação, são suportados pelas verbas adequadas inscritas e a inscrever no orçamento da SGPCM, até ao limite do montante estabelecido no Plano de Recuperação e Resiliência para a execução da TD-r35 - Reforma funcional e orgânica da Administração Pública.</v>
      </c>
      <c r="F67" s="3" t="str"/>
      <c r="G67" s="20"/>
      <c r="H67" s="20"/>
      <c r="I67" s="3" t="str">
        <v>No uniquely dated deadline derivable from this clause; cadence or trigger is preserved.</v>
      </c>
      <c r="J67" s="3" t="str">
        <v>https://diariodarepublica.pt/dr/detalhe/despacho/9075-a-2024-876110681</v>
      </c>
      <c r="K67" s="3" t="str">
        <v>No dated delivery evidence identified.</v>
      </c>
    </row>
    <row r="68" ht="90" customHeight="1">
      <c r="A68" s="3" t="str">
        <v>GT-2024-017-D04</v>
      </c>
      <c r="B68" s="3" t="str">
        <v>GT-2024-017</v>
      </c>
      <c r="C68" s="3" t="str">
        <v>Final report / last specified substantive output</v>
      </c>
      <c r="D68" s="3" t="str">
        <v>Status benchmark</v>
      </c>
      <c r="E68" s="3" t="str"/>
      <c r="F68" s="3" t="str"/>
      <c r="G68" s="20" t="d">
        <v>2027-06-30T00:00:00.000Z</v>
      </c>
      <c r="H68" s="20"/>
      <c r="I68" s="3" t="str">
        <v>Fixed date / explicit year-end in creating act.</v>
      </c>
      <c r="J68" s="3" t="str">
        <v>https://diariodarepublica.pt/dr/detalhe/despacho/9075-a-2024-876110681</v>
      </c>
      <c r="K68" s="3" t="str">
        <v>Em curso – dentro do prazo — Current controlling deadline has not passed; delivery not independently verified.</v>
      </c>
    </row>
    <row r="69" ht="90" customHeight="1">
      <c r="A69" s="3" t="str">
        <v>GT-2024-018-D01</v>
      </c>
      <c r="B69" s="3" t="str">
        <v>GT-2024-018</v>
      </c>
      <c r="C69" s="3" t="str">
        <v>2 - O presente Grupo de Trabalho deverá apresentar, até 1 de dezembro de 2024, as conclusões relativ</v>
      </c>
      <c r="D69" s="3" t="str">
        <v>Deliverable / duration</v>
      </c>
      <c r="E69" s="3" t="str">
        <v>2 - O presente Grupo de Trabalho deverá apresentar, até 1 de dezembro de 2024, as conclusões relativas ao projeto de alterações do CPI.</v>
      </c>
      <c r="F69" s="3" t="str"/>
      <c r="G69" s="20" t="d">
        <v>2024-12-01T00:00:00.000Z</v>
      </c>
      <c r="H69" s="20"/>
      <c r="I69" s="3" t="str">
        <v>Explicit calendar date in the act.</v>
      </c>
      <c r="J69" s="3" t="str">
        <v>https://diariodarepublica.pt/dr/detalhe/despacho/9123-2024-876110746</v>
      </c>
      <c r="K69" s="3" t="str">
        <v>No dated delivery evidence identified.</v>
      </c>
    </row>
    <row r="70" ht="90" customHeight="1">
      <c r="A70" s="3" t="str">
        <v>GT-2024-018-D02</v>
      </c>
      <c r="B70" s="3" t="str">
        <v>GT-2024-018</v>
      </c>
      <c r="C70" s="3" t="str">
        <v>7 - Na primeira reunião, o conselho diretivo do INPI proporá ao Grupo de Trabalho, para decisão, as </v>
      </c>
      <c r="D70" s="3" t="str">
        <v>Deliverable / duration</v>
      </c>
      <c r="E70" s="3" t="str">
        <v>7 - Na primeira reunião, o conselho diretivo do INPI proporá ao Grupo de Trabalho, para decisão, as matérias que devem ser analisadas em cada reunião, bem como colocará a votação que entidades devem ser ouvidas em cada uma, de entre organismos públicos, instituições, associações e personalidades de reconhecido mérito.</v>
      </c>
      <c r="F70" s="3" t="str"/>
      <c r="G70" s="20"/>
      <c r="H70" s="20"/>
      <c r="I70" s="3" t="str">
        <v>No uniquely dated deadline derivable from this clause; cadence or trigger is preserved.</v>
      </c>
      <c r="J70" s="3" t="str">
        <v>https://diariodarepublica.pt/dr/detalhe/despacho/9123-2024-876110746</v>
      </c>
      <c r="K70" s="3" t="str">
        <v>No dated delivery evidence identified.</v>
      </c>
    </row>
    <row r="71" ht="90" customHeight="1">
      <c r="A71" s="3" t="str">
        <v>GT-2024-018-D03</v>
      </c>
      <c r="B71" s="3" t="str">
        <v>GT-2024-018</v>
      </c>
      <c r="C71" s="3" t="str">
        <v>8 - O Grupo de Trabalho decidirá a frequência, a data e a duração das reuniões, com vista à conclusã</v>
      </c>
      <c r="D71" s="3" t="str">
        <v>Deliverable / duration</v>
      </c>
      <c r="E71" s="3" t="str">
        <v>8 - O Grupo de Trabalho decidirá a frequência, a data e a duração das reuniões, com vista à conclusão dos trabalhos antes do prazo previsto no n.º 2 do presente despacho.</v>
      </c>
      <c r="F71" s="3" t="str"/>
      <c r="G71" s="20"/>
      <c r="H71" s="20"/>
      <c r="I71" s="3" t="str">
        <v>No uniquely dated deadline derivable from this clause; cadence or trigger is preserved.</v>
      </c>
      <c r="J71" s="3" t="str">
        <v>https://diariodarepublica.pt/dr/detalhe/despacho/9123-2024-876110746</v>
      </c>
      <c r="K71" s="3" t="str">
        <v>No dated delivery evidence identified.</v>
      </c>
    </row>
    <row r="72" ht="90" customHeight="1">
      <c r="A72" s="3" t="str">
        <v>GT-2024-018-D04</v>
      </c>
      <c r="B72" s="3" t="str">
        <v>GT-2024-018</v>
      </c>
      <c r="C72" s="3" t="str">
        <v>Final report / last specified substantive output</v>
      </c>
      <c r="D72" s="3" t="str">
        <v>Status benchmark</v>
      </c>
      <c r="E72" s="3" t="str"/>
      <c r="F72" s="3" t="str"/>
      <c r="G72" s="20" t="d">
        <v>2024-12-01T00:00:00.000Z</v>
      </c>
      <c r="H72" s="20"/>
      <c r="I72" s="3" t="str">
        <v>Fixed date / explicit year-end in creating act.</v>
      </c>
      <c r="J72" s="3" t="str">
        <v>https://diariodarepublica.pt/dr/detalhe/despacho/9123-2024-876110746</v>
      </c>
      <c r="K72" s="3" t="str">
        <v>Sem informação pública — Official sources disagree on delivery date (1 versus 6 December 2024); delivery is confirmed but timeliness cannot be resolved.</v>
      </c>
    </row>
    <row r="73" ht="90" customHeight="1">
      <c r="A73" s="3" t="str">
        <v>GT-2024-018-D05</v>
      </c>
      <c r="B73" s="3" t="str">
        <v>GT-2024-018</v>
      </c>
      <c r="C73" s="3" t="str">
        <v>Subsequent project deadline acknowledged in annual report</v>
      </c>
      <c r="D73" s="3" t="str">
        <v>Acknowledged later instruction</v>
      </c>
      <c r="E73" s="3" t="str"/>
      <c r="F73" s="3" t="str"/>
      <c r="G73" s="20" t="d">
        <v>2025-02-25T00:00:00.000Z</v>
      </c>
      <c r="H73" s="20"/>
      <c r="I73" s="3" t="str">
        <v>INPI activity report, p.17; ministerial instruction dated 13 December 2024, published original not retrieved.</v>
      </c>
      <c r="J73" s="3" t="str">
        <v>https://inpi.justica.gov.pt/Portals/6/PDF%20INPI/Relat%C3%B3rios%20de%20Atividades/inpi_relatorio_atividades_contas_2024.pdf?ver=SSi75RQ1aZwvUzNN6KTcGw%3D%3D</v>
      </c>
      <c r="K73" s="3" t="str">
        <v>No dated delivery evidence identified.</v>
      </c>
    </row>
    <row r="74" ht="90" customHeight="1">
      <c r="A74" s="3" t="str">
        <v>GT-2024-018-D06</v>
      </c>
      <c r="B74" s="3" t="str">
        <v>GT-2024-018</v>
      </c>
      <c r="C74" s="3" t="str">
        <v>Subsequent project extension acknowledged in annual report</v>
      </c>
      <c r="D74" s="3" t="str">
        <v>Acknowledged extension</v>
      </c>
      <c r="E74" s="3" t="str"/>
      <c r="F74" s="3" t="str"/>
      <c r="G74" s="20" t="d">
        <v>2025-05-26T00:00:00.000Z</v>
      </c>
      <c r="H74" s="20"/>
      <c r="I74" s="3" t="str">
        <v>INPI activity report, p.17; published extending act not retrieved.</v>
      </c>
      <c r="J74" s="3" t="str">
        <v>https://inpi.justica.gov.pt/Portals/6/PDF%20INPI/Relat%C3%B3rios%20de%20Atividades/inpi_relatorio_atividades_contas_2024.pdf?ver=SSi75RQ1aZwvUzNN6KTcGw%3D%3D</v>
      </c>
      <c r="K74" s="3" t="str">
        <v>No dated delivery evidence identified.</v>
      </c>
    </row>
    <row r="75" ht="90" customHeight="1">
      <c r="A75" s="3" t="str">
        <v>GT-2024-019-D01</v>
      </c>
      <c r="B75" s="3" t="str">
        <v>GT-2024-019</v>
      </c>
      <c r="C75" s="3" t="str">
        <v>5 - O Secretário de Estado das Infraestruturas reporta, com periodicidade mensal, o progresso dos tr</v>
      </c>
      <c r="D75" s="3" t="str">
        <v>Periodic / conditional</v>
      </c>
      <c r="E75" s="3" t="str">
        <v>5 - O Secretário de Estado das Infraestruturas reporta, com periodicidade mensal, o progresso dos trabalhos ao Ministro da Presidência, à Ministra da Administração Interna e ao Ministro das Infraestruturas e Habitação.</v>
      </c>
      <c r="F75" s="3" t="str"/>
      <c r="G75" s="20"/>
      <c r="H75" s="20"/>
      <c r="I75" s="3" t="str">
        <v>No uniquely dated deadline derivable from this clause; cadence or trigger is preserved.</v>
      </c>
      <c r="J75" s="3" t="str">
        <v>https://diariodarepublica.pt/dr/detalhe/despacho/9477-2024-884784995</v>
      </c>
      <c r="K75" s="3" t="str">
        <v>No dated delivery evidence identified.</v>
      </c>
    </row>
    <row r="76" ht="90" customHeight="1">
      <c r="A76" s="3" t="str">
        <v>GT-2024-019-D02</v>
      </c>
      <c r="B76" s="3" t="str">
        <v>GT-2024-019</v>
      </c>
      <c r="C76" s="3" t="str">
        <v>9 - As reuniões do grupo de trabalho decorrem com periodicidade quinzenal.</v>
      </c>
      <c r="D76" s="3" t="str">
        <v>Periodic / conditional</v>
      </c>
      <c r="E76" s="3" t="str">
        <v>9 - As reuniões do grupo de trabalho decorrem com periodicidade quinzenal.</v>
      </c>
      <c r="F76" s="3" t="str"/>
      <c r="G76" s="20"/>
      <c r="H76" s="20"/>
      <c r="I76" s="3" t="str">
        <v>No uniquely dated deadline derivable from this clause; cadence or trigger is preserved.</v>
      </c>
      <c r="J76" s="3" t="str">
        <v>https://diariodarepublica.pt/dr/detalhe/despacho/9477-2024-884784995</v>
      </c>
      <c r="K76" s="3" t="str">
        <v>No dated delivery evidence identified.</v>
      </c>
    </row>
    <row r="77" ht="90" customHeight="1">
      <c r="A77" s="3" t="str">
        <v>GT-2024-019-D03</v>
      </c>
      <c r="B77" s="3" t="str">
        <v>GT-2024-019</v>
      </c>
      <c r="C77" s="3" t="str">
        <v>10 - O grupo de trabalho deve concluir os trabalhos até 30 de abril de 2025, com possibilidade de pr</v>
      </c>
      <c r="D77" s="3" t="str">
        <v>Deliverable / duration</v>
      </c>
      <c r="E77" s="3" t="str">
        <v>10 - O grupo de trabalho deve concluir os trabalhos até 30 de abril de 2025, com possibilidade de prorrogação em caso de decisão europeia de adiamento das datas de entrada em funcionamento dos sistemas EES e/ou ETIAS.</v>
      </c>
      <c r="F77" s="3" t="str"/>
      <c r="G77" s="20" t="d">
        <v>2025-04-30T00:00:00.000Z</v>
      </c>
      <c r="H77" s="20"/>
      <c r="I77" s="3" t="str">
        <v>Explicit calendar date in the act.</v>
      </c>
      <c r="J77" s="3" t="str">
        <v>https://diariodarepublica.pt/dr/detalhe/despacho/9477-2024-884784995</v>
      </c>
      <c r="K77" s="3" t="str">
        <v>No dated delivery evidence identified.</v>
      </c>
    </row>
    <row r="78" ht="90" customHeight="1">
      <c r="A78" s="3" t="str">
        <v>GT-2024-019-D04</v>
      </c>
      <c r="B78" s="3" t="str">
        <v>GT-2024-019</v>
      </c>
      <c r="C78" s="3" t="str">
        <v>Final report / last specified substantive output</v>
      </c>
      <c r="D78" s="3" t="str">
        <v>Status benchmark</v>
      </c>
      <c r="E78" s="3" t="str"/>
      <c r="F78" s="3" t="str"/>
      <c r="G78" s="20" t="d">
        <v>2025-04-30T00:00:00.000Z</v>
      </c>
      <c r="H78" s="20"/>
      <c r="I78" s="3" t="str">
        <v>Fixed date / explicit year-end in creating act.</v>
      </c>
      <c r="J78" s="3" t="str">
        <v>https://diariodarepublica.pt/dr/detalhe/despacho/9477-2024-884784995</v>
      </c>
      <c r="K78" s="3" t="str">
        <v>Em atraso — Controlling benchmark has passed; no evidence of this output’s delivery identified in the reviewed acts and focused official-source outcome search.</v>
      </c>
    </row>
    <row r="79" ht="90" customHeight="1">
      <c r="A79" s="3" t="str">
        <v>GT-2024-020-D01</v>
      </c>
      <c r="B79" s="3" t="str">
        <v>GT-2024-020</v>
      </c>
      <c r="C79" s="3" t="str">
        <v>5 - O GT reúne com periodicidade trimestral e sempre que seja relevante, podendo organizar-se em sub</v>
      </c>
      <c r="D79" s="3" t="str">
        <v>Periodic / conditional</v>
      </c>
      <c r="E79" s="3" t="str">
        <v>5 - O GT reúne com periodicidade trimestral e sempre que seja relevante, podendo organizar-se em subgrupos para abordar temas específicos.</v>
      </c>
      <c r="F79" s="3" t="str"/>
      <c r="G79" s="20"/>
      <c r="H79" s="20"/>
      <c r="I79" s="3" t="str">
        <v>No uniquely dated deadline derivable from this clause; cadence or trigger is preserved.</v>
      </c>
      <c r="J79" s="3" t="str">
        <v>https://diariodarepublica.pt/dr/detalhe/despacho/9589-2024-884941463</v>
      </c>
      <c r="K79" s="3" t="str">
        <v>No dated delivery evidence identified.</v>
      </c>
    </row>
    <row r="80" ht="90" customHeight="1">
      <c r="A80" s="3" t="str">
        <v>GT-2024-020-D02</v>
      </c>
      <c r="B80" s="3" t="str">
        <v>GT-2024-020</v>
      </c>
      <c r="C80" s="3" t="str">
        <v>9 - O GT tem natureza temporária, com a duração de 18 meses, prorrogável e extingue-se aquando do cu</v>
      </c>
      <c r="D80" s="3" t="str">
        <v>Deliverable / duration</v>
      </c>
      <c r="E80" s="3" t="str">
        <v>9 - O GT tem natureza temporária, com a duração de 18 meses, prorrogável e extingue-se aquando do cumprimento do seu mandato, isto é, quando se verifique o cumprimento consistente dos objetivos de qualidade do ar para o dióxido de azoto em todo o território nacional.</v>
      </c>
      <c r="F80" s="3" t="str"/>
      <c r="G80" s="20"/>
      <c r="H80" s="20"/>
      <c r="I80" s="3" t="str">
        <v>18 meses after trigger: anchor not expressly specified; exact date cannot be verified.</v>
      </c>
      <c r="J80" s="3" t="str">
        <v>https://diariodarepublica.pt/dr/detalhe/despacho/9589-2024-884941463</v>
      </c>
      <c r="K80" s="3" t="str">
        <v>No dated delivery evidence identified.</v>
      </c>
    </row>
    <row r="81" ht="90" customHeight="1">
      <c r="A81" s="3" t="str">
        <v>GT-2024-020-D03</v>
      </c>
      <c r="B81" s="3" t="str">
        <v>GT-2024-020</v>
      </c>
      <c r="C81" s="3" t="str">
        <v>Final report / last specified substantive output</v>
      </c>
      <c r="D81" s="3" t="str">
        <v>Status benchmark</v>
      </c>
      <c r="E81" s="3" t="str"/>
      <c r="F81" s="3" t="str"/>
      <c r="G81" s="20" t="d">
        <v>2026-02-07T00:00:00.000Z</v>
      </c>
      <c r="H81" s="20"/>
      <c r="I81" s="3" t="str">
        <v>effective 2024-08-07 + 18 calendar months (anniversary rule).</v>
      </c>
      <c r="J81" s="3" t="str">
        <v>https://diariodarepublica.pt/dr/detalhe/despacho/9589-2024-884941463</v>
      </c>
      <c r="K81" s="3" t="str">
        <v>Prorrogado — Current controlling deadline has not passed; delivery not independently verified.</v>
      </c>
    </row>
    <row r="82" ht="90" customHeight="1">
      <c r="A82" s="3" t="str">
        <v>GT-2024-020-D04</v>
      </c>
      <c r="B82" s="3" t="str">
        <v>GT-2024-020</v>
      </c>
      <c r="C82" s="3" t="str">
        <v>Extended controlling deadline</v>
      </c>
      <c r="D82" s="3" t="str">
        <v>Formal extension</v>
      </c>
      <c r="E82" s="3" t="str">
        <v>1 - Prorrogar o mandato do grupo de trabalho, constituído pelo Despacho n.º 9589/2024, de 21 de agosto, por um período de 18 meses, extinguindo-se aquando do cumprimento do seu mandato, isto é, quando se verifique o cumprimento consistente dos objetivos de qualidade do ar para o dióxido de azoto em todo o território nacional.
2 - O apoio logístico e administrativo necessário ao funcionamento do GT é assegurado pelo Gabinete do Secretário de Estado do Ambiente.
3 - O presente despacho produz efeitos a 7 de fevereiro de 2026.
6 de abril de 2026. - O Ministro da Economia e da Coesão Territorial, Manuel Castro Almeida. - O Ministro das Infraestruturas e Habitação, Miguel Martinez de Castro Pinto Luz. - A Ministra do Ambiente e Energia, Maria da Graça Carvalho.
319985084
A
A</v>
      </c>
      <c r="F82" s="3" t="str"/>
      <c r="G82" s="20" t="d">
        <v>2027-08-07T00:00:00.000Z</v>
      </c>
      <c r="H82" s="20"/>
      <c r="I82" s="3" t="str">
        <v>Formal extension: Despacho n.º 4750/2026, de 13 de abril — https://diariodarepublica.pt/dr/detalhe/despacho/4750-2026-1084035716</v>
      </c>
      <c r="J82" s="3" t="str">
        <v>https://diariodarepublica.pt/dr/detalhe/despacho/4750-2026-1084035716</v>
      </c>
      <c r="K82" s="3" t="str">
        <v>No dated delivery evidence identified.</v>
      </c>
    </row>
    <row r="83" ht="90" customHeight="1">
      <c r="A83" s="3" t="str">
        <v>GT-2024-021-D01</v>
      </c>
      <c r="B83" s="3" t="str">
        <v>GT-2024-021</v>
      </c>
      <c r="C83" s="3" t="str">
        <v>1 - A constituição de um grupo de trabalho para avaliação da implementação da Estratégia Nacional pa</v>
      </c>
      <c r="D83" s="3" t="str">
        <v>Deliverable / duration</v>
      </c>
      <c r="E83" s="3" t="str">
        <v>1 - A constituição de um grupo de trabalho para avaliação da implementação da Estratégia Nacional para a Integração das Pessoas em Situação de Sem-Abrigo 2017-2023 (ENIPSSA 2017-2023), em vigor até ao final de 2024, que, designadamente, procede aos seguintes objetivos:</v>
      </c>
      <c r="F83" s="3" t="str"/>
      <c r="G83" s="20" t="d">
        <v>2024-12-31T00:00:00.000Z</v>
      </c>
      <c r="H83" s="20"/>
      <c r="I83" s="3" t="str">
        <v>Explicit year-end: 31 December 2024.</v>
      </c>
      <c r="J83" s="3" t="str">
        <v>https://diariodarepublica.pt/dr/detalhe/despacho/9648-2024-885027571</v>
      </c>
      <c r="K83" s="3" t="str">
        <v>No dated delivery evidence identified.</v>
      </c>
    </row>
    <row r="84" ht="90" customHeight="1">
      <c r="A84" s="3" t="str">
        <v>GT-2024-021-D02</v>
      </c>
      <c r="B84" s="3" t="str">
        <v>GT-2024-021</v>
      </c>
      <c r="C84" s="3" t="str">
        <v>Final report / last specified substantive output</v>
      </c>
      <c r="D84" s="3" t="str">
        <v>Status benchmark</v>
      </c>
      <c r="E84" s="3" t="str"/>
      <c r="F84" s="3" t="str"/>
      <c r="G84" s="20" t="d">
        <v>2024-10-15T00:00:00.000Z</v>
      </c>
      <c r="H84" s="20"/>
      <c r="I84" s="3" t="str">
        <v>Fixed date / explicit year-end in creating act.</v>
      </c>
      <c r="J84" s="3" t="str">
        <v>https://diariodarepublica.pt/dr/detalhe/despacho/9648-2024-885027571</v>
      </c>
      <c r="K84" s="3" t="str">
        <v>Concluído no prazo — Work finished on the fixed 15 October 2024 deadline.</v>
      </c>
    </row>
    <row r="85" ht="90" customHeight="1">
      <c r="A85" s="3" t="str">
        <v>GT-2024-022-D01</v>
      </c>
      <c r="B85" s="3" t="str">
        <v>GT-2024-022</v>
      </c>
      <c r="C85" s="3" t="str">
        <v>7 - Determina-se ainda, que o prazo para a conclusão dos objetivos do grupo de trabalho é de seis me</v>
      </c>
      <c r="D85" s="3" t="str">
        <v>Deliverable / duration</v>
      </c>
      <c r="E85" s="3" t="str">
        <v>7 - Determina-se ainda, que o prazo para a conclusão dos objetivos do grupo de trabalho é de seis meses, prorrogável por três meses, contado a partir da entrada em vigor do presente despacho.</v>
      </c>
      <c r="F85" s="3" t="str">
        <v>Entry into force 2024-08-30</v>
      </c>
      <c r="G85" s="20" t="d">
        <v>2025-02-28T00:00:00.000Z</v>
      </c>
      <c r="H85" s="20"/>
      <c r="I85" s="3" t="str">
        <v>2024-08-30 + 6 meses by calendar anniversary, end-of-month capped if necessary.</v>
      </c>
      <c r="J85" s="3" t="str">
        <v>https://diariodarepublica.pt/dr/detalhe/despacho/9649-2024-885027572</v>
      </c>
      <c r="K85" s="3" t="str">
        <v>No dated delivery evidence identified.</v>
      </c>
    </row>
    <row r="86" ht="90" customHeight="1">
      <c r="A86" s="3" t="str">
        <v>GT-2024-022-D02</v>
      </c>
      <c r="B86" s="3" t="str">
        <v>GT-2024-022</v>
      </c>
      <c r="C86" s="3" t="str">
        <v>8 - Os representantes das entidades referidas no n.º 4 são designados no prazo máximo de 10 dias apó</v>
      </c>
      <c r="D86" s="3" t="str">
        <v>Appointments / planning</v>
      </c>
      <c r="E86" s="3" t="str">
        <v>8 - Os representantes das entidades referidas no n.º 4 são designados no prazo máximo de 10 dias após a data de entrada em vigor do presente despacho.</v>
      </c>
      <c r="F86" s="3" t="str">
        <v>Entry into force 2024-08-30</v>
      </c>
      <c r="G86" s="20" t="d">
        <v>2024-09-09T00:00:00.000Z</v>
      </c>
      <c r="H86" s="20" t="d">
        <v>2024-09-13T00:00:00.000Z</v>
      </c>
      <c r="I86" s="3" t="str">
        <v>2024-08-30 + 10 calendar days (monitoring convention). If CPA procedural counting applies: 2024-09-13.</v>
      </c>
      <c r="J86" s="3" t="str">
        <v>https://diariodarepublica.pt/dr/detalhe/despacho/9649-2024-885027572</v>
      </c>
      <c r="K86" s="3" t="str">
        <v>No dated delivery evidence identified.</v>
      </c>
    </row>
    <row r="87" ht="90" customHeight="1">
      <c r="A87" s="3" t="str">
        <v>GT-2024-022-D03</v>
      </c>
      <c r="B87" s="3" t="str">
        <v>GT-2024-022</v>
      </c>
      <c r="C87" s="3" t="str">
        <v>9 - O mandato do grupo de trabalho cessa com a apresentação de um relatório, que deve ocorrer até ao</v>
      </c>
      <c r="D87" s="3" t="str">
        <v>Deliverable / duration</v>
      </c>
      <c r="E87" s="3" t="str">
        <v>9 - O mandato do grupo de trabalho cessa com a apresentação de um relatório, que deve ocorrer até ao termo do prazo referido no n.º 7 ou da sua prorrogação.</v>
      </c>
      <c r="F87" s="3" t="str"/>
      <c r="G87" s="20"/>
      <c r="H87" s="20"/>
      <c r="I87" s="3" t="str">
        <v>No uniquely dated deadline derivable from this clause; cadence or trigger is preserved.</v>
      </c>
      <c r="J87" s="3" t="str">
        <v>https://diariodarepublica.pt/dr/detalhe/despacho/9649-2024-885027572</v>
      </c>
      <c r="K87" s="3" t="str">
        <v>No dated delivery evidence identified.</v>
      </c>
    </row>
    <row r="88" ht="90" customHeight="1">
      <c r="A88" s="3" t="str">
        <v>GT-2024-022-D04</v>
      </c>
      <c r="B88" s="3" t="str">
        <v>GT-2024-022</v>
      </c>
      <c r="C88" s="3" t="str">
        <v>Final report / last specified substantive output</v>
      </c>
      <c r="D88" s="3" t="str">
        <v>Status benchmark</v>
      </c>
      <c r="E88" s="3" t="str"/>
      <c r="F88" s="3" t="str"/>
      <c r="G88" s="20" t="d">
        <v>2025-02-28T00:00:00.000Z</v>
      </c>
      <c r="H88" s="20"/>
      <c r="I88" s="3" t="str">
        <v>effective 2024-08-30 + 6 calendar months (anniversary rule).</v>
      </c>
      <c r="J88" s="3" t="str">
        <v>https://diariodarepublica.pt/dr/detalhe/despacho/9649-2024-885027572</v>
      </c>
      <c r="K88" s="3" t="str">
        <v>Em atraso — Controlling benchmark has passed; no evidence of this output’s delivery identified in the reviewed acts and focused official-source outcome search.</v>
      </c>
    </row>
    <row r="89" ht="90" customHeight="1">
      <c r="A89" s="3" t="str">
        <v>GT-2024-022-D05</v>
      </c>
      <c r="B89" s="3" t="str">
        <v>GT-2024-022</v>
      </c>
      <c r="C89" s="3" t="str">
        <v>Extended controlling deadline</v>
      </c>
      <c r="D89" s="3" t="str">
        <v>Formal extension</v>
      </c>
      <c r="E89" s="3" t="str">
        <v>1 - É prorrogado até 31 de dezembro de 2025 o mandato do grupo de trabalho constituído pelo Despacho n.º 9649/2024, de 2 de agosto, para revisão do Decreto-Lei n.º 163/2006, de 8 de agosto, e das respetivas normas técnicas de acessibilidade.
2 - Mantêm-se em vigor todas as demais disposições constantes do Despacho n.º 9649/2024.
3 - A produção de efeitos do presente despacho retroage a 1 de junho de 2025.
30 de julho de 2025. - A Secretária de Estado da Ação Social e da Inclusão, Maria Clara Gonçalves Marques Mendes.
319393089
A
A</v>
      </c>
      <c r="F89" s="3" t="str"/>
      <c r="G89" s="20" t="d">
        <v>2025-12-31T00:00:00.000Z</v>
      </c>
      <c r="H89" s="20"/>
      <c r="I89" s="3" t="str">
        <v>Formal extension: Despacho n.º 9463/2025, de 8 de agosto — https://diariodarepublica.pt/dr/detalhe/despacho/9463-2025-928296838</v>
      </c>
      <c r="J89" s="3" t="str">
        <v>https://diariodarepublica.pt/dr/detalhe/despacho/9463-2025-928296838</v>
      </c>
      <c r="K89" s="3" t="str">
        <v>No dated delivery evidence identified.</v>
      </c>
    </row>
    <row r="90" ht="90" customHeight="1">
      <c r="A90" s="3" t="str">
        <v>GT-2024-023-D01</v>
      </c>
      <c r="B90" s="3" t="str">
        <v>GT-2024-023</v>
      </c>
      <c r="C90" s="3" t="str">
        <v>9 - No âmbito das suas atividades, o grupo de trabalho deverá apresentar um documento de periodicida</v>
      </c>
      <c r="D90" s="3" t="str">
        <v>Periodic / conditional</v>
      </c>
      <c r="E90" s="3" t="str">
        <v>9 - No âmbito das suas atividades, o grupo de trabalho deverá apresentar um documento de periodicidade mensal, que reflita e sistematize a sua análise e avaliação sobre a evolução do estado de implementação e desenvolvimento das medidas previstas no Plano de Emergência e Transformação na Saúde.</v>
      </c>
      <c r="F90" s="3" t="str"/>
      <c r="G90" s="20"/>
      <c r="H90" s="20"/>
      <c r="I90" s="3" t="str">
        <v>No uniquely dated deadline derivable from this clause; cadence or trigger is preserved.</v>
      </c>
      <c r="J90" s="3" t="str">
        <v>https://diariodarepublica.pt/dr/detalhe/despacho/10208-a-2024-886333775</v>
      </c>
      <c r="K90" s="3" t="str">
        <v>No dated delivery evidence identified.</v>
      </c>
    </row>
    <row r="91" ht="90" customHeight="1">
      <c r="A91" s="3" t="str">
        <v>GT-2024-023-D02</v>
      </c>
      <c r="B91" s="3" t="str">
        <v>GT-2024-023</v>
      </c>
      <c r="C91" s="3" t="str">
        <v>10 - O presente despacho produz efeitos a 1 de junho de 2024 e vigorará pelo prazo de um ano, sem pr</v>
      </c>
      <c r="D91" s="3" t="str">
        <v>Deliverable / duration</v>
      </c>
      <c r="E91" s="3" t="str">
        <v>10 - O presente despacho produz efeitos a 1 de junho de 2024 e vigorará pelo prazo de um ano, sem prejuízo da possibilidade de prorrogação dos seus efeitos.</v>
      </c>
      <c r="F91" s="3" t="str"/>
      <c r="G91" s="20" t="d">
        <v>2024-06-01T00:00:00.000Z</v>
      </c>
      <c r="H91" s="20"/>
      <c r="I91" s="3" t="str">
        <v>1 ano after trigger: anchor not expressly specified; exact date cannot be verified.</v>
      </c>
      <c r="J91" s="3" t="str">
        <v>https://diariodarepublica.pt/dr/detalhe/despacho/10208-a-2024-886333775</v>
      </c>
      <c r="K91" s="3" t="str">
        <v>No dated delivery evidence identified.</v>
      </c>
    </row>
    <row r="92" ht="90" customHeight="1">
      <c r="A92" s="3" t="str">
        <v>GT-2024-023-D03</v>
      </c>
      <c r="B92" s="3" t="str">
        <v>GT-2024-023</v>
      </c>
      <c r="C92" s="3" t="str">
        <v>Mandate end</v>
      </c>
      <c r="D92" s="3" t="str">
        <v>Status benchmark</v>
      </c>
      <c r="E92" s="3" t="str"/>
      <c r="F92" s="3" t="str"/>
      <c r="G92" s="20" t="d">
        <v>2025-06-01T00:00:00.000Z</v>
      </c>
      <c r="H92" s="20"/>
      <c r="I92" s="3" t="str">
        <v>Fixed date / explicit year-end in creating act.</v>
      </c>
      <c r="J92" s="3" t="str">
        <v>https://diariodarepublica.pt/dr/detalhe/despacho/10208-a-2024-886333775</v>
      </c>
      <c r="K92" s="3" t="str">
        <v>Em atraso — Controlling benchmark has passed; no evidence of this output’s delivery identified in the reviewed acts and focused official-source outcome search.</v>
      </c>
    </row>
    <row r="93" ht="90" customHeight="1">
      <c r="A93" s="3" t="str">
        <v>GT-2024-024-D01</v>
      </c>
      <c r="B93" s="3" t="str">
        <v>GT-2024-024</v>
      </c>
      <c r="C93" s="3" t="str">
        <v>a) Tem a duração de um ano, a partir da data da publicação do presente despacho;</v>
      </c>
      <c r="D93" s="3" t="str">
        <v>Deliverable / duration</v>
      </c>
      <c r="E93" s="3" t="str">
        <v>a) Tem a duração de um ano, a partir da data da publicação do presente despacho;</v>
      </c>
      <c r="F93" s="3" t="str">
        <v>Publication 2024-08-30</v>
      </c>
      <c r="G93" s="20" t="d">
        <v>2025-08-30T00:00:00.000Z</v>
      </c>
      <c r="H93" s="20"/>
      <c r="I93" s="3" t="str">
        <v>2024-08-30 + 1 ano by calendar anniversary, end-of-month capped if necessary.</v>
      </c>
      <c r="J93" s="3" t="str">
        <v>https://diariodarepublica.pt/dr/detalhe/despacho/10294-c-2024-886385435</v>
      </c>
      <c r="K93" s="3" t="str">
        <v>No dated delivery evidence identified.</v>
      </c>
    </row>
    <row r="94" ht="90" customHeight="1">
      <c r="A94" s="3" t="str">
        <v>GT-2024-024-D02</v>
      </c>
      <c r="B94" s="3" t="str">
        <v>GT-2024-024</v>
      </c>
      <c r="C94" s="3" t="str">
        <v>c) Apresentam, ao Grupo de Trabalho Interministerial, um relatório anual, até ao cessar de funções d</v>
      </c>
      <c r="D94" s="3" t="str">
        <v>Periodic / conditional</v>
      </c>
      <c r="E94" s="3" t="str">
        <v>c) Apresentam, ao Grupo de Trabalho Interministerial, um relatório anual, até ao cessar de funções do respetivo grupo, sobre os desenvolvimentos efetuados e o resultado das ações de implementação e monitorização desenvolvidas, bem como das propostas de melhoria que forem sendo identificadas no decurso da sua atividade;</v>
      </c>
      <c r="F94" s="3" t="str"/>
      <c r="G94" s="20"/>
      <c r="H94" s="20"/>
      <c r="I94" s="3" t="str">
        <v>No uniquely dated deadline derivable from this clause; cadence or trigger is preserved.</v>
      </c>
      <c r="J94" s="3" t="str">
        <v>https://diariodarepublica.pt/dr/detalhe/despacho/10294-c-2024-886385435</v>
      </c>
      <c r="K94" s="3" t="str">
        <v>No dated delivery evidence identified.</v>
      </c>
    </row>
    <row r="95" ht="90" customHeight="1">
      <c r="A95" s="3" t="str">
        <v>GT-2024-024-D03</v>
      </c>
      <c r="B95" s="3" t="str">
        <v>GT-2024-024</v>
      </c>
      <c r="C95" s="3" t="str">
        <v>d) Apresentam, após o prazo decorrido na alínea a) do n.º 5, ao membro do Governo responsável pelas </v>
      </c>
      <c r="D95" s="3" t="str">
        <v>Periodic / conditional</v>
      </c>
      <c r="E95" s="3" t="str">
        <v>d) Apresentam, após o prazo decorrido na alínea a) do n.º 5, ao membro do Governo responsável pelas áreas da administração interna ou da justiça, consoante se trate do grupo de trabalho previsto no n.º 7, alínea a) ou na alínea b), e da saúde, um relatório anual e um relatório intercalar, de periodicidade semestral, sobre o resultado das ações de implementação e monitorização desenvolvidas, bem como das propostas de melhoria que forem sendo identificadas no decurso da sua atividade;</v>
      </c>
      <c r="F95" s="3" t="str"/>
      <c r="G95" s="20"/>
      <c r="H95" s="20"/>
      <c r="I95" s="3" t="str">
        <v>No uniquely dated deadline derivable from this clause; cadence or trigger is preserved.</v>
      </c>
      <c r="J95" s="3" t="str">
        <v>https://diariodarepublica.pt/dr/detalhe/despacho/10294-c-2024-886385435</v>
      </c>
      <c r="K95" s="3" t="str">
        <v>No dated delivery evidence identified.</v>
      </c>
    </row>
    <row r="96" ht="90" customHeight="1">
      <c r="A96" s="3" t="str">
        <v>GT-2024-024-D04</v>
      </c>
      <c r="B96" s="3" t="str">
        <v>GT-2024-024</v>
      </c>
      <c r="C96" s="3" t="str">
        <v>e) Reúnem com periodicidade bimestral e as respetivas conclusões são vertidas em memorando sumário, </v>
      </c>
      <c r="D96" s="3" t="str">
        <v>Periodic / conditional</v>
      </c>
      <c r="E96" s="3" t="str">
        <v>e) Reúnem com periodicidade bimestral e as respetivas conclusões são vertidas em memorando sumário, disponibilizado a todos os elementos;</v>
      </c>
      <c r="F96" s="3" t="str"/>
      <c r="G96" s="20"/>
      <c r="H96" s="20"/>
      <c r="I96" s="3" t="str">
        <v>No uniquely dated deadline derivable from this clause; cadence or trigger is preserved.</v>
      </c>
      <c r="J96" s="3" t="str">
        <v>https://diariodarepublica.pt/dr/detalhe/despacho/10294-c-2024-886385435</v>
      </c>
      <c r="K96" s="3" t="str">
        <v>No dated delivery evidence identified.</v>
      </c>
    </row>
    <row r="97" ht="90" customHeight="1">
      <c r="A97" s="3" t="str">
        <v>GT-2024-024-D05</v>
      </c>
      <c r="B97" s="3" t="str">
        <v>GT-2024-024</v>
      </c>
      <c r="C97" s="3" t="str">
        <v>Final report / last specified substantive output</v>
      </c>
      <c r="D97" s="3" t="str">
        <v>Status benchmark</v>
      </c>
      <c r="E97" s="3" t="str"/>
      <c r="F97" s="3" t="str"/>
      <c r="G97" s="20" t="d">
        <v>2025-08-29T00:00:00.000Z</v>
      </c>
      <c r="H97" s="20"/>
      <c r="I97" s="3" t="str">
        <v>One-year mandate from publication 2024-08-30 ends 2025-08-30; report required before that end, benchmark 2025-08-29.</v>
      </c>
      <c r="J97" s="3" t="str">
        <v>https://diariodarepublica.pt/dr/detalhe/despacho/10294-c-2024-886385435</v>
      </c>
      <c r="K97" s="3" t="str">
        <v>Em atraso — Controlling benchmark has passed; no evidence of this output’s delivery identified in the reviewed acts and focused official-source outcome search.</v>
      </c>
    </row>
    <row r="98" ht="90" customHeight="1">
      <c r="A98" s="3" t="str">
        <v>GT-2024-025-D01</v>
      </c>
      <c r="B98" s="3" t="str">
        <v>GT-2024-025</v>
      </c>
      <c r="C98" s="3" t="str">
        <v>a) Tem a duração de um ano, a partir da data da publicação do presente despacho;</v>
      </c>
      <c r="D98" s="3" t="str">
        <v>Deliverable / duration</v>
      </c>
      <c r="E98" s="3" t="str">
        <v>a) Tem a duração de um ano, a partir da data da publicação do presente despacho;</v>
      </c>
      <c r="F98" s="3" t="str">
        <v>Publication 2024-08-30</v>
      </c>
      <c r="G98" s="20" t="d">
        <v>2025-08-30T00:00:00.000Z</v>
      </c>
      <c r="H98" s="20"/>
      <c r="I98" s="3" t="str">
        <v>2024-08-30 + 1 ano by calendar anniversary, end-of-month capped if necessary.</v>
      </c>
      <c r="J98" s="3" t="str">
        <v>https://diariodarepublica.pt/dr/detalhe/despacho/10294-c-2024-886385435</v>
      </c>
      <c r="K98" s="3" t="str">
        <v>No dated delivery evidence identified.</v>
      </c>
    </row>
    <row r="99" ht="90" customHeight="1">
      <c r="A99" s="3" t="str">
        <v>GT-2024-025-D02</v>
      </c>
      <c r="B99" s="3" t="str">
        <v>GT-2024-025</v>
      </c>
      <c r="C99" s="3" t="str">
        <v>c) Apresentam, ao Grupo de Trabalho Interministerial, um relatório anual, até ao cessar de funções d</v>
      </c>
      <c r="D99" s="3" t="str">
        <v>Periodic / conditional</v>
      </c>
      <c r="E99" s="3" t="str">
        <v>c) Apresentam, ao Grupo de Trabalho Interministerial, um relatório anual, até ao cessar de funções do respetivo grupo, sobre os desenvolvimentos efetuados e o resultado das ações de implementação e monitorização desenvolvidas, bem como das propostas de melhoria que forem sendo identificadas no decurso da sua atividade;</v>
      </c>
      <c r="F99" s="3" t="str"/>
      <c r="G99" s="20"/>
      <c r="H99" s="20"/>
      <c r="I99" s="3" t="str">
        <v>No uniquely dated deadline derivable from this clause; cadence or trigger is preserved.</v>
      </c>
      <c r="J99" s="3" t="str">
        <v>https://diariodarepublica.pt/dr/detalhe/despacho/10294-c-2024-886385435</v>
      </c>
      <c r="K99" s="3" t="str">
        <v>No dated delivery evidence identified.</v>
      </c>
    </row>
    <row r="100" ht="90" customHeight="1">
      <c r="A100" s="3" t="str">
        <v>GT-2024-025-D03</v>
      </c>
      <c r="B100" s="3" t="str">
        <v>GT-2024-025</v>
      </c>
      <c r="C100" s="3" t="str">
        <v>d) Apresentam, após o prazo decorrido na alínea a) do n.º 5, ao membro do Governo responsável pelas </v>
      </c>
      <c r="D100" s="3" t="str">
        <v>Periodic / conditional</v>
      </c>
      <c r="E100" s="3" t="str">
        <v>d) Apresentam, após o prazo decorrido na alínea a) do n.º 5, ao membro do Governo responsável pelas áreas da administração interna ou da justiça, consoante se trate do grupo de trabalho previsto no n.º 7, alínea a) ou na alínea b), e da saúde, um relatório anual e um relatório intercalar, de periodicidade semestral, sobre o resultado das ações de implementação e monitorização desenvolvidas, bem como das propostas de melhoria que forem sendo identificadas no decurso da sua atividade;</v>
      </c>
      <c r="F100" s="3" t="str"/>
      <c r="G100" s="20"/>
      <c r="H100" s="20"/>
      <c r="I100" s="3" t="str">
        <v>No uniquely dated deadline derivable from this clause; cadence or trigger is preserved.</v>
      </c>
      <c r="J100" s="3" t="str">
        <v>https://diariodarepublica.pt/dr/detalhe/despacho/10294-c-2024-886385435</v>
      </c>
      <c r="K100" s="3" t="str">
        <v>No dated delivery evidence identified.</v>
      </c>
    </row>
    <row r="101" ht="90" customHeight="1">
      <c r="A101" s="3" t="str">
        <v>GT-2024-025-D04</v>
      </c>
      <c r="B101" s="3" t="str">
        <v>GT-2024-025</v>
      </c>
      <c r="C101" s="3" t="str">
        <v>e) Reúnem com periodicidade bimestral e as respetivas conclusões são vertidas em memorando sumário, </v>
      </c>
      <c r="D101" s="3" t="str">
        <v>Periodic / conditional</v>
      </c>
      <c r="E101" s="3" t="str">
        <v>e) Reúnem com periodicidade bimestral e as respetivas conclusões são vertidas em memorando sumário, disponibilizado a todos os elementos;</v>
      </c>
      <c r="F101" s="3" t="str"/>
      <c r="G101" s="20"/>
      <c r="H101" s="20"/>
      <c r="I101" s="3" t="str">
        <v>No uniquely dated deadline derivable from this clause; cadence or trigger is preserved.</v>
      </c>
      <c r="J101" s="3" t="str">
        <v>https://diariodarepublica.pt/dr/detalhe/despacho/10294-c-2024-886385435</v>
      </c>
      <c r="K101" s="3" t="str">
        <v>No dated delivery evidence identified.</v>
      </c>
    </row>
    <row r="102" ht="90" customHeight="1">
      <c r="A102" s="3" t="str">
        <v>GT-2024-025-D05</v>
      </c>
      <c r="B102" s="3" t="str">
        <v>GT-2024-025</v>
      </c>
      <c r="C102" s="3" t="str">
        <v>Final report / last specified substantive output</v>
      </c>
      <c r="D102" s="3" t="str">
        <v>Status benchmark</v>
      </c>
      <c r="E102" s="3" t="str"/>
      <c r="F102" s="3" t="str"/>
      <c r="G102" s="20" t="d">
        <v>2025-08-30T00:00:00.000Z</v>
      </c>
      <c r="H102" s="20"/>
      <c r="I102" s="3" t="str">
        <v>First annual report: start simultaneously on 2024-08-30 + one calendar year. Cadence anniversary is an interpretation; the act does not give a specific report day.</v>
      </c>
      <c r="J102" s="3" t="str">
        <v>https://diariodarepublica.pt/dr/detalhe/despacho/10294-c-2024-886385435</v>
      </c>
      <c r="K102" s="3" t="str">
        <v>Em atraso — Controlling benchmark has passed; no evidence of this output’s delivery identified in the reviewed acts and focused official-source outcome search.</v>
      </c>
    </row>
    <row r="103" ht="90" customHeight="1">
      <c r="A103" s="3" t="str">
        <v>GT-2024-026-D01</v>
      </c>
      <c r="B103" s="3" t="str">
        <v>GT-2024-026</v>
      </c>
      <c r="C103" s="3" t="str">
        <v>a) Tem a duração de um ano, a partir da data da publicação do presente despacho;</v>
      </c>
      <c r="D103" s="3" t="str">
        <v>Deliverable / duration</v>
      </c>
      <c r="E103" s="3" t="str">
        <v>a) Tem a duração de um ano, a partir da data da publicação do presente despacho;</v>
      </c>
      <c r="F103" s="3" t="str">
        <v>Publication 2024-08-30</v>
      </c>
      <c r="G103" s="20" t="d">
        <v>2025-08-30T00:00:00.000Z</v>
      </c>
      <c r="H103" s="20"/>
      <c r="I103" s="3" t="str">
        <v>2024-08-30 + 1 ano by calendar anniversary, end-of-month capped if necessary.</v>
      </c>
      <c r="J103" s="3" t="str">
        <v>https://diariodarepublica.pt/dr/detalhe/despacho/10294-c-2024-886385435</v>
      </c>
      <c r="K103" s="3" t="str">
        <v>No dated delivery evidence identified.</v>
      </c>
    </row>
    <row r="104" ht="90" customHeight="1">
      <c r="A104" s="3" t="str">
        <v>GT-2024-026-D02</v>
      </c>
      <c r="B104" s="3" t="str">
        <v>GT-2024-026</v>
      </c>
      <c r="C104" s="3" t="str">
        <v>c) Apresentam, ao Grupo de Trabalho Interministerial, um relatório anual, até ao cessar de funções d</v>
      </c>
      <c r="D104" s="3" t="str">
        <v>Periodic / conditional</v>
      </c>
      <c r="E104" s="3" t="str">
        <v>c) Apresentam, ao Grupo de Trabalho Interministerial, um relatório anual, até ao cessar de funções do respetivo grupo, sobre os desenvolvimentos efetuados e o resultado das ações de implementação e monitorização desenvolvidas, bem como das propostas de melhoria que forem sendo identificadas no decurso da sua atividade;</v>
      </c>
      <c r="F104" s="3" t="str"/>
      <c r="G104" s="20"/>
      <c r="H104" s="20"/>
      <c r="I104" s="3" t="str">
        <v>No uniquely dated deadline derivable from this clause; cadence or trigger is preserved.</v>
      </c>
      <c r="J104" s="3" t="str">
        <v>https://diariodarepublica.pt/dr/detalhe/despacho/10294-c-2024-886385435</v>
      </c>
      <c r="K104" s="3" t="str">
        <v>No dated delivery evidence identified.</v>
      </c>
    </row>
    <row r="105" ht="90" customHeight="1">
      <c r="A105" s="3" t="str">
        <v>GT-2024-026-D03</v>
      </c>
      <c r="B105" s="3" t="str">
        <v>GT-2024-026</v>
      </c>
      <c r="C105" s="3" t="str">
        <v>d) Apresentam, após o prazo decorrido na alínea a) do n.º 5, ao membro do Governo responsável pelas </v>
      </c>
      <c r="D105" s="3" t="str">
        <v>Periodic / conditional</v>
      </c>
      <c r="E105" s="3" t="str">
        <v>d) Apresentam, após o prazo decorrido na alínea a) do n.º 5, ao membro do Governo responsável pelas áreas da administração interna ou da justiça, consoante se trate do grupo de trabalho previsto no n.º 7, alínea a) ou na alínea b), e da saúde, um relatório anual e um relatório intercalar, de periodicidade semestral, sobre o resultado das ações de implementação e monitorização desenvolvidas, bem como das propostas de melhoria que forem sendo identificadas no decurso da sua atividade;</v>
      </c>
      <c r="F105" s="3" t="str"/>
      <c r="G105" s="20"/>
      <c r="H105" s="20"/>
      <c r="I105" s="3" t="str">
        <v>No uniquely dated deadline derivable from this clause; cadence or trigger is preserved.</v>
      </c>
      <c r="J105" s="3" t="str">
        <v>https://diariodarepublica.pt/dr/detalhe/despacho/10294-c-2024-886385435</v>
      </c>
      <c r="K105" s="3" t="str">
        <v>No dated delivery evidence identified.</v>
      </c>
    </row>
    <row r="106" ht="90" customHeight="1">
      <c r="A106" s="3" t="str">
        <v>GT-2024-026-D04</v>
      </c>
      <c r="B106" s="3" t="str">
        <v>GT-2024-026</v>
      </c>
      <c r="C106" s="3" t="str">
        <v>e) Reúnem com periodicidade bimestral e as respetivas conclusões são vertidas em memorando sumário, </v>
      </c>
      <c r="D106" s="3" t="str">
        <v>Periodic / conditional</v>
      </c>
      <c r="E106" s="3" t="str">
        <v>e) Reúnem com periodicidade bimestral e as respetivas conclusões são vertidas em memorando sumário, disponibilizado a todos os elementos;</v>
      </c>
      <c r="F106" s="3" t="str"/>
      <c r="G106" s="20"/>
      <c r="H106" s="20"/>
      <c r="I106" s="3" t="str">
        <v>No uniquely dated deadline derivable from this clause; cadence or trigger is preserved.</v>
      </c>
      <c r="J106" s="3" t="str">
        <v>https://diariodarepublica.pt/dr/detalhe/despacho/10294-c-2024-886385435</v>
      </c>
      <c r="K106" s="3" t="str">
        <v>No dated delivery evidence identified.</v>
      </c>
    </row>
    <row r="107" ht="90" customHeight="1">
      <c r="A107" s="3" t="str">
        <v>GT-2024-026-D05</v>
      </c>
      <c r="B107" s="3" t="str">
        <v>GT-2024-026</v>
      </c>
      <c r="C107" s="3" t="str">
        <v>Final report / last specified substantive output</v>
      </c>
      <c r="D107" s="3" t="str">
        <v>Status benchmark</v>
      </c>
      <c r="E107" s="3" t="str"/>
      <c r="F107" s="3" t="str"/>
      <c r="G107" s="20" t="d">
        <v>2025-08-30T00:00:00.000Z</v>
      </c>
      <c r="H107" s="20"/>
      <c r="I107" s="3" t="str">
        <v>First annual report: start simultaneously on 2024-08-30 + one calendar year. Cadence anniversary is an interpretation; the act does not give a specific report day.</v>
      </c>
      <c r="J107" s="3" t="str">
        <v>https://diariodarepublica.pt/dr/detalhe/despacho/10294-c-2024-886385435</v>
      </c>
      <c r="K107" s="3" t="str">
        <v>Em atraso — Controlling benchmark has passed; no evidence of this output’s delivery identified in the reviewed acts and focused official-source outcome search.</v>
      </c>
    </row>
    <row r="108" ht="90" customHeight="1">
      <c r="A108" s="3" t="str">
        <v>GT-2024-027-D01</v>
      </c>
      <c r="B108" s="3" t="str">
        <v>GT-2024-027</v>
      </c>
      <c r="C108" s="3" t="str">
        <v>7 - As entidades referidas no n.º 3 indicam os representantes ao coordenador, no prazo de 10 dias ap</v>
      </c>
      <c r="D108" s="3" t="str">
        <v>Appointments / planning</v>
      </c>
      <c r="E108" s="3" t="str">
        <v>7 - As entidades referidas no n.º 3 indicam os representantes ao coordenador, no prazo de 10 dias após a entrada em vigor do presente despacho, podendo ser substituídos no decorrer dos trabalhos mediante comunicação escrita à DGEG.</v>
      </c>
      <c r="F108" s="3" t="str">
        <v>Entry into force 2024-09-07</v>
      </c>
      <c r="G108" s="20" t="d">
        <v>2024-09-17T00:00:00.000Z</v>
      </c>
      <c r="H108" s="20" t="d">
        <v>2024-09-20T00:00:00.000Z</v>
      </c>
      <c r="I108" s="3" t="str">
        <v>2024-09-07 + 10 calendar days (monitoring convention). If CPA procedural counting applies: 2024-09-20.</v>
      </c>
      <c r="J108" s="3" t="str">
        <v>https://diariodarepublica.pt/dr/detalhe/despacho/10559-2024-887067337</v>
      </c>
      <c r="K108" s="3" t="str">
        <v>No dated delivery evidence identified.</v>
      </c>
    </row>
    <row r="109" ht="90" customHeight="1">
      <c r="A109" s="3" t="str">
        <v>GT-2024-027-D02</v>
      </c>
      <c r="B109" s="3" t="str">
        <v>GT-2024-027</v>
      </c>
      <c r="C109" s="3" t="str">
        <v>Final report / last specified substantive output</v>
      </c>
      <c r="D109" s="3" t="str">
        <v>Status benchmark</v>
      </c>
      <c r="E109" s="3" t="str"/>
      <c r="F109" s="3" t="str"/>
      <c r="G109" s="20" t="d">
        <v>2025-12-31T00:00:00.000Z</v>
      </c>
      <c r="H109" s="20"/>
      <c r="I109" s="3" t="str">
        <v>Fixed date / explicit year-end in creating act.</v>
      </c>
      <c r="J109" s="3" t="str">
        <v>https://diariodarepublica.pt/dr/detalhe/despacho/10559-2024-887067337</v>
      </c>
      <c r="K109" s="3" t="str">
        <v>Em atraso — Controlling benchmark has passed; no evidence of this output’s delivery identified in the reviewed acts and focused official-source outcome search.</v>
      </c>
    </row>
    <row r="110" ht="90" customHeight="1">
      <c r="A110" s="3" t="str">
        <v>GT-2024-028-D01</v>
      </c>
      <c r="B110" s="3" t="str">
        <v>GT-2024-028</v>
      </c>
      <c r="C110" s="3" t="str">
        <v>3 - Determinar a criação de um grupo de trabalho, coordenado pelo Ministro Adjunto e da Coesão Terri</v>
      </c>
      <c r="D110" s="3" t="str">
        <v>Deliverable / duration</v>
      </c>
      <c r="E110" s="3" t="str">
        <v>3 - Determinar a criação de um grupo de trabalho, coordenado pelo Ministro Adjunto e da Coesão Territorial, e com a participação dos membros do Governo responsáveis pelas áreas da proteção civil, da saúde, das infraestruturas e da habitação, da economia, do trabalho e segurança social e da agricultura e das florestas, com o objetivo de identificar e coordenar a execução das medidas excecionais e apoios a atribuir às populações, empresas, associações e municípios afetados pelos incêndios, sem prejuízo da responsabilidade decorrente de contratos de seguro, em conformidade com o disposto no artigo 61.º da Lei de Bases da Proteção Civil, aprovada pela Lei n.º 27/2006, de 3 de julho, na sua redação atual, designadamente:</v>
      </c>
      <c r="F110" s="3" t="str"/>
      <c r="G110" s="20"/>
      <c r="H110" s="20"/>
      <c r="I110" s="3" t="str">
        <v>No uniquely dated deadline derivable from this clause; cadence or trigger is preserved.</v>
      </c>
      <c r="J110" s="3" t="str">
        <v>https://diariodarepublica.pt/dr/detalhe/resolucao-conselho-ministros/126-a-2024-888218912</v>
      </c>
      <c r="K110" s="3" t="str">
        <v>No dated delivery evidence identified.</v>
      </c>
    </row>
    <row r="111" ht="90" customHeight="1">
      <c r="A111" s="3" t="str">
        <v>GT-2024-028-D02</v>
      </c>
      <c r="B111" s="3" t="str">
        <v>GT-2024-028</v>
      </c>
      <c r="C111" s="3" t="str">
        <v>7 - Determinar que a presente resolução produz efeitos imediatos, nos termos do n.º 1 do artigo 12.º</v>
      </c>
      <c r="D111" s="3" t="str">
        <v>Deliverable / duration</v>
      </c>
      <c r="E111" s="3" t="str">
        <v>7 - Determinar que a presente resolução produz efeitos imediatos, nos termos do n.º 1 do artigo 12.º da Lei de Bases da Proteção Civil, aprovada pela Lei n.º 27/2006, de 3 de julho, na sua redação atual, sem prejuízo da necessidade de publicação.</v>
      </c>
      <c r="F111" s="3" t="str">
        <v>Publication 2024-09-18</v>
      </c>
      <c r="G111" s="20"/>
      <c r="H111" s="20"/>
      <c r="I111" s="3" t="str">
        <v>No uniquely dated deadline derivable from this clause; cadence or trigger is preserved.</v>
      </c>
      <c r="J111" s="3" t="str">
        <v>https://diariodarepublica.pt/dr/detalhe/resolucao-conselho-ministros/126-a-2024-888218912</v>
      </c>
      <c r="K111" s="3" t="str">
        <v>No dated delivery evidence identified.</v>
      </c>
    </row>
    <row r="112" ht="90" customHeight="1">
      <c r="A112" s="3" t="str">
        <v>GT-2024-029-D01</v>
      </c>
      <c r="B112" s="3" t="str">
        <v>GT-2024-029</v>
      </c>
      <c r="C112" s="3" t="str">
        <v>8 - O grupo de trabalho deve apresentar o anteprojeto à Ministra da Justiça até ao final do mês de j</v>
      </c>
      <c r="D112" s="3" t="str">
        <v>Deliverable / duration</v>
      </c>
      <c r="E112" s="3" t="str">
        <v>8 - O grupo de trabalho deve apresentar o anteprojeto à Ministra da Justiça até ao final do mês de janeiro de 2025.</v>
      </c>
      <c r="F112" s="3" t="str"/>
      <c r="G112" s="20" t="d">
        <v>2025-01-31T00:00:00.000Z</v>
      </c>
      <c r="H112" s="20"/>
      <c r="I112" s="3" t="str">
        <v>Explicit month-end: 2025-01-31.</v>
      </c>
      <c r="J112" s="3" t="str">
        <v>https://diariodarepublica.pt/dr/detalhe/despacho/10989-2024-888216496</v>
      </c>
      <c r="K112" s="3" t="str">
        <v>No dated delivery evidence identified.</v>
      </c>
    </row>
    <row r="113" ht="90" customHeight="1">
      <c r="A113" s="3" t="str">
        <v>GT-2024-029-D02</v>
      </c>
      <c r="B113" s="3" t="str">
        <v>GT-2024-029</v>
      </c>
      <c r="C113" s="3" t="str">
        <v>Final report / last specified substantive output</v>
      </c>
      <c r="D113" s="3" t="str">
        <v>Status benchmark</v>
      </c>
      <c r="E113" s="3" t="str"/>
      <c r="F113" s="3" t="str"/>
      <c r="G113" s="20" t="d">
        <v>2025-01-31T00:00:00.000Z</v>
      </c>
      <c r="H113" s="20"/>
      <c r="I113" s="3" t="str">
        <v>Fixed date / explicit year-end in creating act.</v>
      </c>
      <c r="J113" s="3" t="str">
        <v>https://diariodarepublica.pt/dr/detalhe/despacho/10989-2024-888216496</v>
      </c>
      <c r="K113" s="3" t="str">
        <v>Sem informação pública — Delivery is officially confirmed, but the handover date is not public; timeliness cannot be classified.</v>
      </c>
    </row>
    <row r="114" ht="90" customHeight="1">
      <c r="A114" s="3" t="str">
        <v>GT-2024-030-D01</v>
      </c>
      <c r="B114" s="3" t="str">
        <v>GT-2024-030</v>
      </c>
      <c r="C114" s="3" t="str">
        <v>4 - Os representantes referidos no número anterior são designados no prazo de 10 dias, a contar da d</v>
      </c>
      <c r="D114" s="3" t="str">
        <v>Appointments / planning</v>
      </c>
      <c r="E114" s="3" t="str">
        <v>4 - Os representantes referidos no número anterior são designados no prazo de 10 dias, a contar da data da publicação do presente despacho, mediante comunicação ao membro do Governo responsável pela área governativa da juventude e modernização.</v>
      </c>
      <c r="F114" s="3" t="str">
        <v>Publication 2024-09-23</v>
      </c>
      <c r="G114" s="20" t="d">
        <v>2024-10-03T00:00:00.000Z</v>
      </c>
      <c r="H114" s="20" t="d">
        <v>2024-10-07T00:00:00.000Z</v>
      </c>
      <c r="I114" s="3" t="str">
        <v>2024-09-23 + 10 calendar days (monitoring convention). If CPA procedural counting applies: 2024-10-07.</v>
      </c>
      <c r="J114" s="3" t="str">
        <v>https://diariodarepublica.pt/dr/detalhe/despacho/11152-2024-888560032</v>
      </c>
      <c r="K114" s="3" t="str">
        <v>No dated delivery evidence identified.</v>
      </c>
    </row>
    <row r="115" ht="90" customHeight="1">
      <c r="A115" s="3" t="str">
        <v>GT-2024-030-D02</v>
      </c>
      <c r="B115" s="3" t="str">
        <v>GT-2024-030</v>
      </c>
      <c r="C115" s="3" t="str">
        <v>9 - O Grupo de Trabalho cessa o seu mandato no final do ano de 2024.</v>
      </c>
      <c r="D115" s="3" t="str">
        <v>Deliverable / duration</v>
      </c>
      <c r="E115" s="3" t="str">
        <v>9 - O Grupo de Trabalho cessa o seu mandato no final do ano de 2024.</v>
      </c>
      <c r="F115" s="3" t="str"/>
      <c r="G115" s="20" t="d">
        <v>2024-12-31T00:00:00.000Z</v>
      </c>
      <c r="H115" s="20"/>
      <c r="I115" s="3" t="str">
        <v>Explicit year-end: 31 December 2024.</v>
      </c>
      <c r="J115" s="3" t="str">
        <v>https://diariodarepublica.pt/dr/detalhe/despacho/11152-2024-888560032</v>
      </c>
      <c r="K115" s="3" t="str">
        <v>No dated delivery evidence identified.</v>
      </c>
    </row>
    <row r="116" ht="90" customHeight="1">
      <c r="A116" s="3" t="str">
        <v>GT-2024-030-D03</v>
      </c>
      <c r="B116" s="3" t="str">
        <v>GT-2024-030</v>
      </c>
      <c r="C116" s="3" t="str">
        <v>Mandate end / completed objectives</v>
      </c>
      <c r="D116" s="3" t="str">
        <v>Status benchmark</v>
      </c>
      <c r="E116" s="3" t="str">
        <v>9 - O Grupo de Trabalho cessa o seu mandato no final do ano de 2024.</v>
      </c>
      <c r="F116" s="3" t="str"/>
      <c r="G116" s="20" t="d">
        <v>2024-12-31T00:00:00.000Z</v>
      </c>
      <c r="H116" s="20"/>
      <c r="I116" s="3" t="str">
        <v>End of 2024 mandate (clause 9).</v>
      </c>
      <c r="J116" s="3" t="str">
        <v>https://diariodarepublica.pt/dr/detalhe/despacho/11152-2024-888560032</v>
      </c>
      <c r="K116" s="3" t="str">
        <v>Sem informação pública — Delivery is officially confirmed, but the handover date is not public; timeliness cannot be classified.</v>
      </c>
    </row>
    <row r="117" ht="90" customHeight="1">
      <c r="A117" s="3" t="str">
        <v>GT-2024-031-D01</v>
      </c>
      <c r="B117" s="3" t="str">
        <v>GT-2024-031</v>
      </c>
      <c r="C117" s="3" t="str">
        <v>11 - O grupo de trabalho deve concluir os trabalhos até 16 de dezembro de 2024.</v>
      </c>
      <c r="D117" s="3" t="str">
        <v>Deliverable / duration</v>
      </c>
      <c r="E117" s="3" t="str">
        <v>11 - O grupo de trabalho deve concluir os trabalhos até 16 de dezembro de 2024.</v>
      </c>
      <c r="F117" s="3" t="str"/>
      <c r="G117" s="20" t="d">
        <v>2024-12-16T00:00:00.000Z</v>
      </c>
      <c r="H117" s="20"/>
      <c r="I117" s="3" t="str">
        <v>Explicit calendar date in the act.</v>
      </c>
      <c r="J117" s="3" t="str">
        <v>https://diariodarepublica.pt/dr/detalhe/despacho/11271-2024-888843218</v>
      </c>
      <c r="K117" s="3" t="str">
        <v>No dated delivery evidence identified.</v>
      </c>
    </row>
    <row r="118" ht="90" customHeight="1">
      <c r="A118" s="3" t="str">
        <v>GT-2024-031-D02</v>
      </c>
      <c r="B118" s="3" t="str">
        <v>GT-2024-031</v>
      </c>
      <c r="C118" s="3" t="str">
        <v>Final report / last specified substantive output</v>
      </c>
      <c r="D118" s="3" t="str">
        <v>Status benchmark</v>
      </c>
      <c r="E118" s="3" t="str"/>
      <c r="F118" s="3" t="str"/>
      <c r="G118" s="20" t="d">
        <v>2024-12-16T00:00:00.000Z</v>
      </c>
      <c r="H118" s="20"/>
      <c r="I118" s="3" t="str">
        <v>Fixed date / explicit year-end in creating act.</v>
      </c>
      <c r="J118" s="3" t="str">
        <v>https://diariodarepublica.pt/dr/detalhe/despacho/11271-2024-888843218</v>
      </c>
      <c r="K118" s="3" t="str">
        <v>Em atraso — Controlling benchmark has passed; no evidence of this output’s delivery identified in the reviewed acts and focused official-source outcome search.</v>
      </c>
    </row>
    <row r="119" ht="90" customHeight="1">
      <c r="A119" s="3" t="str">
        <v>GT-2024-031-D03</v>
      </c>
      <c r="B119" s="3" t="str">
        <v>GT-2024-031</v>
      </c>
      <c r="C119" s="3" t="str">
        <v>Extended controlling deadline</v>
      </c>
      <c r="D119" s="3" t="str">
        <v>Formal extension</v>
      </c>
      <c r="E119" s="3" t="str">
        <v>1 - A prorrogação, até 30 de junho de 2025, do mandato do grupo de trabalho com a missão de preparar e elaborar uma estratégia pedagógica a adotar pelos estabelecimentos de ensino das forças de segurança.
2 - Clarificando o teor do n.º 9 do Despacho n.º 11271/2024 - nos termos do qual a coordenação do grupo de trabalho seria «assegurada pelo meu Gabinete, coadjuvado pelo respetivo gabinete governamental e secretaria-geral» - , a coordenação do grupo de trabalho será assegurada pelo chefe do meu Gabinete, mestre José Manuel Cal Gonçalves, coadjuvado pelo respetivo gabinete governamental e pela Secretaria-Geral do Ministério da Administração Interna.
3 - O presente despacho produz efeitos a 17 de dezembro de 2024.
21 de fevereiro de 2025. - A Ministra da Administração Interna, Margarida Blasco.
318727658
A
A</v>
      </c>
      <c r="F119" s="3" t="str"/>
      <c r="G119" s="20" t="d">
        <v>2025-06-30T00:00:00.000Z</v>
      </c>
      <c r="H119" s="20"/>
      <c r="I119" s="3" t="str">
        <v>Formal extension: Despacho n.º 2701/2025, de 27 de fevereiro — https://diariodarepublica.pt/dr/detalhe/despacho/2701-2025-909150575</v>
      </c>
      <c r="J119" s="3" t="str">
        <v>https://diariodarepublica.pt/dr/detalhe/despacho/2701-2025-909150575</v>
      </c>
      <c r="K119" s="3" t="str">
        <v>No dated delivery evidence identified.</v>
      </c>
    </row>
    <row r="120" ht="90" customHeight="1">
      <c r="A120" s="3" t="str">
        <v>GT-2024-032-D01</v>
      </c>
      <c r="B120" s="3" t="str">
        <v>GT-2024-032</v>
      </c>
      <c r="C120" s="3" t="str">
        <v>Mandate end</v>
      </c>
      <c r="D120" s="3" t="str">
        <v>Status benchmark</v>
      </c>
      <c r="E120" s="3" t="str"/>
      <c r="F120" s="3" t="str"/>
      <c r="G120" s="20" t="d">
        <v>2026-12-31T00:00:00.000Z</v>
      </c>
      <c r="H120" s="20"/>
      <c r="I120" s="3" t="str">
        <v>Fixed date / explicit year-end in creating act.</v>
      </c>
      <c r="J120" s="3" t="str">
        <v>https://diariodarepublica.pt/dr/detalhe/despacho/11856-a-2024-890194538</v>
      </c>
      <c r="K120" s="3" t="str">
        <v>Em curso – dentro do prazo — Current controlling deadline has not passed; delivery not independently verified.</v>
      </c>
    </row>
    <row r="121" ht="90" customHeight="1">
      <c r="A121" s="3" t="str">
        <v>GT-2024-033-D01</v>
      </c>
      <c r="B121" s="3" t="str">
        <v>GT-2024-033</v>
      </c>
      <c r="C121" s="3" t="str">
        <v>6 - No prazo máximo de 60 dias após a entrada em vigor do presente despacho, o grupo de trabalho rem</v>
      </c>
      <c r="D121" s="3" t="str">
        <v>Deliverable / duration</v>
      </c>
      <c r="E121" s="3" t="str">
        <v>6 - No prazo máximo de 60 dias após a entrada em vigor do presente despacho, o grupo de trabalho remete ao meu Gabinete um relatório final, com os resultados do trabalho realizado e a formulação de propostas para dar cumprimento ao previsto no n.º 2.</v>
      </c>
      <c r="F121" s="3" t="str">
        <v>Entry into force 2024-10-15</v>
      </c>
      <c r="G121" s="20" t="d">
        <v>2024-12-14T00:00:00.000Z</v>
      </c>
      <c r="H121" s="20" t="d">
        <v>2025-01-10T00:00:00.000Z</v>
      </c>
      <c r="I121" s="3" t="str">
        <v>2024-10-15 + 60 calendar days (monitoring convention). If CPA procedural counting applies: 2025-01-10.</v>
      </c>
      <c r="J121" s="3" t="str">
        <v>https://diariodarepublica.pt/dr/detalhe/despacho/12071-2024-890791825</v>
      </c>
      <c r="K121" s="3" t="str">
        <v>No dated delivery evidence identified.</v>
      </c>
    </row>
    <row r="122" ht="90" customHeight="1">
      <c r="A122" s="3" t="str">
        <v>GT-2024-033-D02</v>
      </c>
      <c r="B122" s="3" t="str">
        <v>GT-2024-033</v>
      </c>
      <c r="C122" s="3" t="str">
        <v>Final report / last specified substantive output</v>
      </c>
      <c r="D122" s="3" t="str">
        <v>Status benchmark</v>
      </c>
      <c r="E122" s="3" t="str"/>
      <c r="F122" s="3" t="str"/>
      <c r="G122" s="20" t="d">
        <v>2024-12-14T00:00:00.000Z</v>
      </c>
      <c r="H122" s="20" t="d">
        <v>2025-01-10T00:00:00.000Z</v>
      </c>
      <c r="I122" s="3" t="str">
        <v>effective 2024-10-15 + 60 calendar days; plain “dias” benchmark. Alternative working-day date: 2025-01-10.</v>
      </c>
      <c r="J122" s="3" t="str">
        <v>https://diariodarepublica.pt/dr/detalhe/despacho/12071-2024-890791825</v>
      </c>
      <c r="K122" s="3" t="str">
        <v>Em atraso — Controlling benchmark has passed; no evidence of this output’s delivery identified in the reviewed acts and focused official-source outcome search.</v>
      </c>
    </row>
    <row r="123" ht="90" customHeight="1">
      <c r="A123" s="3" t="str">
        <v>GT-2024-034-D01</v>
      </c>
      <c r="B123" s="3" t="str">
        <v>GT-2024-034</v>
      </c>
      <c r="C123" s="3" t="str">
        <v>c) Prof. Dr. Humberto José da Silva Machado, assistente graduado sénior de anestesiologia, foi diret</v>
      </c>
      <c r="D123" s="3" t="str">
        <v>Deliverable / duration</v>
      </c>
      <c r="E123" s="3" t="str">
        <v>c) Prof. Dr. Humberto José da Silva Machado, assistente graduado sénior de anestesiologia, foi diretor do Serviço de Urgência Hospitalar de Santo António entre 2002 e 2012, sendo desde essa data diretor do Serviço de Anestesiologia do Centro Hospitalar Universitário de Santo António e chefe de equipa do Serviço de Urgência do Centro Hospitalar de Santo António. Foi adjunto do diretor clínico do Centro Hospitalar de Santo António e, até 2022, membro do colégio da competência em emergência médica da Ordem dos Médicos. É ainda presidente do Comité Europeu de Acreditação do Ensino e Treino em Anestesiologia e Cuidados Intensivos, da Sociedade Europeia de Anestesiologia e Cuidados Intensivos. É mestre em Gestão de Saúde pela Escola Nacional de Saúde Pública e doutorado em Ciências Médicas pela Universidade do Porto, com grau de agregação pela mesma Universidade. É professor catedrático convidado do Instituto de Ciências Biomédicas Abel Salazar;</v>
      </c>
      <c r="F123" s="3" t="str"/>
      <c r="G123" s="20"/>
      <c r="H123" s="20"/>
      <c r="I123" s="3" t="str">
        <v>No uniquely dated deadline derivable from this clause; cadence or trigger is preserved.</v>
      </c>
      <c r="J123" s="3" t="str">
        <v>https://diariodarepublica.pt/dr/detalhe/despacho/12072-2024-890791826</v>
      </c>
      <c r="K123" s="3" t="str">
        <v>No dated delivery evidence identified.</v>
      </c>
    </row>
    <row r="124" ht="90" customHeight="1">
      <c r="A124" s="3" t="str">
        <v>GT-2024-034-D02</v>
      </c>
      <c r="B124" s="3" t="str">
        <v>GT-2024-034</v>
      </c>
      <c r="C124" s="3" t="str">
        <v>f) Dr. Paulo Manuel de Valle-Flôr Telles de Freitas, especialista em medicina intensiva pela Ordem d</v>
      </c>
      <c r="D124" s="3" t="str">
        <v>Deliverable / duration</v>
      </c>
      <c r="E124" s="3" t="str">
        <v>f) Dr. Paulo Manuel de Valle-Flôr Telles de Freitas, especialista em medicina intensiva pela Ordem dos Médicos, com competência em emergência médica, assistente livre da Faculdade de Medicina da Universidade de Lisboa da cadeira de Medicina Intensiva. Foi diretor da Urgência Geral do Hospital Professor Doutor Fernando da Fonseca até 2020 e é, desde junho de 2023, diretor clínico adjunto, desde 1996, diretor da Unidade de Cuidados Intensivos Polivalente e, desde 2003, chefe de Serviço de Medicina Interna da Carreira Médica do mesmo Hospital. Foi eleito pelos pares para o colégio de competência de emergência médica da Ordem dos Médicos.</v>
      </c>
      <c r="F124" s="3" t="str"/>
      <c r="G124" s="20"/>
      <c r="H124" s="20"/>
      <c r="I124" s="3" t="str">
        <v>No uniquely dated deadline derivable from this clause; cadence or trigger is preserved.</v>
      </c>
      <c r="J124" s="3" t="str">
        <v>https://diariodarepublica.pt/dr/detalhe/despacho/12072-2024-890791826</v>
      </c>
      <c r="K124" s="3" t="str">
        <v>No dated delivery evidence identified.</v>
      </c>
    </row>
    <row r="125" ht="90" customHeight="1">
      <c r="A125" s="3" t="str">
        <v>GT-2024-034-D03</v>
      </c>
      <c r="B125" s="3" t="str">
        <v>GT-2024-034</v>
      </c>
      <c r="C125" s="3" t="str">
        <v>4 - No prazo máximo de 90 dias após a entrada em vigor do presente despacho, o grupo de trabalho rem</v>
      </c>
      <c r="D125" s="3" t="str">
        <v>Deliverable / duration</v>
      </c>
      <c r="E125" s="3" t="str">
        <v>4 - No prazo máximo de 90 dias após a entrada em vigor do presente despacho, o grupo de trabalho remete ao meu Gabinete, um relatório final, com os resultados do trabalho realizado e a formulação de propostas para dar cumprimento ao previsto no n.º 1.</v>
      </c>
      <c r="F125" s="3" t="str">
        <v>Entry into force 2024-10-15</v>
      </c>
      <c r="G125" s="20" t="d">
        <v>2025-01-13T00:00:00.000Z</v>
      </c>
      <c r="H125" s="20" t="d">
        <v>2025-02-21T00:00:00.000Z</v>
      </c>
      <c r="I125" s="3" t="str">
        <v>2024-10-15 + 90 calendar days (monitoring convention). If CPA procedural counting applies: 2025-02-21.</v>
      </c>
      <c r="J125" s="3" t="str">
        <v>https://diariodarepublica.pt/dr/detalhe/despacho/12072-2024-890791826</v>
      </c>
      <c r="K125" s="3" t="str">
        <v>No dated delivery evidence identified.</v>
      </c>
    </row>
    <row r="126" ht="90" customHeight="1">
      <c r="A126" s="3" t="str">
        <v>GT-2024-034-D04</v>
      </c>
      <c r="B126" s="3" t="str">
        <v>GT-2024-034</v>
      </c>
      <c r="C126" s="3" t="str">
        <v>Final report / last specified substantive output</v>
      </c>
      <c r="D126" s="3" t="str">
        <v>Status benchmark</v>
      </c>
      <c r="E126" s="3" t="str"/>
      <c r="F126" s="3" t="str"/>
      <c r="G126" s="20" t="d">
        <v>2025-01-13T00:00:00.000Z</v>
      </c>
      <c r="H126" s="20" t="d">
        <v>2025-02-21T00:00:00.000Z</v>
      </c>
      <c r="I126" s="3" t="str">
        <v>effective 2024-10-15 + 90 calendar days; plain “dias” benchmark. Alternative working-day date: 2025-02-21.</v>
      </c>
      <c r="J126" s="3" t="str">
        <v>https://diariodarepublica.pt/dr/detalhe/despacho/12072-2024-890791826</v>
      </c>
      <c r="K126" s="3" t="str">
        <v>Em atraso — Controlling benchmark has passed; no evidence of this output’s delivery identified in the reviewed acts and focused official-source outcome search.</v>
      </c>
    </row>
    <row r="127" ht="90" customHeight="1">
      <c r="A127" s="3" t="str">
        <v>GT-2024-035-D01</v>
      </c>
      <c r="B127" s="3" t="str">
        <v>GT-2024-035</v>
      </c>
      <c r="C127" s="3" t="str">
        <v>5 - Os representantes das entidades referidas nos n.os 2 e 3 são designados no prazo máximo de cinco</v>
      </c>
      <c r="D127" s="3" t="str">
        <v>Appointments / planning</v>
      </c>
      <c r="E127" s="3" t="str">
        <v>5 - Os representantes das entidades referidas nos n.os 2 e 3 são designados no prazo máximo de cinco dias úteis, a contar da data da entrada em vigor do presente despacho.</v>
      </c>
      <c r="F127" s="3" t="str">
        <v>Entry into force 2024-10-18</v>
      </c>
      <c r="G127" s="20" t="d">
        <v>2024-10-25T00:00:00.000Z</v>
      </c>
      <c r="H127" s="20"/>
      <c r="I127" s="3" t="str">
        <v>2024-10-18 + 5 working days; anchor excluded, weekends and national statutory holidays excluded.</v>
      </c>
      <c r="J127" s="3" t="str">
        <v>https://diariodarepublica.pt/dr/detalhe/despacho/12293-2024-891174394</v>
      </c>
      <c r="K127" s="3" t="str">
        <v>No dated delivery evidence identified.</v>
      </c>
    </row>
    <row r="128" ht="90" customHeight="1">
      <c r="A128" s="3" t="str">
        <v>GT-2024-035-D02</v>
      </c>
      <c r="B128" s="3" t="str">
        <v>GT-2024-035</v>
      </c>
      <c r="C128" s="3" t="str">
        <v>7 - O grupo de trabalho apresenta o plano a que se refere o n.º 1 até ao dia 8 de janeiro de 2025.</v>
      </c>
      <c r="D128" s="3" t="str">
        <v>Deliverable / duration</v>
      </c>
      <c r="E128" s="3" t="str">
        <v>7 - O grupo de trabalho apresenta o plano a que se refere o n.º 1 até ao dia 8 de janeiro de 2025.</v>
      </c>
      <c r="F128" s="3" t="str"/>
      <c r="G128" s="20" t="d">
        <v>2025-01-08T00:00:00.000Z</v>
      </c>
      <c r="H128" s="20"/>
      <c r="I128" s="3" t="str">
        <v>Explicit calendar date in the act.</v>
      </c>
      <c r="J128" s="3" t="str">
        <v>https://diariodarepublica.pt/dr/detalhe/despacho/12293-2024-891174394</v>
      </c>
      <c r="K128" s="3" t="str">
        <v>No dated delivery evidence identified.</v>
      </c>
    </row>
    <row r="129" ht="90" customHeight="1">
      <c r="A129" s="3" t="str">
        <v>GT-2024-035-D03</v>
      </c>
      <c r="B129" s="3" t="str">
        <v>GT-2024-035</v>
      </c>
      <c r="C129" s="3" t="str">
        <v>Final report / last specified substantive output</v>
      </c>
      <c r="D129" s="3" t="str">
        <v>Status benchmark</v>
      </c>
      <c r="E129" s="3" t="str"/>
      <c r="F129" s="3" t="str"/>
      <c r="G129" s="20" t="d">
        <v>2025-01-08T00:00:00.000Z</v>
      </c>
      <c r="H129" s="20"/>
      <c r="I129" s="3" t="str">
        <v>Fixed date / explicit year-end in creating act.</v>
      </c>
      <c r="J129" s="3" t="str">
        <v>https://diariodarepublica.pt/dr/detalhe/despacho/12293-2024-891174394</v>
      </c>
      <c r="K129" s="3" t="str">
        <v>Em atraso — Controlling benchmark has passed; no evidence of this output’s delivery identified in the reviewed acts and focused official-source outcome search.</v>
      </c>
    </row>
    <row r="130" ht="90" customHeight="1">
      <c r="A130" s="3" t="str">
        <v>GT-2024-036-D01</v>
      </c>
      <c r="B130" s="3" t="str">
        <v>GT-2024-036</v>
      </c>
      <c r="C130" s="3" t="str">
        <v>1 - É criado um grupo de trabalho com o objetivo de, até 31 de janeiro de 2025, apresentar conclusõe</v>
      </c>
      <c r="D130" s="3" t="str">
        <v>Deliverable / duration</v>
      </c>
      <c r="E130" s="3" t="str">
        <v>1 - É criado um grupo de trabalho com o objetivo de, até 31 de janeiro de 2025, apresentar conclusões e recomendações de alteração ao Decreto Regulamentar n.º 3/2016, de 23 de agosto, com vista a obter-se uma maior eficácia na concessão do subsídio de educação especial.</v>
      </c>
      <c r="F130" s="3" t="str"/>
      <c r="G130" s="20" t="d">
        <v>2025-01-31T00:00:00.000Z</v>
      </c>
      <c r="H130" s="20"/>
      <c r="I130" s="3" t="str">
        <v>Explicit calendar date in the act.</v>
      </c>
      <c r="J130" s="3" t="str">
        <v>https://diariodarepublica.pt/dr/detalhe/despacho/12645-2024-892306790</v>
      </c>
      <c r="K130" s="3" t="str">
        <v>No dated delivery evidence identified.</v>
      </c>
    </row>
    <row r="131" ht="90" customHeight="1">
      <c r="A131" s="3" t="str">
        <v>GT-2024-036-D02</v>
      </c>
      <c r="B131" s="3" t="str">
        <v>GT-2024-036</v>
      </c>
      <c r="C131" s="3" t="str">
        <v>3 - Os representantes designados no número anterior escolherão na primeira reunião, entre si, o coor</v>
      </c>
      <c r="D131" s="3" t="str">
        <v>Appointments / planning</v>
      </c>
      <c r="E131" s="3" t="str">
        <v>3 - Os representantes designados no número anterior escolherão na primeira reunião, entre si, o coordenador, bem como o relator das conclusões e recomendações que venham a sair do estudo a elaborar.</v>
      </c>
      <c r="F131" s="3" t="str"/>
      <c r="G131" s="20"/>
      <c r="H131" s="20"/>
      <c r="I131" s="3" t="str">
        <v>No uniquely dated deadline derivable from this clause; cadence or trigger is preserved.</v>
      </c>
      <c r="J131" s="3" t="str">
        <v>https://diariodarepublica.pt/dr/detalhe/despacho/12645-2024-892306790</v>
      </c>
      <c r="K131" s="3" t="str">
        <v>No dated delivery evidence identified.</v>
      </c>
    </row>
    <row r="132" ht="90" customHeight="1">
      <c r="A132" s="3" t="str">
        <v>GT-2024-036-D03</v>
      </c>
      <c r="B132" s="3" t="str">
        <v>GT-2024-036</v>
      </c>
      <c r="C132" s="3" t="str">
        <v>6 - Os representantes das entidades referidas no n.º 2 são designados no prazo máximo de 10 dias apó</v>
      </c>
      <c r="D132" s="3" t="str">
        <v>Appointments / planning</v>
      </c>
      <c r="E132" s="3" t="str">
        <v>6 - Os representantes das entidades referidas no n.º 2 são designados no prazo máximo de 10 dias após a data de entrada em vigor do presente despacho.</v>
      </c>
      <c r="F132" s="3" t="str">
        <v>Entry into force 2024-10-23</v>
      </c>
      <c r="G132" s="20" t="d">
        <v>2024-11-02T00:00:00.000Z</v>
      </c>
      <c r="H132" s="20" t="d">
        <v>2024-11-07T00:00:00.000Z</v>
      </c>
      <c r="I132" s="3" t="str">
        <v>2024-10-23 + 10 calendar days (monitoring convention). If CPA procedural counting applies: 2024-11-07.</v>
      </c>
      <c r="J132" s="3" t="str">
        <v>https://diariodarepublica.pt/dr/detalhe/despacho/12645-2024-892306790</v>
      </c>
      <c r="K132" s="3" t="str">
        <v>No dated delivery evidence identified.</v>
      </c>
    </row>
    <row r="133" ht="90" customHeight="1">
      <c r="A133" s="3" t="str">
        <v>GT-2024-036-D04</v>
      </c>
      <c r="B133" s="3" t="str">
        <v>GT-2024-036</v>
      </c>
      <c r="C133" s="3" t="str">
        <v>Final report / last specified substantive output</v>
      </c>
      <c r="D133" s="3" t="str">
        <v>Status benchmark</v>
      </c>
      <c r="E133" s="3" t="str"/>
      <c r="F133" s="3" t="str"/>
      <c r="G133" s="20" t="d">
        <v>2025-01-31T00:00:00.000Z</v>
      </c>
      <c r="H133" s="20"/>
      <c r="I133" s="3" t="str">
        <v>Fixed date / explicit year-end in creating act.</v>
      </c>
      <c r="J133" s="3" t="str">
        <v>https://diariodarepublica.pt/dr/detalhe/despacho/12645-2024-892306790</v>
      </c>
      <c r="K133" s="3" t="str">
        <v>Em atraso — Controlling benchmark has passed; no evidence of this output’s delivery identified in the reviewed acts and focused official-source outcome search.</v>
      </c>
    </row>
    <row r="134" ht="90" customHeight="1">
      <c r="A134" s="3" t="str">
        <v>GT-2024-037-D01</v>
      </c>
      <c r="B134" s="3" t="str">
        <v>GT-2024-037</v>
      </c>
      <c r="C134" s="3" t="str">
        <v>8 - No prazo de 30 dias após entrada em vigor deste despacho será publicado o regulamento de funcion</v>
      </c>
      <c r="D134" s="3" t="str">
        <v>Deliverable / duration</v>
      </c>
      <c r="E134" s="3" t="str">
        <v>8 - No prazo de 30 dias após entrada em vigor deste despacho será publicado o regulamento de funcionamento do Grupo de Trabalho, da Comissão de Acompanhamento e da Rede de Conhecimento para o Restauro da Natureza, prevendo também as interações entre estes órgãos.</v>
      </c>
      <c r="F134" s="3" t="str">
        <v>Entry into force 2024-10-18</v>
      </c>
      <c r="G134" s="20" t="d">
        <v>2024-11-17T00:00:00.000Z</v>
      </c>
      <c r="H134" s="20" t="d">
        <v>2024-12-02T00:00:00.000Z</v>
      </c>
      <c r="I134" s="3" t="str">
        <v>2024-10-18 + 30 calendar days (monitoring convention). If CPA procedural counting applies: 2024-12-02.</v>
      </c>
      <c r="J134" s="3" t="str">
        <v>https://diariodarepublica.pt/dr/detalhe/despacho/12734-2024-892664373</v>
      </c>
      <c r="K134" s="3" t="str">
        <v>No dated delivery evidence identified.</v>
      </c>
    </row>
    <row r="135" ht="90" customHeight="1">
      <c r="A135" s="3" t="str">
        <v>GT-2024-037-D02</v>
      </c>
      <c r="B135" s="3" t="str">
        <v>GT-2024-037</v>
      </c>
      <c r="C135" s="3" t="str">
        <v>12 - O projeto de Plano Nacional de Restauro deve ser submetido à Comissão Europeia dentro do prazo </v>
      </c>
      <c r="D135" s="3" t="str">
        <v>Deliverable / duration</v>
      </c>
      <c r="E135" s="3" t="str">
        <v>12 - O projeto de Plano Nacional de Restauro deve ser submetido à Comissão Europeia dentro do prazo regulamentar definido, ou seja, até 18 de agosto de 2026.</v>
      </c>
      <c r="F135" s="3" t="str"/>
      <c r="G135" s="20" t="d">
        <v>2026-08-18T00:00:00.000Z</v>
      </c>
      <c r="H135" s="20"/>
      <c r="I135" s="3" t="str">
        <v>Explicit calendar date in the act.</v>
      </c>
      <c r="J135" s="3" t="str">
        <v>https://diariodarepublica.pt/dr/detalhe/despacho/12734-2024-892664373</v>
      </c>
      <c r="K135" s="3" t="str">
        <v>No dated delivery evidence identified.</v>
      </c>
    </row>
    <row r="136" ht="90" customHeight="1">
      <c r="A136" s="3" t="str">
        <v>GT-2024-037-D03</v>
      </c>
      <c r="B136" s="3" t="str">
        <v>GT-2024-037</v>
      </c>
      <c r="C136" s="3" t="str">
        <v>Final report / last specified substantive output</v>
      </c>
      <c r="D136" s="3" t="str">
        <v>Status benchmark</v>
      </c>
      <c r="E136" s="3" t="str"/>
      <c r="F136" s="3" t="str"/>
      <c r="G136" s="20" t="d">
        <v>2026-08-18T00:00:00.000Z</v>
      </c>
      <c r="H136" s="20"/>
      <c r="I136" s="3" t="str">
        <v>Fixed date / explicit year-end in creating act.</v>
      </c>
      <c r="J136" s="3" t="str">
        <v>https://diariodarepublica.pt/dr/detalhe/despacho/12734-2024-892664373</v>
      </c>
      <c r="K136" s="3" t="str">
        <v>Concluído com atraso — Clause 12 requires submission to the European Commission by 18 August 2026; the official submission on 28 August was 10 days later.</v>
      </c>
    </row>
    <row r="137" ht="90" customHeight="1">
      <c r="A137" s="3" t="str">
        <v>GT-2024-038-D01</v>
      </c>
      <c r="B137" s="3" t="str">
        <v>GT-2024-038</v>
      </c>
      <c r="C137" s="3" t="str">
        <v>3 - O grupo de trabalho constituído pelo presente despacho, deve, no cumprimento dos seus objetivos,</v>
      </c>
      <c r="D137" s="3" t="str">
        <v>Deliverable / duration</v>
      </c>
      <c r="E137" s="3" t="str">
        <v>3 - O grupo de trabalho constituído pelo presente despacho, deve, no cumprimento dos seus objetivos, e no prazo de 180 dias após a entrada em vigor do presente despacho, produzir documento(s) que reflita(m) a análise desenvolvida e as conclusões alcançadas, bem como propostas concretas de alterações legislativas que considere necessárias, incluindo a identificação da entidade ou das entidades, a designar como autoridade ou autoridades competentes SoHO.</v>
      </c>
      <c r="F137" s="3" t="str">
        <v>Entry into force 2024-11-01</v>
      </c>
      <c r="G137" s="20" t="d">
        <v>2025-04-30T00:00:00.000Z</v>
      </c>
      <c r="H137" s="20" t="d">
        <v>2025-07-22T00:00:00.000Z</v>
      </c>
      <c r="I137" s="3" t="str">
        <v>2024-11-01 + 180 calendar days (monitoring convention). If CPA procedural counting applies: 2025-07-22.</v>
      </c>
      <c r="J137" s="3" t="str">
        <v>https://diariodarepublica.pt/dr/detalhe/despacho/12964-2024-894207815</v>
      </c>
      <c r="K137" s="3" t="str">
        <v>No dated delivery evidence identified.</v>
      </c>
    </row>
    <row r="138" ht="90" customHeight="1">
      <c r="A138" s="3" t="str">
        <v>GT-2024-038-D02</v>
      </c>
      <c r="B138" s="3" t="str">
        <v>GT-2024-038</v>
      </c>
      <c r="C138" s="3" t="str">
        <v>Final report / last specified substantive output</v>
      </c>
      <c r="D138" s="3" t="str">
        <v>Status benchmark</v>
      </c>
      <c r="E138" s="3" t="str"/>
      <c r="F138" s="3" t="str"/>
      <c r="G138" s="20" t="d">
        <v>2025-04-30T00:00:00.000Z</v>
      </c>
      <c r="H138" s="20" t="d">
        <v>2025-07-22T00:00:00.000Z</v>
      </c>
      <c r="I138" s="3" t="str">
        <v>effective 2024-11-01 + 180 calendar days; plain “dias” benchmark. Alternative working-day date: 2025-07-22.</v>
      </c>
      <c r="J138" s="3" t="str">
        <v>https://diariodarepublica.pt/dr/detalhe/despacho/12964-2024-894207815</v>
      </c>
      <c r="K138" s="3" t="str">
        <v>Em atraso — Controlling benchmark has passed; no evidence of this output’s delivery identified in the reviewed acts and focused official-source outcome search.</v>
      </c>
    </row>
    <row r="139" ht="90" customHeight="1">
      <c r="A139" s="3" t="str">
        <v>GT-2024-040-D01</v>
      </c>
      <c r="B139" s="3" t="str">
        <v>GT-2024-040</v>
      </c>
      <c r="C139" s="3" t="str">
        <v>5 - O grupo de trabalho deve apresentar um relatório no prazo de 60 dias contados a partir da data d</v>
      </c>
      <c r="D139" s="3" t="str">
        <v>Deliverable / duration</v>
      </c>
      <c r="E139" s="3" t="str">
        <v>5 - O grupo de trabalho deve apresentar um relatório no prazo de 60 dias contados a partir da data da publicação do presente despacho.</v>
      </c>
      <c r="F139" s="3" t="str">
        <v>Publication 2024-11-11</v>
      </c>
      <c r="G139" s="20" t="d">
        <v>2025-01-10T00:00:00.000Z</v>
      </c>
      <c r="H139" s="20" t="d">
        <v>2025-02-05T00:00:00.000Z</v>
      </c>
      <c r="I139" s="3" t="str">
        <v>2024-11-11 + 60 calendar days (monitoring convention). If CPA procedural counting applies: 2025-02-05.</v>
      </c>
      <c r="J139" s="3" t="str">
        <v>https://diariodarepublica.pt/dr/detalhe/despacho/13355-2024-896165054</v>
      </c>
      <c r="K139" s="3" t="str">
        <v>No dated delivery evidence identified.</v>
      </c>
    </row>
    <row r="140" ht="90" customHeight="1">
      <c r="A140" s="3" t="str">
        <v>GT-2024-040-D02</v>
      </c>
      <c r="B140" s="3" t="str">
        <v>GT-2024-040</v>
      </c>
      <c r="C140" s="3" t="str">
        <v>6 - O prazo do número anterior pode ser prorrogado sob proposta fundamentada da coordenadora do grup</v>
      </c>
      <c r="D140" s="3" t="str">
        <v>Deliverable / duration</v>
      </c>
      <c r="E140" s="3" t="str">
        <v>6 - O prazo do número anterior pode ser prorrogado sob proposta fundamentada da coordenadora do grupo de trabalho.</v>
      </c>
      <c r="F140" s="3" t="str"/>
      <c r="G140" s="20"/>
      <c r="H140" s="20"/>
      <c r="I140" s="3" t="str">
        <v>No uniquely dated deadline derivable from this clause; cadence or trigger is preserved.</v>
      </c>
      <c r="J140" s="3" t="str">
        <v>https://diariodarepublica.pt/dr/detalhe/despacho/13355-2024-896165054</v>
      </c>
      <c r="K140" s="3" t="str">
        <v>No dated delivery evidence identified.</v>
      </c>
    </row>
    <row r="141" ht="90" customHeight="1">
      <c r="A141" s="3" t="str">
        <v>GT-2024-040-D03</v>
      </c>
      <c r="B141" s="3" t="str">
        <v>GT-2024-040</v>
      </c>
      <c r="C141" s="3" t="str">
        <v>Final report / last specified substantive output</v>
      </c>
      <c r="D141" s="3" t="str">
        <v>Status benchmark</v>
      </c>
      <c r="E141" s="3" t="str"/>
      <c r="F141" s="3" t="str"/>
      <c r="G141" s="20" t="d">
        <v>2025-01-10T00:00:00.000Z</v>
      </c>
      <c r="H141" s="20" t="d">
        <v>2025-02-05T00:00:00.000Z</v>
      </c>
      <c r="I141" s="3" t="str">
        <v>published 2024-11-11 + 60 calendar days; plain “dias” benchmark. Alternative working-day date: 2025-02-05.</v>
      </c>
      <c r="J141" s="3" t="str">
        <v>https://diariodarepublica.pt/dr/detalhe/despacho/13355-2024-896165054</v>
      </c>
      <c r="K141" s="3" t="str">
        <v>Em atraso — Controlling benchmark has passed; no evidence of this output’s delivery identified in the reviewed acts and focused official-source outcome search.</v>
      </c>
    </row>
    <row r="142" ht="90" customHeight="1">
      <c r="A142" s="3" t="str">
        <v>GT-2024-041-D01</v>
      </c>
      <c r="B142" s="3" t="str">
        <v>GT-2024-041</v>
      </c>
      <c r="C142" s="3" t="str">
        <v>5 - O grupo de trabalho reúne com periodicidade semanal e, extraordinariamente, sempre que seja cons</v>
      </c>
      <c r="D142" s="3" t="str">
        <v>Periodic / conditional</v>
      </c>
      <c r="E142" s="3" t="str">
        <v>5 - O grupo de trabalho reúne com periodicidade semanal e, extraordinariamente, sempre que seja considerado necessário, podendo organizar-se em subequipas para abordar temas específicos.</v>
      </c>
      <c r="F142" s="3" t="str"/>
      <c r="G142" s="20"/>
      <c r="H142" s="20"/>
      <c r="I142" s="3" t="str">
        <v>No uniquely dated deadline derivable from this clause; cadence or trigger is preserved.</v>
      </c>
      <c r="J142" s="3" t="str">
        <v>https://diariodarepublica.pt/dr/detalhe/despacho/13583-2024-896828793</v>
      </c>
      <c r="K142" s="3" t="str">
        <v>No dated delivery evidence identified.</v>
      </c>
    </row>
    <row r="143" ht="90" customHeight="1">
      <c r="A143" s="3" t="str">
        <v>GT-2024-042-D01</v>
      </c>
      <c r="B143" s="3" t="str">
        <v>GT-2024-042</v>
      </c>
      <c r="C143" s="3" t="str">
        <v>2 - Que o presente Grupo de Trabalho deverá apresentar, até ao dia 31 de janeiro de 2025, o referido</v>
      </c>
      <c r="D143" s="3" t="str">
        <v>Deliverable / duration</v>
      </c>
      <c r="E143" s="3" t="str">
        <v>2 - Que o presente Grupo de Trabalho deverá apresentar, até ao dia 31 de janeiro de 2025, o referido Plano Estratégico;</v>
      </c>
      <c r="F143" s="3" t="str"/>
      <c r="G143" s="20" t="d">
        <v>2025-01-31T00:00:00.000Z</v>
      </c>
      <c r="H143" s="20"/>
      <c r="I143" s="3" t="str">
        <v>Explicit calendar date in the act.</v>
      </c>
      <c r="J143" s="3" t="str">
        <v>https://diariodarepublica.pt/dr/detalhe/despacho/13786-2024-897217652</v>
      </c>
      <c r="K143" s="3" t="str">
        <v>No dated delivery evidence identified.</v>
      </c>
    </row>
    <row r="144" ht="90" customHeight="1">
      <c r="A144" s="3" t="str">
        <v>GT-2024-042-D02</v>
      </c>
      <c r="B144" s="3" t="str">
        <v>GT-2024-042</v>
      </c>
      <c r="C144" s="3" t="str">
        <v>9 - Na primeira reunião, o conselho diretivo do IGFEJ proporá ao Grupo de Trabalho, para decisão, a </v>
      </c>
      <c r="D144" s="3" t="str">
        <v>Deliverable / duration</v>
      </c>
      <c r="E144" s="3" t="str">
        <v>9 - Na primeira reunião, o conselho diretivo do IGFEJ proporá ao Grupo de Trabalho, para decisão, a calendarização das matérias a ser analisadas em cada reunião.</v>
      </c>
      <c r="F144" s="3" t="str"/>
      <c r="G144" s="20"/>
      <c r="H144" s="20"/>
      <c r="I144" s="3" t="str">
        <v>No uniquely dated deadline derivable from this clause; cadence or trigger is preserved.</v>
      </c>
      <c r="J144" s="3" t="str">
        <v>https://diariodarepublica.pt/dr/detalhe/despacho/13786-2024-897217652</v>
      </c>
      <c r="K144" s="3" t="str">
        <v>No dated delivery evidence identified.</v>
      </c>
    </row>
    <row r="145" ht="90" customHeight="1">
      <c r="A145" s="3" t="str">
        <v>GT-2024-042-D03</v>
      </c>
      <c r="B145" s="3" t="str">
        <v>GT-2024-042</v>
      </c>
      <c r="C145" s="3" t="str">
        <v>Final report / last specified substantive output</v>
      </c>
      <c r="D145" s="3" t="str">
        <v>Status benchmark</v>
      </c>
      <c r="E145" s="3" t="str"/>
      <c r="F145" s="3" t="str"/>
      <c r="G145" s="20" t="d">
        <v>2025-01-31T00:00:00.000Z</v>
      </c>
      <c r="H145" s="20"/>
      <c r="I145" s="3" t="str">
        <v>Fixed date / explicit year-end in creating act.</v>
      </c>
      <c r="J145" s="3" t="str">
        <v>https://diariodarepublica.pt/dr/detalhe/despacho/13786-2024-897217652</v>
      </c>
      <c r="K145" s="3" t="str">
        <v>Em atraso — Controlling benchmark has passed; no evidence of this output’s delivery identified in the reviewed acts and focused official-source outcome search.</v>
      </c>
    </row>
    <row r="146" ht="90" customHeight="1">
      <c r="A146" s="3" t="str">
        <v>GT-2024-042-D04</v>
      </c>
      <c r="B146" s="3" t="str">
        <v>GT-2024-042</v>
      </c>
      <c r="C146" s="3" t="str">
        <v>Extended controlling deadline</v>
      </c>
      <c r="D146" s="3" t="str">
        <v>Formal extension</v>
      </c>
      <c r="E146" s="3" t="str">
        <v>1 - O presente despacho procede à alteração do Despacho n.º 13786/2024, de 21 de novembro.
2 - O n.º 2 do Despacho n.º 13786/2024, de 21 de novembro, passa a ter a seguinte redação:
«Que o presente Grupo de Trabalho deverá apresentar, até ao dia 31 de março de 2025, o referido Plano Estratégico.»
3 - O presente despacho entra em vigor no dia seguinte ao da sua publicação.
19 de dezembro de 2024. - A Secretária de Estado da Justiça, Maria José Dias da Mota Magalhães de Barros.
318500119
A
A</v>
      </c>
      <c r="F146" s="3" t="str"/>
      <c r="G146" s="20" t="d">
        <v>2025-03-31T00:00:00.000Z</v>
      </c>
      <c r="H146" s="20"/>
      <c r="I146" s="3" t="str">
        <v>Formal extension: Despacho n.º 35/2025, de 2 de janeiro — https://diariodarepublica.pt/dr/detalhe/despacho/35-2025-901693477</v>
      </c>
      <c r="J146" s="3" t="str">
        <v>https://diariodarepublica.pt/dr/detalhe/despacho/35-2025-901693477</v>
      </c>
      <c r="K146" s="3" t="str">
        <v>No dated delivery evidence identified.</v>
      </c>
    </row>
    <row r="147" ht="90" customHeight="1">
      <c r="A147" s="3" t="str">
        <v>GT-2024-043-D01</v>
      </c>
      <c r="B147" s="3" t="str">
        <v>GT-2024-043</v>
      </c>
      <c r="C147" s="3" t="str">
        <v>6 - O grupo de trabalho tem a duração de 12 meses, devendo, no termo desse prazo, apresentar aos mem</v>
      </c>
      <c r="D147" s="3" t="str">
        <v>Deliverable / duration</v>
      </c>
      <c r="E147" s="3" t="str">
        <v>6 - O grupo de trabalho tem a duração de 12 meses, devendo, no termo desse prazo, apresentar aos membros do Governo o anteprojeto de diploma e um relatório dos trabalhos.</v>
      </c>
      <c r="F147" s="3" t="str"/>
      <c r="G147" s="20"/>
      <c r="H147" s="20"/>
      <c r="I147" s="3" t="str">
        <v>12 meses after trigger: anchor not expressly specified; exact date cannot be verified.</v>
      </c>
      <c r="J147" s="3" t="str">
        <v>https://diariodarepublica.pt/dr/detalhe/despacho/13890-2024-897660800</v>
      </c>
      <c r="K147" s="3" t="str">
        <v>No dated delivery evidence identified.</v>
      </c>
    </row>
    <row r="148" ht="90" customHeight="1">
      <c r="A148" s="3" t="str">
        <v>GT-2024-043-D02</v>
      </c>
      <c r="B148" s="3" t="str">
        <v>GT-2024-043</v>
      </c>
      <c r="C148" s="3" t="str">
        <v>Final report / last specified substantive output</v>
      </c>
      <c r="D148" s="3" t="str">
        <v>Status benchmark</v>
      </c>
      <c r="E148" s="3" t="str"/>
      <c r="F148" s="3" t="str"/>
      <c r="G148" s="20" t="d">
        <v>2025-11-15T00:00:00.000Z</v>
      </c>
      <c r="H148" s="20"/>
      <c r="I148" s="3" t="str">
        <v>effective 2024-11-15 + 12 calendar months (anniversary rule).</v>
      </c>
      <c r="J148" s="3" t="str">
        <v>https://diariodarepublica.pt/dr/detalhe/despacho/13890-2024-897660800</v>
      </c>
      <c r="K148" s="3" t="str">
        <v>Em atraso — Controlling benchmark has passed; no evidence of this output’s delivery identified in the reviewed acts and focused official-source outcome search.</v>
      </c>
    </row>
    <row r="149" ht="90" customHeight="1">
      <c r="A149" s="3" t="str">
        <v>GT-2024-044-D01</v>
      </c>
      <c r="B149" s="3" t="str">
        <v>GT-2024-044</v>
      </c>
      <c r="C149" s="3" t="str">
        <v>6 - O grupo de trabalho, nas pessoas dos seus membros permanentes, terá como objetivo submeter à Sec</v>
      </c>
      <c r="D149" s="3" t="str">
        <v>Deliverable / duration</v>
      </c>
      <c r="E149" s="3" t="str">
        <v>6 - O grupo de trabalho, nas pessoas dos seus membros permanentes, terá como objetivo submeter à Secretária de Estado, no prazo de 4 meses a contar da data do presente despacho, um relatório final, contendo:</v>
      </c>
      <c r="F149" s="3" t="str"/>
      <c r="G149" s="20"/>
      <c r="H149" s="20"/>
      <c r="I149" s="3" t="str">
        <v>4 meses after trigger: anchor not expressly specified; exact date cannot be verified.</v>
      </c>
      <c r="J149" s="3" t="str">
        <v>https://diariodarepublica.pt/dr/detalhe/despacho/13946-2024-897796652</v>
      </c>
      <c r="K149" s="3" t="str">
        <v>No dated delivery evidence identified.</v>
      </c>
    </row>
    <row r="150" ht="90" customHeight="1">
      <c r="A150" s="3" t="str">
        <v>GT-2024-044-D02</v>
      </c>
      <c r="B150" s="3" t="str">
        <v>GT-2024-044</v>
      </c>
      <c r="C150" s="3" t="str">
        <v>Final report / last specified substantive output</v>
      </c>
      <c r="D150" s="3" t="str">
        <v>Status benchmark</v>
      </c>
      <c r="E150" s="3" t="str"/>
      <c r="F150" s="3" t="str"/>
      <c r="G150" s="20" t="d">
        <v>2025-03-18T00:00:00.000Z</v>
      </c>
      <c r="H150" s="20"/>
      <c r="I150" s="3" t="str">
        <v>signed 2024-11-18 + 4 calendar months (anniversary rule).</v>
      </c>
      <c r="J150" s="3" t="str">
        <v>https://diariodarepublica.pt/dr/detalhe/despacho/13946-2024-897796652</v>
      </c>
      <c r="K150" s="3" t="str">
        <v>Em atraso — Controlling benchmark has passed; no evidence of this output’s delivery identified in the reviewed acts and focused official-source outcome search.</v>
      </c>
    </row>
    <row r="151" ht="90" customHeight="1">
      <c r="A151" s="3" t="str">
        <v>GT-2024-045-D01</v>
      </c>
      <c r="B151" s="3" t="str">
        <v>GT-2024-045</v>
      </c>
      <c r="C151" s="3" t="str">
        <v>1 - É criado o grupo de trabalho multidisciplinar denominado «Grupo de Trabalho para os Resíduos», d</v>
      </c>
      <c r="D151" s="3" t="str">
        <v>Deliverable / duration</v>
      </c>
      <c r="E151" s="3" t="str">
        <v>1 - É criado o grupo de trabalho multidisciplinar denominado «Grupo de Trabalho para os Resíduos», doravante Grupo de Trabalho, com a missão de desenvolver o Plano de Emergência de Aterros e a estratégia a médio prazo no que diz respeito à gestão dos resíduos urbanos e não urbanos.</v>
      </c>
      <c r="F151" s="3" t="str"/>
      <c r="G151" s="20"/>
      <c r="H151" s="20"/>
      <c r="I151" s="3" t="str">
        <v>No uniquely dated deadline derivable from this clause; cadence or trigger is preserved.</v>
      </c>
      <c r="J151" s="3" t="str">
        <v>https://diariodarepublica.pt/dr/detalhe/despacho/14013-a-2024-897796612</v>
      </c>
      <c r="K151" s="3" t="str">
        <v>No dated delivery evidence identified.</v>
      </c>
    </row>
    <row r="152" ht="90" customHeight="1">
      <c r="A152" s="3" t="str">
        <v>GT-2024-045-D02</v>
      </c>
      <c r="B152" s="3" t="str">
        <v>GT-2024-045</v>
      </c>
      <c r="C152" s="3" t="str">
        <v>f) Desenvolver a estratégia a médio prazo de gestão da fração residual de resíduos urbanos («fração </v>
      </c>
      <c r="D152" s="3" t="str">
        <v>Deliverable / duration</v>
      </c>
      <c r="E152" s="3" t="str">
        <v>f) Desenvolver a estratégia a médio prazo de gestão da fração residual de resíduos urbanos («fração resto»), para garantir o desvio de resíduos a confinar em aterro, através de soluções de produção de combustível derivado de resíduos (CDR) e de linhas valorização energética (VE);</v>
      </c>
      <c r="F152" s="3" t="str"/>
      <c r="G152" s="20"/>
      <c r="H152" s="20"/>
      <c r="I152" s="3" t="str">
        <v>No uniquely dated deadline derivable from this clause; cadence or trigger is preserved.</v>
      </c>
      <c r="J152" s="3" t="str">
        <v>https://diariodarepublica.pt/dr/detalhe/despacho/14013-a-2024-897796612</v>
      </c>
      <c r="K152" s="3" t="str">
        <v>No dated delivery evidence identified.</v>
      </c>
    </row>
    <row r="153" ht="90" customHeight="1">
      <c r="A153" s="3" t="str">
        <v>GT-2024-045-D03</v>
      </c>
      <c r="B153" s="3" t="str">
        <v>GT-2024-045</v>
      </c>
      <c r="C153" s="3" t="str">
        <v>7 - O Grupo de Trabalho apresenta as suas conclusões e propostas ao membro do Governo responsável pe</v>
      </c>
      <c r="D153" s="3" t="str">
        <v>Deliverable / duration</v>
      </c>
      <c r="E153" s="3" t="str">
        <v>7 - O Grupo de Trabalho apresenta as suas conclusões e propostas ao membro do Governo responsável pela área do ambiente, sob a forma de um relatório organizado por assuntos, até 31 de janeiro de 2025.</v>
      </c>
      <c r="F153" s="3" t="str"/>
      <c r="G153" s="20" t="d">
        <v>2025-01-31T00:00:00.000Z</v>
      </c>
      <c r="H153" s="20"/>
      <c r="I153" s="3" t="str">
        <v>Explicit calendar date in the act.</v>
      </c>
      <c r="J153" s="3" t="str">
        <v>https://diariodarepublica.pt/dr/detalhe/despacho/14013-a-2024-897796612</v>
      </c>
      <c r="K153" s="3" t="str">
        <v>No dated delivery evidence identified.</v>
      </c>
    </row>
    <row r="154" ht="90" customHeight="1">
      <c r="A154" s="3" t="str">
        <v>GT-2024-045-D04</v>
      </c>
      <c r="B154" s="3" t="str">
        <v>GT-2024-045</v>
      </c>
      <c r="C154" s="3" t="str">
        <v>8 - Os representantes das entidades referidas no n.º 3 indicam os seus representantes (efetivo e sup</v>
      </c>
      <c r="D154" s="3" t="str">
        <v>Appointments / planning</v>
      </c>
      <c r="E154" s="3" t="str">
        <v>8 - Os representantes das entidades referidas no n.º 3 indicam os seus representantes (efetivo e suplente) ao coordenador do Grupo de Trabalho no prazo máximo de 10 dias, após a data de entrada em vigor do presente despacho.</v>
      </c>
      <c r="F154" s="3" t="str">
        <v>Entry into force 2024-11-27</v>
      </c>
      <c r="G154" s="20" t="d">
        <v>2024-12-07T00:00:00.000Z</v>
      </c>
      <c r="H154" s="20" t="d">
        <v>2024-12-11T00:00:00.000Z</v>
      </c>
      <c r="I154" s="3" t="str">
        <v>2024-11-27 + 10 calendar days (monitoring convention). If CPA procedural counting applies: 2024-12-11.</v>
      </c>
      <c r="J154" s="3" t="str">
        <v>https://diariodarepublica.pt/dr/detalhe/despacho/14013-a-2024-897796612</v>
      </c>
      <c r="K154" s="3" t="str">
        <v>No dated delivery evidence identified.</v>
      </c>
    </row>
    <row r="155" ht="90" customHeight="1">
      <c r="A155" s="3" t="str">
        <v>GT-2024-045-D05</v>
      </c>
      <c r="B155" s="3" t="str">
        <v>GT-2024-045</v>
      </c>
      <c r="C155" s="3" t="str">
        <v>Final report / last specified substantive output</v>
      </c>
      <c r="D155" s="3" t="str">
        <v>Status benchmark</v>
      </c>
      <c r="E155" s="3" t="str"/>
      <c r="F155" s="3" t="str"/>
      <c r="G155" s="20" t="d">
        <v>2025-01-31T00:00:00.000Z</v>
      </c>
      <c r="H155" s="20"/>
      <c r="I155" s="3" t="str">
        <v>Fixed date / explicit year-end in creating act.</v>
      </c>
      <c r="J155" s="3" t="str">
        <v>https://diariodarepublica.pt/dr/detalhe/despacho/14013-a-2024-897796612</v>
      </c>
      <c r="K155" s="3" t="str">
        <v>Sem informação pública — Delivery is officially confirmed, but the handover date is not public; timeliness cannot be classified.</v>
      </c>
    </row>
    <row r="156" ht="90" customHeight="1">
      <c r="A156" s="3" t="str">
        <v>GT-2024-046-D01</v>
      </c>
      <c r="B156" s="3" t="str">
        <v>GT-2024-046</v>
      </c>
      <c r="C156" s="3" t="str">
        <v>4 - A indicação dos representantes referidos no número anterior, assim como os respetivos suplentes,</v>
      </c>
      <c r="D156" s="3" t="str">
        <v>Appointments / planning</v>
      </c>
      <c r="E156" s="3" t="str">
        <v>4 - A indicação dos representantes referidos no número anterior, assim como os respetivos suplentes, deve ser formalizada no prazo de cinco dias após a publicação do presente despacho.</v>
      </c>
      <c r="F156" s="3" t="str">
        <v>Publication 2024-12-03</v>
      </c>
      <c r="G156" s="20" t="d">
        <v>2024-12-08T00:00:00.000Z</v>
      </c>
      <c r="H156" s="20" t="d">
        <v>2024-12-10T00:00:00.000Z</v>
      </c>
      <c r="I156" s="3" t="str">
        <v>2024-12-03 + 5 calendar days (monitoring convention). If CPA procedural counting applies: 2024-12-10.</v>
      </c>
      <c r="J156" s="3" t="str">
        <v>https://diariodarepublica.pt/dr/detalhe/despacho/14284-2024-898695314</v>
      </c>
      <c r="K156" s="3" t="str">
        <v>No dated delivery evidence identified.</v>
      </c>
    </row>
    <row r="157" ht="90" customHeight="1">
      <c r="A157" s="3" t="str">
        <v>GT-2024-046-D02</v>
      </c>
      <c r="B157" s="3" t="str">
        <v>GT-2024-046</v>
      </c>
      <c r="C157" s="3" t="str">
        <v>10 - O Grupo de Trabalho deve apresentar o planeamento das atividades no prazo máxima de 30 dias úte</v>
      </c>
      <c r="D157" s="3" t="str">
        <v>Deliverable / duration</v>
      </c>
      <c r="E157" s="3" t="str">
        <v>10 - O Grupo de Trabalho deve apresentar o planeamento das atividades no prazo máxima de 30 dias úteis após a publicação do presente despacho.</v>
      </c>
      <c r="F157" s="3" t="str">
        <v>Publication 2024-12-03</v>
      </c>
      <c r="G157" s="20" t="d">
        <v>2025-01-16T00:00:00.000Z</v>
      </c>
      <c r="H157" s="20"/>
      <c r="I157" s="3" t="str">
        <v>2024-12-03 + 30 working days; anchor excluded, weekends and national statutory holidays excluded.</v>
      </c>
      <c r="J157" s="3" t="str">
        <v>https://diariodarepublica.pt/dr/detalhe/despacho/14284-2024-898695314</v>
      </c>
      <c r="K157" s="3" t="str">
        <v>No dated delivery evidence identified.</v>
      </c>
    </row>
    <row r="158" ht="90" customHeight="1">
      <c r="A158" s="3" t="str">
        <v>GT-2024-046-D03</v>
      </c>
      <c r="B158" s="3" t="str">
        <v>GT-2024-046</v>
      </c>
      <c r="C158" s="3" t="str">
        <v>11 - O Grupo de Trabalho deve apresentar, trimestralmente, um relatório sobre o estado de execução d</v>
      </c>
      <c r="D158" s="3" t="str">
        <v>Periodic / conditional</v>
      </c>
      <c r="E158" s="3" t="str">
        <v>11 - O Grupo de Trabalho deve apresentar, trimestralmente, um relatório sobre o estado de execução das atividades.</v>
      </c>
      <c r="F158" s="3" t="str"/>
      <c r="G158" s="20"/>
      <c r="H158" s="20"/>
      <c r="I158" s="3" t="str">
        <v>No uniquely dated deadline derivable from this clause; cadence or trigger is preserved.</v>
      </c>
      <c r="J158" s="3" t="str">
        <v>https://diariodarepublica.pt/dr/detalhe/despacho/14284-2024-898695314</v>
      </c>
      <c r="K158" s="3" t="str">
        <v>No dated delivery evidence identified.</v>
      </c>
    </row>
    <row r="159" ht="90" customHeight="1">
      <c r="A159" s="3" t="str">
        <v>GT-2024-046-D04</v>
      </c>
      <c r="B159" s="3" t="str">
        <v>GT-2024-046</v>
      </c>
      <c r="C159" s="3" t="str">
        <v>12 - O Grupo de Trabalho deve orientar as suas atividades de modo a ser possível disponibilizar o no</v>
      </c>
      <c r="D159" s="3" t="str">
        <v>Deliverable / duration</v>
      </c>
      <c r="E159" s="3" t="str">
        <v>12 - O Grupo de Trabalho deve orientar as suas atividades de modo a ser possível disponibilizar o novo modelo de passaporte a partir do segundo trimestre de 2026.</v>
      </c>
      <c r="F159" s="3" t="str"/>
      <c r="G159" s="20" t="d">
        <v>2026-06-30T00:00:00.000Z</v>
      </c>
      <c r="H159" s="20"/>
      <c r="I159" s="3" t="str">
        <v>End-of-quarter monitoring benchmark: 2026-06-30; the act specifies a window rather than an exact day.</v>
      </c>
      <c r="J159" s="3" t="str">
        <v>https://diariodarepublica.pt/dr/detalhe/despacho/14284-2024-898695314</v>
      </c>
      <c r="K159" s="3" t="str">
        <v>No dated delivery evidence identified.</v>
      </c>
    </row>
    <row r="160" ht="90" customHeight="1">
      <c r="A160" s="3" t="str">
        <v>GT-2024-046-D05</v>
      </c>
      <c r="B160" s="3" t="str">
        <v>GT-2024-046</v>
      </c>
      <c r="C160" s="3" t="str">
        <v>Final report / last specified substantive output</v>
      </c>
      <c r="D160" s="3" t="str">
        <v>Status benchmark</v>
      </c>
      <c r="E160" s="3" t="str"/>
      <c r="F160" s="3" t="str"/>
      <c r="G160" s="20" t="d">
        <v>2026-06-30T00:00:00.000Z</v>
      </c>
      <c r="H160" s="20"/>
      <c r="I160" s="3" t="str">
        <v>Fixed date / explicit year-end in creating act.</v>
      </c>
      <c r="J160" s="3" t="str">
        <v>https://diariodarepublica.pt/dr/detalhe/despacho/14284-2024-898695314</v>
      </c>
      <c r="K160" s="3" t="str">
        <v>Em atraso — No official launch confirmation found; Q2 2026 availability target has passed. 102 days after the conservative end-of-quarter benchmark (30 June). Five-year validity remains in the current consolidated law.</v>
      </c>
    </row>
    <row r="161" ht="90" customHeight="1">
      <c r="A161" s="3" t="str">
        <v>GT-2024-046-D06</v>
      </c>
      <c r="B161" s="3" t="str">
        <v>GT-2024-046</v>
      </c>
      <c r="C161" s="3" t="str">
        <v>Activity plan — 30 working days</v>
      </c>
      <c r="D161" s="3" t="str">
        <v>Planning</v>
      </c>
      <c r="E161" s="3" t="str">
        <v>10 - O grupo de trabalho deverá apresentar à Secretaria de Estado da Justiça um plano de atividades no prazo de 30 dias úteis após a publicação do presente despacho.</v>
      </c>
      <c r="F161" s="3" t="str"/>
      <c r="G161" s="20" t="d">
        <v>2025-01-16T00:00:00.000Z</v>
      </c>
      <c r="H161" s="20"/>
      <c r="I161" s="3" t="str">
        <v>2024-12-03 excluded; weekends, 25 December and 1 January excluded. 30th working day = 2025-01-16.</v>
      </c>
      <c r="J161" s="3" t="str">
        <v>https://diariodarepublica.pt/dr/detalhe/despacho/14284-2024-898695314</v>
      </c>
      <c r="K161" s="3" t="str">
        <v>No dated delivery evidence identified.</v>
      </c>
    </row>
    <row r="162" ht="90" customHeight="1">
      <c r="A162" s="3" t="str">
        <v>GT-2024-046-D07</v>
      </c>
      <c r="B162" s="3" t="str">
        <v>GT-2024-046</v>
      </c>
      <c r="C162" s="3" t="str">
        <v>Quarterly progress reports</v>
      </c>
      <c r="D162" s="3" t="str">
        <v>Periodic</v>
      </c>
      <c r="E162" s="3" t="str">
        <v>11 - O grupo de trabalho deverá apresentar à Secretaria de Estado da Justiça relatórios trimestrais de progresso.</v>
      </c>
      <c r="F162" s="3" t="str"/>
      <c r="G162" s="20"/>
      <c r="H162" s="20"/>
      <c r="I162" s="3" t="str">
        <v>Quarterly cadence; no first-quarter reporting anchor or due day fixed in the act.</v>
      </c>
      <c r="J162" s="3" t="str">
        <v>https://diariodarepublica.pt/dr/detalhe/despacho/14284-2024-898695314</v>
      </c>
      <c r="K162" s="3" t="str">
        <v>No dated delivery evidence identified.</v>
      </c>
    </row>
    <row r="163" ht="90" customHeight="1">
      <c r="A163" s="3" t="str">
        <v>GT-2024-047-D01</v>
      </c>
      <c r="B163" s="3" t="str">
        <v>GT-2024-047</v>
      </c>
      <c r="C163" s="3" t="str">
        <v>4 - O elemento que preside ao grupo de trabalho define a periodicidade das reuniões e as datas de re</v>
      </c>
      <c r="D163" s="3" t="str">
        <v>Periodic / conditional</v>
      </c>
      <c r="E163" s="3" t="str">
        <v>4 - O elemento que preside ao grupo de trabalho define a periodicidade das reuniões e as datas de realização das mesmas, procedendo à sua convocação, tendo igualmente voto de qualidade, nos termos e para os efeitos do n.º 1 do artigo 33.º do Código do Procedimento Administrativo (CPA).</v>
      </c>
      <c r="F163" s="3" t="str"/>
      <c r="G163" s="20"/>
      <c r="H163" s="20"/>
      <c r="I163" s="3" t="str">
        <v>No uniquely dated deadline derivable from this clause; cadence or trigger is preserved.</v>
      </c>
      <c r="J163" s="3" t="str">
        <v>https://diariodarepublica.pt/dr/detalhe/despacho/14622-2024-899721530</v>
      </c>
      <c r="K163" s="3" t="str">
        <v>No dated delivery evidence identified.</v>
      </c>
    </row>
    <row r="164" ht="90" customHeight="1">
      <c r="A164" s="3" t="str">
        <v>GT-2024-047-D02</v>
      </c>
      <c r="B164" s="3" t="str">
        <v>GT-2024-047</v>
      </c>
      <c r="C164" s="3" t="str">
        <v>8 - O relatório a elaborar, de acordo com o n.º 2 do presente despacho, deve ser entregue até ao dia</v>
      </c>
      <c r="D164" s="3" t="str">
        <v>Deliverable / duration</v>
      </c>
      <c r="E164" s="3" t="str">
        <v>8 - O relatório a elaborar, de acordo com o n.º 2 do presente despacho, deve ser entregue até ao dia 31 de março de 2025.</v>
      </c>
      <c r="F164" s="3" t="str">
        <v>Publication 2024-12-11</v>
      </c>
      <c r="G164" s="20" t="d">
        <v>2025-03-31T00:00:00.000Z</v>
      </c>
      <c r="H164" s="20"/>
      <c r="I164" s="3" t="str">
        <v>Explicit calendar date in the act.</v>
      </c>
      <c r="J164" s="3" t="str">
        <v>https://diariodarepublica.pt/dr/detalhe/despacho/14622-2024-899721530</v>
      </c>
      <c r="K164" s="3" t="str">
        <v>No dated delivery evidence identified.</v>
      </c>
    </row>
    <row r="165" ht="90" customHeight="1">
      <c r="A165" s="3" t="str">
        <v>GT-2024-047-D03</v>
      </c>
      <c r="B165" s="3" t="str">
        <v>GT-2024-047</v>
      </c>
      <c r="C165" s="3" t="str">
        <v>Final report / last specified substantive output</v>
      </c>
      <c r="D165" s="3" t="str">
        <v>Status benchmark</v>
      </c>
      <c r="E165" s="3" t="str"/>
      <c r="F165" s="3" t="str"/>
      <c r="G165" s="20" t="d">
        <v>2025-03-31T00:00:00.000Z</v>
      </c>
      <c r="H165" s="20"/>
      <c r="I165" s="3" t="str">
        <v>Fixed date / explicit year-end in creating act.</v>
      </c>
      <c r="J165" s="3" t="str">
        <v>https://diariodarepublica.pt/dr/detalhe/despacho/14622-2024-899721530</v>
      </c>
      <c r="K165" s="3" t="str">
        <v>Sem informação pública — Delivery is officially confirmed, but the handover date is not public; timeliness cannot be classified.</v>
      </c>
    </row>
    <row r="166" ht="90" customHeight="1">
      <c r="A166" s="3" t="str">
        <v>GT-2024-048-D01</v>
      </c>
      <c r="B166" s="3" t="str">
        <v>GT-2024-048</v>
      </c>
      <c r="C166" s="3" t="str">
        <v>3 - Que as entidades referidas no número anterior indicam ao Secretário de Estado da Proteção Civil,</v>
      </c>
      <c r="D166" s="3" t="str">
        <v>Appointments / planning</v>
      </c>
      <c r="E166" s="3" t="str">
        <v>3 - Que as entidades referidas no número anterior indicam ao Secretário de Estado da Proteção Civil, no prazo de cinco dias, os seus representantes no grupo de trabalho.</v>
      </c>
      <c r="F166" s="3" t="str"/>
      <c r="G166" s="20"/>
      <c r="H166" s="20"/>
      <c r="I166" s="3" t="str">
        <v>5 dias after trigger: anchor not expressly specified; exact date cannot be verified.</v>
      </c>
      <c r="J166" s="3" t="str">
        <v>https://diariodarepublica.pt/dr/detalhe/despacho/14758-2024-899911211</v>
      </c>
      <c r="K166" s="3" t="str">
        <v>No dated delivery evidence identified.</v>
      </c>
    </row>
    <row r="167" ht="90" customHeight="1">
      <c r="A167" s="3" t="str">
        <v>GT-2024-048-D02</v>
      </c>
      <c r="B167" s="3" t="str">
        <v>GT-2024-048</v>
      </c>
      <c r="C167" s="3" t="str">
        <v>6 - Que o grupo de trabalho apresenta ao Secretário de Estado da Proteção Civil um relatório final, </v>
      </c>
      <c r="D167" s="3" t="str">
        <v>Deliverable / duration</v>
      </c>
      <c r="E167" s="3" t="str">
        <v>6 - Que o grupo de trabalho apresenta ao Secretário de Estado da Proteção Civil um relatório final, com as conclusões do seu trabalho e a formulação de propostas, no prazo de 60 dias após a sua constituição.</v>
      </c>
      <c r="F167" s="3" t="str">
        <v>Actual constitution / start date not independently public.</v>
      </c>
      <c r="G167" s="20"/>
      <c r="H167" s="20"/>
      <c r="I167" s="3" t="str">
        <v>60 dias after trigger: Actual constitution / start date not independently public.; exact date cannot be verified.</v>
      </c>
      <c r="J167" s="3" t="str">
        <v>https://diariodarepublica.pt/dr/detalhe/despacho/14758-2024-899911211</v>
      </c>
      <c r="K167" s="3" t="str">
        <v>No dated delivery evidence identified.</v>
      </c>
    </row>
    <row r="168" ht="90" customHeight="1">
      <c r="A168" s="3" t="str">
        <v>GT-2024-048-D03</v>
      </c>
      <c r="B168" s="3" t="str">
        <v>GT-2024-048</v>
      </c>
      <c r="C168" s="3" t="str">
        <v>Final report / last specified substantive output</v>
      </c>
      <c r="D168" s="3" t="str">
        <v>Status benchmark</v>
      </c>
      <c r="E168" s="3" t="str"/>
      <c r="F168" s="3" t="str"/>
      <c r="G168" s="20" t="d">
        <v>2025-02-12T00:00:00.000Z</v>
      </c>
      <c r="H168" s="20" t="d">
        <v>2025-03-11T00:00:00.000Z</v>
      </c>
      <c r="I168" s="3" t="str">
        <v>effective 2024-12-14 + 60 calendar days; plain “dias” benchmark. Alternative working-day date: 2025-03-11. Constitution is treated as the creating act’s effective date; later designation of members may move the operational start.</v>
      </c>
      <c r="J168" s="3" t="str">
        <v>https://diariodarepublica.pt/dr/detalhe/despacho/14758-2024-899911211</v>
      </c>
      <c r="K168" s="3" t="str">
        <v>Em atraso — Controlling benchmark has passed; no evidence of this output’s delivery identified in the reviewed acts and focused official-source outcome search.</v>
      </c>
    </row>
    <row r="169" ht="90" customHeight="1">
      <c r="A169" s="3" t="str">
        <v>GT-2024-049-D01</v>
      </c>
      <c r="B169" s="3" t="str">
        <v>GT-2024-049</v>
      </c>
      <c r="C169" s="3" t="str">
        <v>5 - Os representantes das entidades referidas no n.º 3 são designados, no prazo máximo de cinco dias</v>
      </c>
      <c r="D169" s="3" t="str">
        <v>Appointments / planning</v>
      </c>
      <c r="E169" s="3" t="str">
        <v>5 - Os representantes das entidades referidas no n.º 3 são designados, no prazo máximo de cinco dias, após a data de entrada em vigor do presente despacho.</v>
      </c>
      <c r="F169" s="3" t="str">
        <v>Entry into force 2024-12-18</v>
      </c>
      <c r="G169" s="20" t="d">
        <v>2024-12-23T00:00:00.000Z</v>
      </c>
      <c r="H169" s="20" t="d">
        <v>2024-12-26T00:00:00.000Z</v>
      </c>
      <c r="I169" s="3" t="str">
        <v>2024-12-18 + 5 calendar days (monitoring convention). If CPA procedural counting applies: 2024-12-26.</v>
      </c>
      <c r="J169" s="3" t="str">
        <v>https://diariodarepublica.pt/dr/detalhe/despacho/14926-2024-900549494</v>
      </c>
      <c r="K169" s="3" t="str">
        <v>No dated delivery evidence identified.</v>
      </c>
    </row>
    <row r="170" ht="90" customHeight="1">
      <c r="A170" s="3" t="str">
        <v>GT-2024-049-D02</v>
      </c>
      <c r="B170" s="3" t="str">
        <v>GT-2024-049</v>
      </c>
      <c r="C170" s="3" t="str">
        <v>7 - O grupo de trabalho apresenta, aos membros do Governo das áreas da justiça e do trabalho, solida</v>
      </c>
      <c r="D170" s="3" t="str">
        <v>Deliverable / duration</v>
      </c>
      <c r="E170" s="3" t="str">
        <v>7 - O grupo de trabalho apresenta, aos membros do Governo das áreas da justiça e do trabalho, solidariedade e segurança social, a avaliação e respetivas conclusões, bem como as propostas de alteração legislativa que venham a ser definidas, até 1 de março de 2025.</v>
      </c>
      <c r="F170" s="3" t="str"/>
      <c r="G170" s="20" t="d">
        <v>2025-03-01T00:00:00.000Z</v>
      </c>
      <c r="H170" s="20"/>
      <c r="I170" s="3" t="str">
        <v>Explicit calendar date in the act.</v>
      </c>
      <c r="J170" s="3" t="str">
        <v>https://diariodarepublica.pt/dr/detalhe/despacho/14926-2024-900549494</v>
      </c>
      <c r="K170" s="3" t="str">
        <v>No dated delivery evidence identified.</v>
      </c>
    </row>
    <row r="171" ht="90" customHeight="1">
      <c r="A171" s="3" t="str">
        <v>GT-2024-049-D03</v>
      </c>
      <c r="B171" s="3" t="str">
        <v>GT-2024-049</v>
      </c>
      <c r="C171" s="3" t="str">
        <v>Final report / last specified substantive output</v>
      </c>
      <c r="D171" s="3" t="str">
        <v>Status benchmark</v>
      </c>
      <c r="E171" s="3" t="str"/>
      <c r="F171" s="3" t="str"/>
      <c r="G171" s="20" t="d">
        <v>2025-03-01T00:00:00.000Z</v>
      </c>
      <c r="H171" s="20"/>
      <c r="I171" s="3" t="str">
        <v>Fixed date / explicit year-end in creating act.</v>
      </c>
      <c r="J171" s="3" t="str">
        <v>https://diariodarepublica.pt/dr/detalhe/despacho/14926-2024-900549494</v>
      </c>
      <c r="K171" s="3" t="str">
        <v>Em atraso — Controlling benchmark has passed; no evidence of this output’s delivery identified in the reviewed acts and focused official-source outcome search.</v>
      </c>
    </row>
    <row r="172" ht="90" customHeight="1">
      <c r="A172" s="3" t="str">
        <v>GT-2024-049-D04</v>
      </c>
      <c r="B172" s="3" t="str">
        <v>GT-2024-049</v>
      </c>
      <c r="C172" s="3" t="str">
        <v>Extended controlling deadline</v>
      </c>
      <c r="D172" s="3" t="str">
        <v>Formal extension</v>
      </c>
      <c r="E172" s="3" t="str">
        <v>1 - O grupo de trabalho constituído pelo Despacho n.º 14926/2024, de 11 de dezembro, mantém-se em funções até 1 de junho de 2025.
2 - Durante o período de prorrogação, o grupo de trabalho deverá concluir a avaliação do funcionamento das CPCJ e do regime jurídico do processo de adoção, do apadrinhamento civil e do acolhimento familiar, apresentando, até à data definida no número anterior, as respetivas conclusões e propostas de alteração legislativa aos membros do Governo das áreas da justiça e do trabalho, solidariedade e segurança social.
3 - Mantêm-se inalteradas as demais disposições constantes do Despacho n.º 14926/2024, de 11 de dezembro.
4 - O presente despacho produz efeitos a 1 de março de 2025.
3 de março de 2025. - A Secretária de Estado Adjunta e da Justiça, Maria Clara da Silva Maia de Figueiredo. - 6 de março de 2025. - A Secretária de Estado da Ação Social e da Inclusão, Maria Clara Gonçalves Marques Mendes.
318778186
A
A</v>
      </c>
      <c r="F172" s="3" t="str"/>
      <c r="G172" s="20" t="d">
        <v>2025-06-01T00:00:00.000Z</v>
      </c>
      <c r="H172" s="20"/>
      <c r="I172" s="3" t="str">
        <v>Formal extension: Despacho n.º 3182/2025, de 12 de março — https://diariodarepublica.pt/dr/detalhe/despacho/3182-2025-910469452</v>
      </c>
      <c r="J172" s="3" t="str">
        <v>https://diariodarepublica.pt/dr/detalhe/despacho/3182-2025-910469452</v>
      </c>
      <c r="K172" s="3" t="str">
        <v>No dated delivery evidence identified.</v>
      </c>
    </row>
    <row r="173" ht="90" customHeight="1">
      <c r="A173" s="3" t="str">
        <v>GT-2024-050-D01</v>
      </c>
      <c r="B173" s="3" t="str">
        <v>GT-2024-050</v>
      </c>
      <c r="C173" s="3" t="str">
        <v>4 - Os representantes referidos no número anterior são designados no prazo de 10 dias, a contar da d</v>
      </c>
      <c r="D173" s="3" t="str">
        <v>Appointments / planning</v>
      </c>
      <c r="E173" s="3" t="str">
        <v>4 - Os representantes referidos no número anterior são designados no prazo de 10 dias, a contar da data da publicação do presente despacho, mediante comunicação ao membro do governo responsável pela área governativa da juventude.</v>
      </c>
      <c r="F173" s="3" t="str">
        <v>Publication 2024-12-23</v>
      </c>
      <c r="G173" s="20" t="d">
        <v>2025-01-02T00:00:00.000Z</v>
      </c>
      <c r="H173" s="20" t="d">
        <v>2025-01-08T00:00:00.000Z</v>
      </c>
      <c r="I173" s="3" t="str">
        <v>2024-12-23 + 10 calendar days (monitoring convention). If CPA procedural counting applies: 2025-01-08.</v>
      </c>
      <c r="J173" s="3" t="str">
        <v>https://diariodarepublica.pt/dr/detalhe/despacho/15073-2024-901014350</v>
      </c>
      <c r="K173" s="3" t="str">
        <v>No dated delivery evidence identified.</v>
      </c>
    </row>
    <row r="174" ht="90" customHeight="1">
      <c r="A174" s="3" t="str">
        <v>GT-2024-050-D02</v>
      </c>
      <c r="B174" s="3" t="str">
        <v>GT-2024-050</v>
      </c>
      <c r="C174" s="3" t="str">
        <v>7 - O Grupo de Trabalho reúne mensalmente e as respetivas conclusões são vertidas em memorando sumár</v>
      </c>
      <c r="D174" s="3" t="str">
        <v>Periodic / conditional</v>
      </c>
      <c r="E174" s="3" t="str">
        <v>7 - O Grupo de Trabalho reúne mensalmente e as respetivas conclusões são vertidas em memorando sumário, disponibilizado a todos os membros.</v>
      </c>
      <c r="F174" s="3" t="str"/>
      <c r="G174" s="20"/>
      <c r="H174" s="20"/>
      <c r="I174" s="3" t="str">
        <v>No uniquely dated deadline derivable from this clause; cadence or trigger is preserved.</v>
      </c>
      <c r="J174" s="3" t="str">
        <v>https://diariodarepublica.pt/dr/detalhe/despacho/15073-2024-901014350</v>
      </c>
      <c r="K174" s="3" t="str">
        <v>No dated delivery evidence identified.</v>
      </c>
    </row>
    <row r="175" ht="90" customHeight="1">
      <c r="A175" s="3" t="str">
        <v>GT-2024-050-D03</v>
      </c>
      <c r="B175" s="3" t="str">
        <v>GT-2024-050</v>
      </c>
      <c r="C175" s="3" t="str">
        <v>10 - A proposta da Agenda Nacional da Juventude é entregue durante o primeiro semestre de 2025 ao me</v>
      </c>
      <c r="D175" s="3" t="str">
        <v>Deliverable / duration</v>
      </c>
      <c r="E175" s="3" t="str">
        <v>10 - A proposta da Agenda Nacional da Juventude é entregue durante o primeiro semestre de 2025 ao membro do Governo que tutela a área da juventude.</v>
      </c>
      <c r="F175" s="3" t="str"/>
      <c r="G175" s="20" t="d">
        <v>2025-06-30T00:00:00.000Z</v>
      </c>
      <c r="H175" s="20"/>
      <c r="I175" s="3" t="str">
        <v>End-of-semester monitoring benchmark: 2025-06-30; the act specifies a window rather than an exact day.</v>
      </c>
      <c r="J175" s="3" t="str">
        <v>https://diariodarepublica.pt/dr/detalhe/despacho/15073-2024-901014350</v>
      </c>
      <c r="K175" s="3" t="str">
        <v>No dated delivery evidence identified.</v>
      </c>
    </row>
    <row r="176" ht="90" customHeight="1">
      <c r="A176" s="3" t="str">
        <v>GT-2024-050-D04</v>
      </c>
      <c r="B176" s="3" t="str">
        <v>GT-2024-050</v>
      </c>
      <c r="C176" s="3" t="str">
        <v>Agenda proposal</v>
      </c>
      <c r="D176" s="3" t="str">
        <v>Status benchmark</v>
      </c>
      <c r="E176" s="3" t="str">
        <v>10 - A proposta da Agenda Nacional da Juventude é entregue durante o primeiro semestre de 2025 ao membro do Governo que tutela a área da juventude.</v>
      </c>
      <c r="F176" s="3" t="str"/>
      <c r="G176" s="20" t="d">
        <v>2025-06-30T00:00:00.000Z</v>
      </c>
      <c r="H176" s="20"/>
      <c r="I176" s="3" t="str">
        <v>First half of 2025: 1 January–30 June; proposal required during this interval (clause 10).</v>
      </c>
      <c r="J176" s="3" t="str">
        <v>https://diariodarepublica.pt/dr/detalhe/despacho/15073-2024-901014350</v>
      </c>
      <c r="K176" s="3" t="str">
        <v>Em atraso — The first-half-2025 proposal deadline has passed; no official evidence of delivery found in the reviewed acts and focused outcome search.</v>
      </c>
    </row>
    <row r="177" ht="90" customHeight="1">
      <c r="A177" s="3" t="str">
        <v>GT-2024-051-D01</v>
      </c>
      <c r="B177" s="3" t="str">
        <v>GT-2024-051</v>
      </c>
      <c r="C177" s="3" t="str">
        <v>d) Em 10 objetivos estratégicos a alcançar até 2030, com vista à concretização da visão;</v>
      </c>
      <c r="D177" s="3" t="str">
        <v>Deliverable / duration</v>
      </c>
      <c r="E177" s="3" t="str">
        <v>d) Em 10 objetivos estratégicos a alcançar até 2030, com vista à concretização da visão;</v>
      </c>
      <c r="F177" s="3" t="str"/>
      <c r="G177" s="20"/>
      <c r="H177" s="20"/>
      <c r="I177" s="3" t="str">
        <v>No uniquely dated deadline derivable from this clause; cadence or trigger is preserved.</v>
      </c>
      <c r="J177" s="3" t="str">
        <v>https://diariodarepublica.pt/dr/detalhe/resolucao-conselho-ministros/207-2024-901536081</v>
      </c>
      <c r="K177" s="3" t="str">
        <v>No dated delivery evidence identified.</v>
      </c>
    </row>
    <row r="178" ht="90" customHeight="1">
      <c r="A178" s="3" t="str">
        <v>GT-2024-051-D02</v>
      </c>
      <c r="B178" s="3" t="str">
        <v>GT-2024-051</v>
      </c>
      <c r="C178" s="3" t="str">
        <v>e) Em 10 metas concretas a atingir até 2030, alinhadas com as metas da «Década Digital 2030», defini</v>
      </c>
      <c r="D178" s="3" t="str">
        <v>Deliverable / duration</v>
      </c>
      <c r="E178" s="3" t="str">
        <v>e) Em 10 metas concretas a atingir até 2030, alinhadas com as metas da «Década Digital 2030», definidas no âmbito da União Europeia;</v>
      </c>
      <c r="F178" s="3" t="str"/>
      <c r="G178" s="20"/>
      <c r="H178" s="20"/>
      <c r="I178" s="3" t="str">
        <v>No uniquely dated deadline derivable from this clause; cadence or trigger is preserved.</v>
      </c>
      <c r="J178" s="3" t="str">
        <v>https://diariodarepublica.pt/dr/detalhe/resolucao-conselho-ministros/207-2024-901536081</v>
      </c>
      <c r="K178" s="3" t="str">
        <v>No dated delivery evidence identified.</v>
      </c>
    </row>
    <row r="179" ht="90" customHeight="1">
      <c r="A179" s="3" t="str">
        <v>GT-2024-051-D03</v>
      </c>
      <c r="B179" s="3" t="str">
        <v>GT-2024-051</v>
      </c>
      <c r="C179" s="3" t="str">
        <v>4 - Para efeitos do número anterior determinar a aprovação do Plano de Ação para 2025-2026, que cons</v>
      </c>
      <c r="D179" s="3" t="str">
        <v>Deliverable / duration</v>
      </c>
      <c r="E179" s="3" t="str">
        <v>4 - Para efeitos do número anterior determinar a aprovação do Plano de Ação para 2025-2026, que constitui o anexo ii à presente resolução e da qual faz parte integrante.</v>
      </c>
      <c r="F179" s="3" t="str"/>
      <c r="G179" s="20"/>
      <c r="H179" s="20"/>
      <c r="I179" s="3" t="str">
        <v>No uniquely dated deadline derivable from this clause; cadence or trigger is preserved.</v>
      </c>
      <c r="J179" s="3" t="str">
        <v>https://diariodarepublica.pt/dr/detalhe/resolucao-conselho-ministros/207-2024-901536081</v>
      </c>
      <c r="K179" s="3" t="str">
        <v>No dated delivery evidence identified.</v>
      </c>
    </row>
    <row r="180" ht="90" customHeight="1">
      <c r="A180" s="3" t="str">
        <v>GT-2024-051-D04</v>
      </c>
      <c r="B180" s="3" t="str">
        <v>GT-2024-051</v>
      </c>
      <c r="C180" s="3" t="str">
        <v>6 - Estabelecer que, no prazo de 15 dias é constituído um grupo técnico de trabalho, nos termos da a</v>
      </c>
      <c r="D180" s="3" t="str">
        <v>Deliverable / duration</v>
      </c>
      <c r="E180" s="3" t="str">
        <v>6 - Estabelecer que, no prazo de 15 dias é constituído um grupo técnico de trabalho, nos termos da alínea g) do n.º 7 da Resolução do Conselho de Ministros n.º 94/2024, de 25 de julho, com a responsabilidade de assegurar a instalação e início da execução da EDN.</v>
      </c>
      <c r="F180" s="3" t="str"/>
      <c r="G180" s="20"/>
      <c r="H180" s="20"/>
      <c r="I180" s="3" t="str">
        <v>15 dias after trigger: anchor not expressly specified; exact date cannot be verified.</v>
      </c>
      <c r="J180" s="3" t="str">
        <v>https://diariodarepublica.pt/dr/detalhe/resolucao-conselho-ministros/207-2024-901536081</v>
      </c>
      <c r="K180" s="3" t="str">
        <v>No dated delivery evidence identified.</v>
      </c>
    </row>
    <row r="181" ht="90" customHeight="1">
      <c r="A181" s="3" t="str">
        <v>GT-2024-051-D05</v>
      </c>
      <c r="B181" s="3" t="str">
        <v>GT-2024-051</v>
      </c>
      <c r="C181" s="3" t="str">
        <v>7 - Determinar que o grupo técnico de trabalho referido no número anterior é constituído pelo períod</v>
      </c>
      <c r="D181" s="3" t="str">
        <v>Deliverable / duration</v>
      </c>
      <c r="E181" s="3" t="str">
        <v>7 - Determinar que o grupo técnico de trabalho referido no número anterior é constituído pelo período de 6 meses, e tem a seguinte composição:</v>
      </c>
      <c r="F181" s="3" t="str"/>
      <c r="G181" s="20"/>
      <c r="H181" s="20"/>
      <c r="I181" s="3" t="str">
        <v>6 meses after trigger: anchor not expressly specified; exact date cannot be verified.</v>
      </c>
      <c r="J181" s="3" t="str">
        <v>https://diariodarepublica.pt/dr/detalhe/resolucao-conselho-ministros/207-2024-901536081</v>
      </c>
      <c r="K181" s="3" t="str">
        <v>No dated delivery evidence identified.</v>
      </c>
    </row>
    <row r="182" ht="90" customHeight="1">
      <c r="A182" s="3" t="str">
        <v>GT-2024-051-D06</v>
      </c>
      <c r="B182" s="3" t="str">
        <v>GT-2024-051</v>
      </c>
      <c r="C182" s="3" t="str">
        <v>8 - Findo o prazo de 6 meses previsto no número anterior, o grupo de trabalho ali mencionado deve ap</v>
      </c>
      <c r="D182" s="3" t="str">
        <v>Deliverable / duration</v>
      </c>
      <c r="E182" s="3" t="str">
        <v>8 - Findo o prazo de 6 meses previsto no número anterior, o grupo de trabalho ali mencionado deve apresentar ao membro do Governo responsável pela modernização um relatório dos trabalhos realizados e do ponto de situação da execução da EDN.</v>
      </c>
      <c r="F182" s="3" t="str"/>
      <c r="G182" s="20"/>
      <c r="H182" s="20"/>
      <c r="I182" s="3" t="str">
        <v>6 meses after trigger: anchor not expressly specified; exact date cannot be verified.</v>
      </c>
      <c r="J182" s="3" t="str">
        <v>https://diariodarepublica.pt/dr/detalhe/resolucao-conselho-ministros/207-2024-901536081</v>
      </c>
      <c r="K182" s="3" t="str">
        <v>No dated delivery evidence identified.</v>
      </c>
    </row>
    <row r="183" ht="90" customHeight="1">
      <c r="A183" s="3" t="str">
        <v>GT-2024-051-D07</v>
      </c>
      <c r="B183" s="3" t="str">
        <v>GT-2024-051</v>
      </c>
      <c r="C183" s="3" t="str">
        <v>Six-month report from verified constitution</v>
      </c>
      <c r="D183" s="3" t="str">
        <v>Status benchmark</v>
      </c>
      <c r="E183" s="3" t="str">
        <v>8 - Findo o prazo de 6 meses previsto no número anterior, o grupo de trabalho ali mencionado deve apresentar ao membro do Governo responsável pela modernização um relatório dos trabalhos realizados e do ponto de situação da execução da EDN.</v>
      </c>
      <c r="F183" s="3" t="str"/>
      <c r="G183" s="20" t="d">
        <v>2025-07-16T00:00:00.000Z</v>
      </c>
      <c r="H183" s="20"/>
      <c r="I183" s="3" t="str">
        <v>Official CDAP record confirms constitution on 16 January 2025; six calendar months → 16 July 2025.</v>
      </c>
      <c r="J183" s="3" t="str">
        <v>https://digital.gov.pt/pt/noticias/quinta-reuniao-comite-estrategico-do-cdap</v>
      </c>
      <c r="K183" s="3" t="str">
        <v>Em atraso — Actual constitution date is officially confirmed; six-month reporting deadline has passed and no public delivery evidence found.</v>
      </c>
    </row>
    <row r="184" ht="90" customHeight="1">
      <c r="A184" s="3" t="str">
        <v>GT-2025-001-D01</v>
      </c>
      <c r="B184" s="3" t="str">
        <v>GT-2025-001</v>
      </c>
      <c r="C184" s="3" t="str">
        <v>c) Apresentar as propostas legislativas e regulamentares, tendo por base as propostas referidas na a</v>
      </c>
      <c r="D184" s="3" t="str">
        <v>Deliverable / duration</v>
      </c>
      <c r="E184" s="3" t="str">
        <v>c) Apresentar as propostas legislativas e regulamentares, tendo por base as propostas referidas na alínea anterior, até ao dia 31 de julho de 2025;</v>
      </c>
      <c r="F184" s="3" t="str"/>
      <c r="G184" s="20" t="d">
        <v>2025-07-31T00:00:00.000Z</v>
      </c>
      <c r="H184" s="20"/>
      <c r="I184" s="3" t="str">
        <v>Explicit calendar date in the act.</v>
      </c>
      <c r="J184" s="3" t="str">
        <v>https://diariodarepublica.pt/dr/detalhe/despacho/382-2025-902718273</v>
      </c>
      <c r="K184" s="3" t="str">
        <v>No dated delivery evidence identified.</v>
      </c>
    </row>
    <row r="185" ht="90" customHeight="1">
      <c r="A185" s="3" t="str">
        <v>GT-2025-001-D02</v>
      </c>
      <c r="B185" s="3" t="str">
        <v>GT-2025-001</v>
      </c>
      <c r="C185" s="3" t="str">
        <v>a) Cronograma dos trabalhos de transposição, até 30 dias após a data de publicação do presente despa</v>
      </c>
      <c r="D185" s="3" t="str">
        <v>Appointments / planning</v>
      </c>
      <c r="E185" s="3" t="str">
        <v>a) Cronograma dos trabalhos de transposição, até 30 dias após a data de publicação do presente despacho;</v>
      </c>
      <c r="F185" s="3" t="str">
        <v>Publication 2025-01-08</v>
      </c>
      <c r="G185" s="20" t="d">
        <v>2025-02-07T00:00:00.000Z</v>
      </c>
      <c r="H185" s="20" t="d">
        <v>2025-02-19T00:00:00.000Z</v>
      </c>
      <c r="I185" s="3" t="str">
        <v>2025-01-08 + 30 calendar days (monitoring convention). If CPA procedural counting applies: 2025-02-19.</v>
      </c>
      <c r="J185" s="3" t="str">
        <v>https://diariodarepublica.pt/dr/detalhe/despacho/382-2025-902718273</v>
      </c>
      <c r="K185" s="3" t="str">
        <v>No dated delivery evidence identified.</v>
      </c>
    </row>
    <row r="186" ht="90" customHeight="1">
      <c r="A186" s="3" t="str">
        <v>GT-2025-001-D03</v>
      </c>
      <c r="B186" s="3" t="str">
        <v>GT-2025-001</v>
      </c>
      <c r="C186" s="3" t="str">
        <v>6 - As entidades referidas no n.º 3 indicam os representantes ao coordenador, no prazo de cinco dias</v>
      </c>
      <c r="D186" s="3" t="str">
        <v>Appointments / planning</v>
      </c>
      <c r="E186" s="3" t="str">
        <v>6 - As entidades referidas no n.º 3 indicam os representantes ao coordenador, no prazo de cinco dias após a data de publicação do presente despacho, podendo ser substituídos no decorrer dos trabalhos mediante comunicação escrita ao coordenador, que deverá dar conhecimento desse facto aos restantes elementos do Grupo de Trabalho.</v>
      </c>
      <c r="F186" s="3" t="str">
        <v>Publication 2025-01-08</v>
      </c>
      <c r="G186" s="20" t="d">
        <v>2025-01-13T00:00:00.000Z</v>
      </c>
      <c r="H186" s="20" t="d">
        <v>2025-01-15T00:00:00.000Z</v>
      </c>
      <c r="I186" s="3" t="str">
        <v>2025-01-08 + 5 calendar days (monitoring convention). If CPA procedural counting applies: 2025-01-15.</v>
      </c>
      <c r="J186" s="3" t="str">
        <v>https://diariodarepublica.pt/dr/detalhe/despacho/382-2025-902718273</v>
      </c>
      <c r="K186" s="3" t="str">
        <v>No dated delivery evidence identified.</v>
      </c>
    </row>
    <row r="187" ht="90" customHeight="1">
      <c r="A187" s="3" t="str">
        <v>GT-2025-001-D04</v>
      </c>
      <c r="B187" s="3" t="str">
        <v>GT-2025-001</v>
      </c>
      <c r="C187" s="3" t="str">
        <v>Final report / last specified substantive output</v>
      </c>
      <c r="D187" s="3" t="str">
        <v>Status benchmark</v>
      </c>
      <c r="E187" s="3" t="str"/>
      <c r="F187" s="3" t="str"/>
      <c r="G187" s="20" t="d">
        <v>2025-07-31T00:00:00.000Z</v>
      </c>
      <c r="H187" s="20"/>
      <c r="I187" s="3" t="str">
        <v>Fixed date / explicit year-end in creating act.</v>
      </c>
      <c r="J187" s="3" t="str">
        <v>https://diariodarepublica.pt/dr/detalhe/despacho/382-2025-902718273</v>
      </c>
      <c r="K187" s="3" t="str">
        <v>Em atraso — Controlling benchmark has passed; no evidence of this output’s delivery identified in the reviewed acts and focused official-source outcome search.</v>
      </c>
    </row>
    <row r="188" ht="90" customHeight="1">
      <c r="A188" s="3" t="str">
        <v>GT-2025-002-D01</v>
      </c>
      <c r="B188" s="3" t="str">
        <v>GT-2025-002</v>
      </c>
      <c r="C188" s="3" t="str">
        <v>7 - As recomendações referidas no n.º 4 são apresentadas ao Governo no prazo de quatro meses contado</v>
      </c>
      <c r="D188" s="3" t="str">
        <v>Deliverable / duration</v>
      </c>
      <c r="E188" s="3" t="str">
        <v>7 - As recomendações referidas no n.º 4 são apresentadas ao Governo no prazo de quatro meses contados desde a publicação deste despacho.</v>
      </c>
      <c r="F188" s="3" t="str">
        <v>Publication 2025-01-10</v>
      </c>
      <c r="G188" s="20" t="d">
        <v>2025-05-10T00:00:00.000Z</v>
      </c>
      <c r="H188" s="20"/>
      <c r="I188" s="3" t="str">
        <v>2025-01-10 + 4 meses by calendar anniversary, end-of-month capped if necessary.</v>
      </c>
      <c r="J188" s="3" t="str">
        <v>https://diariodarepublica.pt/dr/detalhe/despacho/507-2025-902932710</v>
      </c>
      <c r="K188" s="3" t="str">
        <v>No dated delivery evidence identified.</v>
      </c>
    </row>
    <row r="189" ht="90" customHeight="1">
      <c r="A189" s="3" t="str">
        <v>GT-2025-002-D02</v>
      </c>
      <c r="B189" s="3" t="str">
        <v>GT-2025-002</v>
      </c>
      <c r="C189" s="3" t="str">
        <v>Final report / last specified substantive output</v>
      </c>
      <c r="D189" s="3" t="str">
        <v>Status benchmark</v>
      </c>
      <c r="E189" s="3" t="str"/>
      <c r="F189" s="3" t="str"/>
      <c r="G189" s="20" t="d">
        <v>2025-05-10T00:00:00.000Z</v>
      </c>
      <c r="H189" s="20"/>
      <c r="I189" s="3" t="str">
        <v>published 2025-01-10 + 4 calendar months (anniversary rule).</v>
      </c>
      <c r="J189" s="3" t="str">
        <v>https://diariodarepublica.pt/dr/detalhe/despacho/507-2025-902932710</v>
      </c>
      <c r="K189" s="3" t="str">
        <v>Em atraso — Controlling benchmark has passed; no evidence of this output’s delivery identified in the reviewed acts and focused official-source outcome search.</v>
      </c>
    </row>
    <row r="190" ht="90" customHeight="1">
      <c r="A190" s="3" t="str">
        <v>GT-2025-003-D01</v>
      </c>
      <c r="B190" s="3" t="str">
        <v>GT-2025-003</v>
      </c>
      <c r="C190" s="3" t="str">
        <v>10 - O mandato do GTRD-SNS tem a duração de 180 dias, a contar da entrada em vigor do presente despa</v>
      </c>
      <c r="D190" s="3" t="str">
        <v>Deliverable / duration</v>
      </c>
      <c r="E190" s="3" t="str">
        <v>10 - O mandato do GTRD-SNS tem a duração de 180 dias, a contar da entrada em vigor do presente despacho, sem prejuízo da possibilidade da sua prorrogação.</v>
      </c>
      <c r="F190" s="3" t="str">
        <v>Entry into force 2025-01-23</v>
      </c>
      <c r="G190" s="20" t="d">
        <v>2025-07-22T00:00:00.000Z</v>
      </c>
      <c r="H190" s="20" t="d">
        <v>2025-10-10T00:00:00.000Z</v>
      </c>
      <c r="I190" s="3" t="str">
        <v>2025-01-23 + 180 calendar days (monitoring convention). If CPA procedural counting applies: 2025-10-10.</v>
      </c>
      <c r="J190" s="3" t="str">
        <v>https://diariodarepublica.pt/dr/detalhe/despacho/986-2025-904227444</v>
      </c>
      <c r="K190" s="3" t="str">
        <v>No dated delivery evidence identified.</v>
      </c>
    </row>
    <row r="191" ht="90" customHeight="1">
      <c r="A191" s="3" t="str">
        <v>GT-2025-003-D02</v>
      </c>
      <c r="B191" s="3" t="str">
        <v>GT-2025-003</v>
      </c>
      <c r="C191" s="3" t="str">
        <v>a) Até ao final dos primeiros 45 dias de mandato, um relatório a que corresponda o resultado do obje</v>
      </c>
      <c r="D191" s="3" t="str">
        <v>Deliverable / duration</v>
      </c>
      <c r="E191" s="3" t="str">
        <v>a) Até ao final dos primeiros 45 dias de mandato, um relatório a que corresponda o resultado do objetivo referido na alínea a) do n.º 2;</v>
      </c>
      <c r="F191" s="3" t="str">
        <v>Entry into force 2025-01-23</v>
      </c>
      <c r="G191" s="20" t="d">
        <v>2025-03-09T00:00:00.000Z</v>
      </c>
      <c r="H191" s="20" t="d">
        <v>2025-03-27T00:00:00.000Z</v>
      </c>
      <c r="I191" s="3" t="str">
        <v>2025-01-23 + 45 calendar days (monitoring convention). If CPA procedural counting applies: 2025-03-27.</v>
      </c>
      <c r="J191" s="3" t="str">
        <v>https://diariodarepublica.pt/dr/detalhe/despacho/986-2025-904227444</v>
      </c>
      <c r="K191" s="3" t="str">
        <v>No dated delivery evidence identified.</v>
      </c>
    </row>
    <row r="192" ht="90" customHeight="1">
      <c r="A192" s="3" t="str">
        <v>GT-2025-003-D03</v>
      </c>
      <c r="B192" s="3" t="str">
        <v>GT-2025-003</v>
      </c>
      <c r="C192" s="3" t="str">
        <v>b) No prazo máximo de 60 dias de mandato, um relatório a que corresponda o resultado do objetivo ref</v>
      </c>
      <c r="D192" s="3" t="str">
        <v>Deliverable / duration</v>
      </c>
      <c r="E192" s="3" t="str">
        <v>b) No prazo máximo de 60 dias de mandato, um relatório a que corresponda o resultado do objetivo referido na alínea b) do n.º 2;</v>
      </c>
      <c r="F192" s="3" t="str">
        <v>Entry into force 2025-01-23</v>
      </c>
      <c r="G192" s="20" t="d">
        <v>2025-03-24T00:00:00.000Z</v>
      </c>
      <c r="H192" s="20" t="d">
        <v>2025-04-17T00:00:00.000Z</v>
      </c>
      <c r="I192" s="3" t="str">
        <v>2025-01-23 + 60 calendar days (monitoring convention). If CPA procedural counting applies: 2025-04-17.</v>
      </c>
      <c r="J192" s="3" t="str">
        <v>https://diariodarepublica.pt/dr/detalhe/despacho/986-2025-904227444</v>
      </c>
      <c r="K192" s="3" t="str">
        <v>No dated delivery evidence identified.</v>
      </c>
    </row>
    <row r="193" ht="90" customHeight="1">
      <c r="A193" s="3" t="str">
        <v>GT-2025-003-D04</v>
      </c>
      <c r="B193" s="3" t="str">
        <v>GT-2025-003</v>
      </c>
      <c r="C193" s="3" t="str">
        <v>c) No prazo máximo de 180 dias, a contar da entrada em vigor do presente despacho, um relatório fina</v>
      </c>
      <c r="D193" s="3" t="str">
        <v>Deliverable / duration</v>
      </c>
      <c r="E193" s="3" t="str">
        <v>c) No prazo máximo de 180 dias, a contar da entrada em vigor do presente despacho, um relatório final, que deve incluir uma resposta aos objetivos referidos nas alíneas c) a e) do n.º 2.</v>
      </c>
      <c r="F193" s="3" t="str">
        <v>Entry into force 2025-01-23</v>
      </c>
      <c r="G193" s="20" t="d">
        <v>2025-07-22T00:00:00.000Z</v>
      </c>
      <c r="H193" s="20" t="d">
        <v>2025-10-10T00:00:00.000Z</v>
      </c>
      <c r="I193" s="3" t="str">
        <v>2025-01-23 + 180 calendar days (monitoring convention). If CPA procedural counting applies: 2025-10-10.</v>
      </c>
      <c r="J193" s="3" t="str">
        <v>https://diariodarepublica.pt/dr/detalhe/despacho/986-2025-904227444</v>
      </c>
      <c r="K193" s="3" t="str">
        <v>No dated delivery evidence identified.</v>
      </c>
    </row>
    <row r="194" ht="90" customHeight="1">
      <c r="A194" s="3" t="str">
        <v>GT-2025-003-D05</v>
      </c>
      <c r="B194" s="3" t="str">
        <v>GT-2025-003</v>
      </c>
      <c r="C194" s="3" t="str">
        <v>Final report / last specified substantive output</v>
      </c>
      <c r="D194" s="3" t="str">
        <v>Status benchmark</v>
      </c>
      <c r="E194" s="3" t="str"/>
      <c r="F194" s="3" t="str"/>
      <c r="G194" s="20" t="d">
        <v>2025-07-22T00:00:00.000Z</v>
      </c>
      <c r="H194" s="20" t="d">
        <v>2025-10-10T00:00:00.000Z</v>
      </c>
      <c r="I194" s="3" t="str">
        <v>effective 2025-01-23 + 180 calendar days; plain “dias” benchmark. Alternative working-day date: 2025-10-10.</v>
      </c>
      <c r="J194" s="3" t="str">
        <v>https://diariodarepublica.pt/dr/detalhe/despacho/986-2025-904227444</v>
      </c>
      <c r="K194" s="3" t="str">
        <v>Em atraso — Controlling benchmark has passed; no evidence of this output’s delivery identified in the reviewed acts and focused official-source outcome search.</v>
      </c>
    </row>
    <row r="195" ht="90" customHeight="1">
      <c r="A195" s="3" t="str">
        <v>GT-2025-004-D01</v>
      </c>
      <c r="B195" s="3" t="str">
        <v>GT-2025-004</v>
      </c>
      <c r="C195" s="3" t="str">
        <v>5 - Os representantes de cada entidade são designados no prazo máximo de 15 dias a contar da data de</v>
      </c>
      <c r="D195" s="3" t="str">
        <v>Appointments / planning</v>
      </c>
      <c r="E195" s="3" t="str">
        <v>5 - Os representantes de cada entidade são designados no prazo máximo de 15 dias a contar da data de publicação do presente despacho.</v>
      </c>
      <c r="F195" s="3" t="str">
        <v>Publication 2025-01-24</v>
      </c>
      <c r="G195" s="20" t="d">
        <v>2025-02-08T00:00:00.000Z</v>
      </c>
      <c r="H195" s="20" t="d">
        <v>2025-02-14T00:00:00.000Z</v>
      </c>
      <c r="I195" s="3" t="str">
        <v>2025-01-24 + 15 calendar days (monitoring convention). If CPA procedural counting applies: 2025-02-14.</v>
      </c>
      <c r="J195" s="3" t="str">
        <v>https://diariodarepublica.pt/dr/detalhe/despacho/1116-2025-904738434</v>
      </c>
      <c r="K195" s="3" t="str">
        <v>No dated delivery evidence identified.</v>
      </c>
    </row>
    <row r="196" ht="90" customHeight="1">
      <c r="A196" s="3" t="str">
        <v>GT-2025-004-D02</v>
      </c>
      <c r="B196" s="3" t="str">
        <v>GT-2025-004</v>
      </c>
      <c r="C196" s="3" t="str">
        <v>6 - No prazo máximo de 60 dias úteis, o grupo de trabalho apresenta à Secretária de Estado dos Assun</v>
      </c>
      <c r="D196" s="3" t="str">
        <v>Deliverable / duration</v>
      </c>
      <c r="E196" s="3" t="str">
        <v>6 - No prazo máximo de 60 dias úteis, o grupo de trabalho apresenta à Secretária de Estado dos Assuntos Fiscais e ao Secretário de Estado das Infraestruturas um relatório com os resultados do trabalho realizado e com propostas de melhoria para os processos operacionais e aduaneiros nos portos de Lisboa e Setúbal.</v>
      </c>
      <c r="F196" s="3" t="str"/>
      <c r="G196" s="20"/>
      <c r="H196" s="20"/>
      <c r="I196" s="3" t="str">
        <v>60 dias úteis after trigger: anchor not expressly specified; exact date cannot be verified.</v>
      </c>
      <c r="J196" s="3" t="str">
        <v>https://diariodarepublica.pt/dr/detalhe/despacho/1116-2025-904738434</v>
      </c>
      <c r="K196" s="3" t="str">
        <v>No dated delivery evidence identified.</v>
      </c>
    </row>
    <row r="197" ht="90" customHeight="1">
      <c r="A197" s="3" t="str">
        <v>GT-2025-004-D03</v>
      </c>
      <c r="B197" s="3" t="str">
        <v>GT-2025-004</v>
      </c>
      <c r="C197" s="3" t="str">
        <v>Final report / last specified substantive output</v>
      </c>
      <c r="D197" s="3" t="str">
        <v>Status benchmark</v>
      </c>
      <c r="E197" s="3" t="str"/>
      <c r="F197" s="3" t="str"/>
      <c r="G197" s="20" t="d">
        <v>2025-04-21T00:00:00.000Z</v>
      </c>
      <c r="H197" s="20"/>
      <c r="I197" s="3" t="str">
        <v>60 working days from effective date 2025-01-25, assumed anchor; clause does not expressly give start date.</v>
      </c>
      <c r="J197" s="3" t="str">
        <v>https://diariodarepublica.pt/dr/detalhe/despacho/1116-2025-904738434</v>
      </c>
      <c r="K197" s="3" t="str">
        <v>Sem informação pública — No dated delivery evidence; an unspecified anchor or plausible alternative counting rule prevents a firm overdue assessment.</v>
      </c>
    </row>
    <row r="198" ht="90" customHeight="1">
      <c r="A198" s="3" t="str">
        <v>GT-2025-005-D01</v>
      </c>
      <c r="B198" s="3" t="str">
        <v>GT-2025-005</v>
      </c>
      <c r="C198" s="3" t="str">
        <v>1 - É criado o grupo de trabalho para elaboração de proposta de Reforma da Formação Profissional, a </v>
      </c>
      <c r="D198" s="3" t="str">
        <v>Deliverable / duration</v>
      </c>
      <c r="E198" s="3" t="str">
        <v>1 - É criado o grupo de trabalho para elaboração de proposta de Reforma da Formação Profissional, a apresentar ao membro do Governo responsável pela área do trabalho, solidariedade e segurança social, até 30 de setembro de 2025, sem prejuízo de eventual prorrogação.</v>
      </c>
      <c r="F198" s="3" t="str"/>
      <c r="G198" s="20" t="d">
        <v>2025-09-30T00:00:00.000Z</v>
      </c>
      <c r="H198" s="20"/>
      <c r="I198" s="3" t="str">
        <v>Explicit calendar date in the act.</v>
      </c>
      <c r="J198" s="3" t="str">
        <v>https://diariodarepublica.pt/dr/detalhe/despacho/1391-2025-905459892</v>
      </c>
      <c r="K198" s="3" t="str">
        <v>No dated delivery evidence identified.</v>
      </c>
    </row>
    <row r="199" ht="90" customHeight="1">
      <c r="A199" s="3" t="str">
        <v>GT-2025-005-D02</v>
      </c>
      <c r="B199" s="3" t="str">
        <v>GT-2025-005</v>
      </c>
      <c r="C199" s="3" t="str">
        <v>9 - O grupo de trabalho tem natureza temporária e vigora até 31 de outubro de 2025.</v>
      </c>
      <c r="D199" s="3" t="str">
        <v>Deliverable / duration</v>
      </c>
      <c r="E199" s="3" t="str">
        <v>9 - O grupo de trabalho tem natureza temporária e vigora até 31 de outubro de 2025.</v>
      </c>
      <c r="F199" s="3" t="str"/>
      <c r="G199" s="20" t="d">
        <v>2025-10-31T00:00:00.000Z</v>
      </c>
      <c r="H199" s="20"/>
      <c r="I199" s="3" t="str">
        <v>Explicit calendar date in the act.</v>
      </c>
      <c r="J199" s="3" t="str">
        <v>https://diariodarepublica.pt/dr/detalhe/despacho/1391-2025-905459892</v>
      </c>
      <c r="K199" s="3" t="str">
        <v>No dated delivery evidence identified.</v>
      </c>
    </row>
    <row r="200" ht="90" customHeight="1">
      <c r="A200" s="3" t="str">
        <v>GT-2025-005-D03</v>
      </c>
      <c r="B200" s="3" t="str">
        <v>GT-2025-005</v>
      </c>
      <c r="C200" s="3" t="str">
        <v>12 - Os representantes das entidades referidas no n.º 4 são designados no prazo máximo de 10 dias ap</v>
      </c>
      <c r="D200" s="3" t="str">
        <v>Appointments / planning</v>
      </c>
      <c r="E200" s="3" t="str">
        <v>12 - Os representantes das entidades referidas no n.º 4 são designados no prazo máximo de 10 dias após a data de entrada em vigor do presente despacho.</v>
      </c>
      <c r="F200" s="3" t="str">
        <v>Entry into force 2025-01-30</v>
      </c>
      <c r="G200" s="20" t="d">
        <v>2025-02-09T00:00:00.000Z</v>
      </c>
      <c r="H200" s="20" t="d">
        <v>2025-02-13T00:00:00.000Z</v>
      </c>
      <c r="I200" s="3" t="str">
        <v>2025-01-30 + 10 calendar days (monitoring convention). If CPA procedural counting applies: 2025-02-13.</v>
      </c>
      <c r="J200" s="3" t="str">
        <v>https://diariodarepublica.pt/dr/detalhe/despacho/1391-2025-905459892</v>
      </c>
      <c r="K200" s="3" t="str">
        <v>No dated delivery evidence identified.</v>
      </c>
    </row>
    <row r="201" ht="90" customHeight="1">
      <c r="A201" s="3" t="str">
        <v>GT-2025-005-D04</v>
      </c>
      <c r="B201" s="3" t="str">
        <v>GT-2025-005</v>
      </c>
      <c r="C201" s="3" t="str">
        <v>13 - O mandato do grupo de trabalho cessa com a apresentação de um relatório, que deve ocorrer até a</v>
      </c>
      <c r="D201" s="3" t="str">
        <v>Deliverable / duration</v>
      </c>
      <c r="E201" s="3" t="str">
        <v>13 - O mandato do grupo de trabalho cessa com a apresentação de um relatório, que deve ocorrer até ao termo do prazo referido no n.º 9 ou da sua eventual prorrogação.</v>
      </c>
      <c r="F201" s="3" t="str"/>
      <c r="G201" s="20"/>
      <c r="H201" s="20"/>
      <c r="I201" s="3" t="str">
        <v>No uniquely dated deadline derivable from this clause; cadence or trigger is preserved.</v>
      </c>
      <c r="J201" s="3" t="str">
        <v>https://diariodarepublica.pt/dr/detalhe/despacho/1391-2025-905459892</v>
      </c>
      <c r="K201" s="3" t="str">
        <v>No dated delivery evidence identified.</v>
      </c>
    </row>
    <row r="202" ht="90" customHeight="1">
      <c r="A202" s="3" t="str">
        <v>GT-2025-005-D05</v>
      </c>
      <c r="B202" s="3" t="str">
        <v>GT-2025-005</v>
      </c>
      <c r="C202" s="3" t="str">
        <v>Final report / last specified substantive output</v>
      </c>
      <c r="D202" s="3" t="str">
        <v>Status benchmark</v>
      </c>
      <c r="E202" s="3" t="str"/>
      <c r="F202" s="3" t="str"/>
      <c r="G202" s="20" t="d">
        <v>2025-09-30T00:00:00.000Z</v>
      </c>
      <c r="H202" s="20"/>
      <c r="I202" s="3" t="str">
        <v>Fixed date / explicit year-end in creating act.</v>
      </c>
      <c r="J202" s="3" t="str">
        <v>https://diariodarepublica.pt/dr/detalhe/despacho/1391-2025-905459892</v>
      </c>
      <c r="K202" s="3" t="str">
        <v>Em atraso — Controlling benchmark has passed; no evidence of this output’s delivery identified in the reviewed acts and focused official-source outcome search.</v>
      </c>
    </row>
    <row r="203" ht="90" customHeight="1">
      <c r="A203" s="3" t="str">
        <v>GT-2025-006-D01</v>
      </c>
      <c r="B203" s="3" t="str">
        <v>GT-2025-006</v>
      </c>
      <c r="C203" s="3" t="str">
        <v>b) Promover uma análise integrada da sustentabilidade, adequação e equidade intra e intergeracional </v>
      </c>
      <c r="D203" s="3" t="str">
        <v>Deliverable / duration</v>
      </c>
      <c r="E203" s="3" t="str">
        <v>b) Promover uma análise integrada da sustentabilidade, adequação e equidade intra e intergeracional dos sistemas públicos de proteção social, englobando o Sistema Previdencial, o Regime de Proteção Social Convergente da Caixa Geral de Aposentações e o Sistema de Proteção Social de Cidadania, considerando as diferentes eventualidades cobertas, com uma visão estratégica de longo prazo do Sistema Integrado da Segurança Social;</v>
      </c>
      <c r="F203" s="3" t="str"/>
      <c r="G203" s="20"/>
      <c r="H203" s="20"/>
      <c r="I203" s="3" t="str">
        <v>No uniquely dated deadline derivable from this clause; cadence or trigger is preserved.</v>
      </c>
      <c r="J203" s="3" t="str">
        <v>https://diariodarepublica.pt/dr/detalhe/despacho/1452-2025-905659876</v>
      </c>
      <c r="K203" s="3" t="str">
        <v>No dated delivery evidence identified.</v>
      </c>
    </row>
    <row r="204" ht="90" customHeight="1">
      <c r="A204" s="3" t="str">
        <v>GT-2025-006-D02</v>
      </c>
      <c r="B204" s="3" t="str">
        <v>GT-2025-006</v>
      </c>
      <c r="C204" s="3" t="str">
        <v>c) Promover uma análise integrada da sustentabilidade do sistema de pensões englobando o Sistema de </v>
      </c>
      <c r="D204" s="3" t="str">
        <v>Deliverable / duration</v>
      </c>
      <c r="E204" s="3" t="str">
        <v>c) Promover uma análise integrada da sustentabilidade do sistema de pensões englobando o Sistema de Proteção Social de Cidadania e o Sistema Previdencial, com uma visão estratégica a longo prazo do Sistema Integrado da Segurança Social;</v>
      </c>
      <c r="F204" s="3" t="str"/>
      <c r="G204" s="20"/>
      <c r="H204" s="20"/>
      <c r="I204" s="3" t="str">
        <v>No uniquely dated deadline derivable from this clause; cadence or trigger is preserved.</v>
      </c>
      <c r="J204" s="3" t="str">
        <v>https://diariodarepublica.pt/dr/detalhe/despacho/1452-2025-905659876</v>
      </c>
      <c r="K204" s="3" t="str">
        <v>No dated delivery evidence identified.</v>
      </c>
    </row>
    <row r="205" ht="90" customHeight="1">
      <c r="A205" s="3" t="str">
        <v>GT-2025-006-D03</v>
      </c>
      <c r="B205" s="3" t="str">
        <v>GT-2025-006</v>
      </c>
      <c r="C205" s="3" t="str">
        <v>e) Definir estratégias e avaliar propostas que garantam a sustentabilidade a longo prazo do sistema </v>
      </c>
      <c r="D205" s="3" t="str">
        <v>Deliverable / duration</v>
      </c>
      <c r="E205" s="3" t="str">
        <v>e) Definir estratégias e avaliar propostas que garantam a sustentabilidade a longo prazo do sistema de pensões e melhorem a sua adequação e equidade;</v>
      </c>
      <c r="F205" s="3" t="str"/>
      <c r="G205" s="20"/>
      <c r="H205" s="20"/>
      <c r="I205" s="3" t="str">
        <v>No uniquely dated deadline derivable from this clause; cadence or trigger is preserved.</v>
      </c>
      <c r="J205" s="3" t="str">
        <v>https://diariodarepublica.pt/dr/detalhe/despacho/1452-2025-905659876</v>
      </c>
      <c r="K205" s="3" t="str">
        <v>No dated delivery evidence identified.</v>
      </c>
    </row>
    <row r="206" ht="90" customHeight="1">
      <c r="A206" s="3" t="str">
        <v>GT-2025-006-D04</v>
      </c>
      <c r="B206" s="3" t="str">
        <v>GT-2025-006</v>
      </c>
      <c r="C206" s="3" t="str">
        <v>h) Reavaliar o regime de reforma antecipada dando prioridade a políticas que incentivem a permanênci</v>
      </c>
      <c r="D206" s="3" t="str">
        <v>Deliverable / duration</v>
      </c>
      <c r="E206" s="3" t="str">
        <v>h) Reavaliar o regime de reforma antecipada dando prioridade a políticas que incentivem a permanência na vida ativa e aumentem o volume de contribuições, promovendo a sustentabilidade do sistema a médio e longo prazo.</v>
      </c>
      <c r="F206" s="3" t="str"/>
      <c r="G206" s="20"/>
      <c r="H206" s="20"/>
      <c r="I206" s="3" t="str">
        <v>No uniquely dated deadline derivable from this clause; cadence or trigger is preserved.</v>
      </c>
      <c r="J206" s="3" t="str">
        <v>https://diariodarepublica.pt/dr/detalhe/despacho/1452-2025-905659876</v>
      </c>
      <c r="K206" s="3" t="str">
        <v>No dated delivery evidence identified.</v>
      </c>
    </row>
    <row r="207" ht="90" customHeight="1">
      <c r="A207" s="3" t="str">
        <v>GT-2025-006-D05</v>
      </c>
      <c r="B207" s="3" t="str">
        <v>GT-2025-006</v>
      </c>
      <c r="C207" s="3" t="str">
        <v>8 - O grupo de trabalho inicia funções a 30 de janeiro de 2025, devendo apresentar no prazo de 12 me</v>
      </c>
      <c r="D207" s="3" t="str">
        <v>Deliverable / duration</v>
      </c>
      <c r="E207" s="3" t="str">
        <v>8 - O grupo de trabalho inicia funções a 30 de janeiro de 2025, devendo apresentar no prazo de 12 meses um relatório final com as propostas e recomendações, incluindo um plano de execução, indicadores de desempenho e metas específicas para o curto, médio e longo prazo.</v>
      </c>
      <c r="F207" s="3" t="str"/>
      <c r="G207" s="20" t="d">
        <v>2025-01-30T00:00:00.000Z</v>
      </c>
      <c r="H207" s="20"/>
      <c r="I207" s="3" t="str">
        <v>12 meses after trigger: anchor not expressly specified; exact date cannot be verified.</v>
      </c>
      <c r="J207" s="3" t="str">
        <v>https://diariodarepublica.pt/dr/detalhe/despacho/1452-2025-905659876</v>
      </c>
      <c r="K207" s="3" t="str">
        <v>No dated delivery evidence identified.</v>
      </c>
    </row>
    <row r="208" ht="90" customHeight="1">
      <c r="A208" s="3" t="str">
        <v>GT-2025-006-D06</v>
      </c>
      <c r="B208" s="3" t="str">
        <v>GT-2025-006</v>
      </c>
      <c r="C208" s="3" t="str">
        <v>9 - Decorridos 6 meses a contar da data de início de funções, deverá o grupo de trabalho apresentar </v>
      </c>
      <c r="D208" s="3" t="str">
        <v>Deliverable / duration</v>
      </c>
      <c r="E208" s="3" t="str">
        <v>9 - Decorridos 6 meses a contar da data de início de funções, deverá o grupo de trabalho apresentar um relatório de progresso, que responda às alíneas f), g) e h). Contudo, em função do progresso dos trabalhos, poderá ser revisto, por acordo entre as partes, o reporte de alguma das alíneas, garantindo maior ajuste com os resultados obtidos até ao momento.</v>
      </c>
      <c r="F208" s="3" t="str"/>
      <c r="G208" s="20"/>
      <c r="H208" s="20"/>
      <c r="I208" s="3" t="str">
        <v>6 meses after trigger: anchor not expressly specified; exact date cannot be verified.</v>
      </c>
      <c r="J208" s="3" t="str">
        <v>https://diariodarepublica.pt/dr/detalhe/despacho/1452-2025-905659876</v>
      </c>
      <c r="K208" s="3" t="str">
        <v>No dated delivery evidence identified.</v>
      </c>
    </row>
    <row r="209" ht="90" customHeight="1">
      <c r="A209" s="3" t="str">
        <v>GT-2025-006-D07</v>
      </c>
      <c r="B209" s="3" t="str">
        <v>GT-2025-006</v>
      </c>
      <c r="C209" s="3" t="str">
        <v>Final report / last specified substantive output</v>
      </c>
      <c r="D209" s="3" t="str">
        <v>Status benchmark</v>
      </c>
      <c r="E209" s="3" t="str"/>
      <c r="F209" s="3" t="str"/>
      <c r="G209" s="20" t="d">
        <v>2026-01-30T00:00:00.000Z</v>
      </c>
      <c r="H209" s="20"/>
      <c r="I209" s="3" t="str">
        <v>Entry into force 2025-01-30 + 12 calendar months.</v>
      </c>
      <c r="J209" s="3" t="str">
        <v>https://diariodarepublica.pt/dr/detalhe/despacho/1452-2025-905659876</v>
      </c>
      <c r="K209" s="3" t="str">
        <v>Em atraso — Controlling benchmark has passed; no evidence of this output’s delivery identified in the reviewed acts and focused official-source outcome search.</v>
      </c>
    </row>
    <row r="210" ht="90" customHeight="1">
      <c r="A210" s="3" t="str">
        <v>GT-2025-006-D08</v>
      </c>
      <c r="B210" s="3" t="str">
        <v>GT-2025-006</v>
      </c>
      <c r="C210" s="3" t="str">
        <v>Extended controlling deadline</v>
      </c>
      <c r="D210" s="3" t="str">
        <v>Formal extension</v>
      </c>
      <c r="E210" s="3" t="str">
        <v>1 - É prorrogado o prazo para apresentação do relatório final do grupo de trabalho criado pelo Despacho n.º 1452/2025, de 31 de janeiro.
2 - O relatório final deverá ser apresentado até ao dia 30 de junho de 2026.
3 - Mantêm-se em vigor todas as demais disposições constantes do referido despacho.
O presente despacho produz efeitos à data da sua assinatura.
20 de abril de 2026. - A Ministra do Trabalho, Solidariedade e Segurança Social, Rosário Palma Ramalho.
319990166
A
A</v>
      </c>
      <c r="F210" s="3" t="str"/>
      <c r="G210" s="20" t="d">
        <v>2026-06-30T00:00:00.000Z</v>
      </c>
      <c r="H210" s="20"/>
      <c r="I210" s="3" t="str">
        <v>Formal extension: Despacho n.º 5409/2026, de 24 de abril — https://diariodarepublica.pt/dr/detalhe/despacho/5409-2026-1090795689</v>
      </c>
      <c r="J210" s="3" t="str">
        <v>https://diariodarepublica.pt/dr/detalhe/despacho/5409-2026-1090795689</v>
      </c>
      <c r="K210" s="3" t="str">
        <v>No dated delivery evidence identified.</v>
      </c>
    </row>
    <row r="211" ht="90" customHeight="1">
      <c r="A211" s="3" t="str">
        <v>GT-2025-007-D01</v>
      </c>
      <c r="B211" s="3" t="str">
        <v>GT-2025-007</v>
      </c>
      <c r="C211" s="3" t="str">
        <v>5 - O Grupo de Trabalho apresenta a proposta do Plano de Ação para Combate à Acidificação do Oceano </v>
      </c>
      <c r="D211" s="3" t="str">
        <v>Deliverable / duration</v>
      </c>
      <c r="E211" s="3" t="str">
        <v>5 - O Grupo de Trabalho apresenta a proposta do Plano de Ação para Combate à Acidificação do Oceano e documentação de suporte à consulta pública ao membro do Governo responsável pela área governativa do mar, até ao dia 30 de maio de 2025.</v>
      </c>
      <c r="F211" s="3" t="str"/>
      <c r="G211" s="20" t="d">
        <v>2025-05-30T00:00:00.000Z</v>
      </c>
      <c r="H211" s="20"/>
      <c r="I211" s="3" t="str">
        <v>Explicit calendar date in the act.</v>
      </c>
      <c r="J211" s="3" t="str">
        <v>https://diariodarepublica.pt/dr/detalhe/despacho/1498-2025-905831257</v>
      </c>
      <c r="K211" s="3" t="str">
        <v>No dated delivery evidence identified.</v>
      </c>
    </row>
    <row r="212" ht="90" customHeight="1">
      <c r="A212" s="3" t="str">
        <v>GT-2025-007-D02</v>
      </c>
      <c r="B212" s="3" t="str">
        <v>GT-2025-007</v>
      </c>
      <c r="C212" s="3" t="str">
        <v>6 - Os representantes das entidades referidas no n.º 4 devem ser designados no prazo máximo de 5 dia</v>
      </c>
      <c r="D212" s="3" t="str">
        <v>Appointments / planning</v>
      </c>
      <c r="E212" s="3" t="str">
        <v>6 - Os representantes das entidades referidas no n.º 4 devem ser designados no prazo máximo de 5 dias, após a data de entrada em vigor do presente despacho.</v>
      </c>
      <c r="F212" s="3" t="str">
        <v>Entry into force 2025-01-18</v>
      </c>
      <c r="G212" s="20" t="d">
        <v>2025-01-23T00:00:00.000Z</v>
      </c>
      <c r="H212" s="20" t="d">
        <v>2025-01-24T00:00:00.000Z</v>
      </c>
      <c r="I212" s="3" t="str">
        <v>2025-01-18 + 5 calendar days (monitoring convention). If CPA procedural counting applies: 2025-01-24.</v>
      </c>
      <c r="J212" s="3" t="str">
        <v>https://diariodarepublica.pt/dr/detalhe/despacho/1498-2025-905831257</v>
      </c>
      <c r="K212" s="3" t="str">
        <v>No dated delivery evidence identified.</v>
      </c>
    </row>
    <row r="213" ht="90" customHeight="1">
      <c r="A213" s="3" t="str">
        <v>GT-2025-007-D03</v>
      </c>
      <c r="B213" s="3" t="str">
        <v>GT-2025-007</v>
      </c>
      <c r="C213" s="3" t="str">
        <v>Final report / last specified substantive output</v>
      </c>
      <c r="D213" s="3" t="str">
        <v>Status benchmark</v>
      </c>
      <c r="E213" s="3" t="str"/>
      <c r="F213" s="3" t="str"/>
      <c r="G213" s="20" t="d">
        <v>2025-05-30T00:00:00.000Z</v>
      </c>
      <c r="H213" s="20"/>
      <c r="I213" s="3" t="str">
        <v>Fixed date / explicit year-end in creating act.</v>
      </c>
      <c r="J213" s="3" t="str">
        <v>https://diariodarepublica.pt/dr/detalhe/despacho/1498-2025-905831257</v>
      </c>
      <c r="K213" s="3" t="str">
        <v>Em atraso — Controlling benchmark has passed; no evidence of this output’s delivery identified in the reviewed acts and focused official-source outcome search.</v>
      </c>
    </row>
    <row r="214" ht="90" customHeight="1">
      <c r="A214" s="3" t="str">
        <v>GT-2025-008-D01</v>
      </c>
      <c r="B214" s="3" t="str">
        <v>GT-2025-008</v>
      </c>
      <c r="C214" s="3" t="str">
        <v>3 - Os representantes designados no número anterior escolherão na primeira reunião, entre si, o coor</v>
      </c>
      <c r="D214" s="3" t="str">
        <v>Appointments / planning</v>
      </c>
      <c r="E214" s="3" t="str">
        <v>3 - Os representantes designados no número anterior escolherão na primeira reunião, entre si, o coordenador, bem como o relator das conclusões que venham a sair do estudo a elaborar.</v>
      </c>
      <c r="F214" s="3" t="str"/>
      <c r="G214" s="20"/>
      <c r="H214" s="20"/>
      <c r="I214" s="3" t="str">
        <v>No uniquely dated deadline derivable from this clause; cadence or trigger is preserved.</v>
      </c>
      <c r="J214" s="3" t="str">
        <v>https://diariodarepublica.pt/dr/detalhe/despacho/2367-2025-908071163</v>
      </c>
      <c r="K214" s="3" t="str">
        <v>No dated delivery evidence identified.</v>
      </c>
    </row>
    <row r="215" ht="90" customHeight="1">
      <c r="A215" s="3" t="str">
        <v>GT-2025-008-D02</v>
      </c>
      <c r="B215" s="3" t="str">
        <v>GT-2025-008</v>
      </c>
      <c r="C215" s="3" t="str">
        <v>5 - O grupo de trabalho apresenta as conclusões aos membros do Governo responsáveis pelas áreas da s</v>
      </c>
      <c r="D215" s="3" t="str">
        <v>Deliverable / duration</v>
      </c>
      <c r="E215" s="3" t="str">
        <v>5 - O grupo de trabalho apresenta as conclusões aos membros do Governo responsáveis pelas áreas da saúde e trabalho, solidariedade e segurança social, até 30 de abril de 2025.</v>
      </c>
      <c r="F215" s="3" t="str"/>
      <c r="G215" s="20" t="d">
        <v>2025-04-30T00:00:00.000Z</v>
      </c>
      <c r="H215" s="20"/>
      <c r="I215" s="3" t="str">
        <v>Explicit calendar date in the act.</v>
      </c>
      <c r="J215" s="3" t="str">
        <v>https://diariodarepublica.pt/dr/detalhe/despacho/2367-2025-908071163</v>
      </c>
      <c r="K215" s="3" t="str">
        <v>No dated delivery evidence identified.</v>
      </c>
    </row>
    <row r="216" ht="90" customHeight="1">
      <c r="A216" s="3" t="str">
        <v>GT-2025-008-D03</v>
      </c>
      <c r="B216" s="3" t="str">
        <v>GT-2025-008</v>
      </c>
      <c r="C216" s="3" t="str">
        <v>6 - Os representantes das entidades que constituem o grupo de trabalho devem ser designados no prazo</v>
      </c>
      <c r="D216" s="3" t="str">
        <v>Appointments / planning</v>
      </c>
      <c r="E216" s="3" t="str">
        <v>6 - Os representantes das entidades que constituem o grupo de trabalho devem ser designados no prazo de 10 dias contados a partir da data de produção de efeitos do presente despacho.</v>
      </c>
      <c r="F216" s="3" t="str"/>
      <c r="G216" s="20"/>
      <c r="H216" s="20"/>
      <c r="I216" s="3" t="str">
        <v>10 dias after trigger: anchor not expressly specified; exact date cannot be verified.</v>
      </c>
      <c r="J216" s="3" t="str">
        <v>https://diariodarepublica.pt/dr/detalhe/despacho/2367-2025-908071163</v>
      </c>
      <c r="K216" s="3" t="str">
        <v>No dated delivery evidence identified.</v>
      </c>
    </row>
    <row r="217" ht="90" customHeight="1">
      <c r="A217" s="3" t="str">
        <v>GT-2025-008-D04</v>
      </c>
      <c r="B217" s="3" t="str">
        <v>GT-2025-008</v>
      </c>
      <c r="C217" s="3" t="str">
        <v>Final report / last specified substantive output</v>
      </c>
      <c r="D217" s="3" t="str">
        <v>Status benchmark</v>
      </c>
      <c r="E217" s="3" t="str"/>
      <c r="F217" s="3" t="str"/>
      <c r="G217" s="20" t="d">
        <v>2025-04-30T00:00:00.000Z</v>
      </c>
      <c r="H217" s="20"/>
      <c r="I217" s="3" t="str">
        <v>Fixed date / explicit year-end in creating act.</v>
      </c>
      <c r="J217" s="3" t="str">
        <v>https://diariodarepublica.pt/dr/detalhe/despacho/2367-2025-908071163</v>
      </c>
      <c r="K217" s="3" t="str">
        <v>Sem informação pública — Delivery is officially confirmed, but the handover date is not public; timeliness cannot be classified.</v>
      </c>
    </row>
    <row r="218" ht="90" customHeight="1">
      <c r="A218" s="3" t="str">
        <v>GT-2025-009-D01</v>
      </c>
      <c r="B218" s="3" t="str">
        <v>GT-2025-009</v>
      </c>
      <c r="C218" s="3" t="str">
        <v>4 - O grupo de trabalho apresenta ao Secretário de Estado da Presidência do Conselho de Ministros um</v>
      </c>
      <c r="D218" s="3" t="str">
        <v>Deliverable / duration</v>
      </c>
      <c r="E218" s="3" t="str">
        <v>4 - O grupo de trabalho apresenta ao Secretário de Estado da Presidência do Conselho de Ministros um relatório final, com a formulação de propostas legislativas e regulamentares concretas, até ao final do ano de 2025.</v>
      </c>
      <c r="F218" s="3" t="str"/>
      <c r="G218" s="20" t="d">
        <v>2025-12-31T00:00:00.000Z</v>
      </c>
      <c r="H218" s="20"/>
      <c r="I218" s="3" t="str">
        <v>Explicit year-end: 31 December 2025.</v>
      </c>
      <c r="J218" s="3" t="str">
        <v>https://diariodarepublica.pt/dr/detalhe/despacho/2820-2025-909307266</v>
      </c>
      <c r="K218" s="3" t="str">
        <v>No dated delivery evidence identified.</v>
      </c>
    </row>
    <row r="219" ht="90" customHeight="1">
      <c r="A219" s="3" t="str">
        <v>GT-2025-009-D02</v>
      </c>
      <c r="B219" s="3" t="str">
        <v>GT-2025-009</v>
      </c>
      <c r="C219" s="3" t="str">
        <v>Final report / last specified substantive output</v>
      </c>
      <c r="D219" s="3" t="str">
        <v>Status benchmark</v>
      </c>
      <c r="E219" s="3" t="str"/>
      <c r="F219" s="3" t="str"/>
      <c r="G219" s="20" t="d">
        <v>2025-12-31T00:00:00.000Z</v>
      </c>
      <c r="H219" s="20"/>
      <c r="I219" s="3" t="str">
        <v>Fixed date / explicit year-end in creating act.</v>
      </c>
      <c r="J219" s="3" t="str">
        <v>https://diariodarepublica.pt/dr/detalhe/despacho/2820-2025-909307266</v>
      </c>
      <c r="K219" s="3" t="str">
        <v>Prorrogado — Current controlling deadline has not passed; delivery not independently verified.</v>
      </c>
    </row>
    <row r="220" ht="90" customHeight="1">
      <c r="A220" s="3" t="str">
        <v>GT-2025-009-D03</v>
      </c>
      <c r="B220" s="3" t="str">
        <v>GT-2025-009</v>
      </c>
      <c r="C220" s="3" t="str">
        <v>Extended controlling deadline</v>
      </c>
      <c r="D220" s="3" t="str">
        <v>Formal extension</v>
      </c>
      <c r="E220" s="3" t="str">
        <v>1 - A renovação do mandato do grupo de trabalho e a respetiva revisão da composição, para a reforma do quadro legal e regulamentar das fundações, criado pelo Despacho n.º 2820/2025, publicado no Diário da República, 2.ª série, n.º 43, de 3 de março de 2025.
2 - O grupo de trabalho é composto por:
a) Prof. Doutor Henrique Sousa Antunes, professor da Faculdade de Direito da Universidade Católica Portuguesa, que coordena;
b) Prof. Doutor Diogo Costa Gonçalves, professor da Faculdade de Direito da Universidade de Lisboa;
c) Um representante do Centro Jurídico do Estado;
d) Um representante do Gabinete do Secretário de Estado da Presidência do Conselho de Ministros;
e) Um representante do Gabinete do Secretário de Estado da Presidência.
3 - O grupo de trabalho tem por missão elaborar e apresentar ao Secretário de Estado da Presidência do Conselho de Ministros, até 31 de dezembro de 2026, um anteprojeto de diploma legislativo que concretize a reforma do setor fundacional, em coerência com as orientações constantes das linhas orientadoras da reforma do direito das fundações.
4 - Na prossecução da sua missão, o grupo de trabalho pode auscultar os serviços e entidades administrativas, bem como especialistas que considere convenientes, tendo em vista a preparação do anteprojeto de diploma legislativo que concretize a reforma do setor fundacional.
5 - O apoio financeiro e orçamental é assegurado pelo Grupo de Trabalho para a Reforma do Estado e o apoio logístico e administrativo é assegurado pelo Gabinete do Secretário de Estado da Presidência do Conselho de Ministros.
6 - O grupo de trabalho extingue-se com a entrega do anteprojeto de diploma legislativo referido no n.º 3.
7 - Publique-se no Diário da República.
11 de junho de 2026. - O Secretário de Estado da Presidência do Conselho de Ministros, Tiago Meneses Moutinho Macieirinha.
320011638
A
A</v>
      </c>
      <c r="F220" s="3" t="str"/>
      <c r="G220" s="20" t="d">
        <v>2026-12-31T00:00:00.000Z</v>
      </c>
      <c r="H220" s="20"/>
      <c r="I220" s="3" t="str">
        <v>Formal extension: Despacho n.º 7603/2026, de 18 de junho — https://diariodarepublica.pt/dr/detalhe/despacho/7603-2026-1133518850</v>
      </c>
      <c r="J220" s="3" t="str">
        <v>https://diariodarepublica.pt/dr/detalhe/despacho/7603-2026-1133518850</v>
      </c>
      <c r="K220" s="3" t="str">
        <v>No dated delivery evidence identified.</v>
      </c>
    </row>
    <row r="221" ht="90" customHeight="1">
      <c r="A221" s="3" t="str">
        <v>GT-2025-010-D01</v>
      </c>
      <c r="B221" s="3" t="str">
        <v>GT-2025-010</v>
      </c>
      <c r="C221" s="3" t="str">
        <v>2 - Após a definição da abertura da fase referida no número anterior, a ser realizada por despacho d</v>
      </c>
      <c r="D221" s="3" t="str">
        <v>Deliverable / duration</v>
      </c>
      <c r="E221" s="3" t="str">
        <v>2 - Após a definição da abertura da fase referida no número anterior, a ser realizada por despacho da Ministra da Cultura, e o término do prazo determinado para apresentação de candidaturas, o referido grupo de trabalho seleciona as candidaturas que devem passar à fase seguinte.</v>
      </c>
      <c r="F221" s="3" t="str"/>
      <c r="G221" s="20"/>
      <c r="H221" s="20"/>
      <c r="I221" s="3" t="str">
        <v>No uniquely dated deadline derivable from this clause; cadence or trigger is preserved.</v>
      </c>
      <c r="J221" s="3" t="str">
        <v>https://diariodarepublica.pt/dr/detalhe/despacho/2919-2025-909476563</v>
      </c>
      <c r="K221" s="3" t="str">
        <v>No dated delivery evidence identified.</v>
      </c>
    </row>
    <row r="222" ht="90" customHeight="1">
      <c r="A222" s="3" t="str">
        <v>GT-2025-012-D01</v>
      </c>
      <c r="B222" s="3" t="str">
        <v>GT-2025-012</v>
      </c>
      <c r="C222" s="3" t="str">
        <v>2 - O grupo de trabalho deve, no cumprimento dos seus objetivos, produzir um relatório preliminar, a</v>
      </c>
      <c r="D222" s="3" t="str">
        <v>Deliverable / duration</v>
      </c>
      <c r="E222" s="3" t="str">
        <v>2 - O grupo de trabalho deve, no cumprimento dos seus objetivos, produzir um relatório preliminar, a apresentar até 16 de junho de 2025, e um relatório final, a apresentar até 15 de julho de 2025, que reflita(m) a análise, conclusões e propostas concretas de soluções.</v>
      </c>
      <c r="F222" s="3" t="str"/>
      <c r="G222" s="20" t="d">
        <v>2025-07-15T00:00:00.000Z</v>
      </c>
      <c r="H222" s="20"/>
      <c r="I222" s="3" t="str">
        <v>Explicit calendar date in the act.</v>
      </c>
      <c r="J222" s="3" t="str">
        <v>https://diariodarepublica.pt/dr/detalhe/despacho/3143-2025-910331597</v>
      </c>
      <c r="K222" s="3" t="str">
        <v>No dated delivery evidence identified.</v>
      </c>
    </row>
    <row r="223" ht="90" customHeight="1">
      <c r="A223" s="3" t="str">
        <v>GT-2025-012-D02</v>
      </c>
      <c r="B223" s="3" t="str">
        <v>GT-2025-012</v>
      </c>
      <c r="C223" s="3" t="str">
        <v>4 - Os representantes das entidades que integram o grupo de trabalho são designados, e comunicada es</v>
      </c>
      <c r="D223" s="3" t="str">
        <v>Appointments / planning</v>
      </c>
      <c r="E223" s="3" t="str">
        <v>4 - Os representantes das entidades que integram o grupo de trabalho são designados, e comunicada essa designação ao meu Gabinete, no prazo máximo de cinco dias úteis, a contar da data da entrada em vigor do presente despacho.</v>
      </c>
      <c r="F223" s="3" t="str">
        <v>Entry into force 2025-03-12</v>
      </c>
      <c r="G223" s="20" t="d">
        <v>2025-03-19T00:00:00.000Z</v>
      </c>
      <c r="H223" s="20"/>
      <c r="I223" s="3" t="str">
        <v>2025-03-12 + 5 working days; anchor excluded, weekends and national statutory holidays excluded.</v>
      </c>
      <c r="J223" s="3" t="str">
        <v>https://diariodarepublica.pt/dr/detalhe/despacho/3143-2025-910331597</v>
      </c>
      <c r="K223" s="3" t="str">
        <v>No dated delivery evidence identified.</v>
      </c>
    </row>
    <row r="224" ht="90" customHeight="1">
      <c r="A224" s="3" t="str">
        <v>GT-2025-012-D03</v>
      </c>
      <c r="B224" s="3" t="str">
        <v>GT-2025-012</v>
      </c>
      <c r="C224" s="3" t="str">
        <v>Final report / last specified substantive output</v>
      </c>
      <c r="D224" s="3" t="str">
        <v>Status benchmark</v>
      </c>
      <c r="E224" s="3" t="str"/>
      <c r="F224" s="3" t="str"/>
      <c r="G224" s="20" t="d">
        <v>2025-07-15T00:00:00.000Z</v>
      </c>
      <c r="H224" s="20"/>
      <c r="I224" s="3" t="str">
        <v>Fixed date / explicit year-end in creating act.</v>
      </c>
      <c r="J224" s="3" t="str">
        <v>https://diariodarepublica.pt/dr/detalhe/despacho/3143-2025-910331597</v>
      </c>
      <c r="K224" s="3" t="str">
        <v>Em atraso — Controlling benchmark has passed; no evidence of this output’s delivery identified in the reviewed acts and focused official-source outcome search.</v>
      </c>
    </row>
    <row r="225" ht="90" customHeight="1">
      <c r="A225" s="3" t="str">
        <v>GT-2025-013-D01</v>
      </c>
      <c r="B225" s="3" t="str">
        <v>GT-2025-013</v>
      </c>
      <c r="C225" s="3" t="str">
        <v>7 - O Grupo de Trabalho deve apresentar um relatório à Ministra da Cultura com os resultados do trab</v>
      </c>
      <c r="D225" s="3" t="str">
        <v>Deliverable / duration</v>
      </c>
      <c r="E225" s="3" t="str">
        <v>7 - O Grupo de Trabalho deve apresentar um relatório à Ministra da Cultura com os resultados do trabalho realizado e a formulação de propostas para dar cumprimento ao previsto no n.º 2 no prazo de um ano a contar da data da publicação do presente despacho.</v>
      </c>
      <c r="F225" s="3" t="str">
        <v>Publication 2025-03-17</v>
      </c>
      <c r="G225" s="20" t="d">
        <v>2026-03-17T00:00:00.000Z</v>
      </c>
      <c r="H225" s="20"/>
      <c r="I225" s="3" t="str">
        <v>2025-03-17 + 1 ano by calendar anniversary, end-of-month capped if necessary.</v>
      </c>
      <c r="J225" s="3" t="str">
        <v>https://diariodarepublica.pt/dr/detalhe/despacho/3402-2025-911131353</v>
      </c>
      <c r="K225" s="3" t="str">
        <v>No dated delivery evidence identified.</v>
      </c>
    </row>
    <row r="226" ht="90" customHeight="1">
      <c r="A226" s="3" t="str">
        <v>GT-2025-013-D02</v>
      </c>
      <c r="B226" s="3" t="str">
        <v>GT-2025-013</v>
      </c>
      <c r="C226" s="3" t="str">
        <v>11 - O mandato do Grupo de Trabalho tem a duração de um ano, a contar da data de entrada em vigor do</v>
      </c>
      <c r="D226" s="3" t="str">
        <v>Deliverable / duration</v>
      </c>
      <c r="E226" s="3" t="str">
        <v>11 - O mandato do Grupo de Trabalho tem a duração de um ano, a contar da data de entrada em vigor do presente despacho.</v>
      </c>
      <c r="F226" s="3" t="str">
        <v>Entry into force 2025-03-18</v>
      </c>
      <c r="G226" s="20" t="d">
        <v>2026-03-18T00:00:00.000Z</v>
      </c>
      <c r="H226" s="20"/>
      <c r="I226" s="3" t="str">
        <v>2025-03-18 + 1 ano by calendar anniversary, end-of-month capped if necessary.</v>
      </c>
      <c r="J226" s="3" t="str">
        <v>https://diariodarepublica.pt/dr/detalhe/despacho/3402-2025-911131353</v>
      </c>
      <c r="K226" s="3" t="str">
        <v>No dated delivery evidence identified.</v>
      </c>
    </row>
    <row r="227" ht="90" customHeight="1">
      <c r="A227" s="3" t="str">
        <v>GT-2025-013-D03</v>
      </c>
      <c r="B227" s="3" t="str">
        <v>GT-2025-013</v>
      </c>
      <c r="C227" s="3" t="str">
        <v>Final report / last specified substantive output</v>
      </c>
      <c r="D227" s="3" t="str">
        <v>Status benchmark</v>
      </c>
      <c r="E227" s="3" t="str"/>
      <c r="F227" s="3" t="str"/>
      <c r="G227" s="20" t="d">
        <v>2026-03-17T00:00:00.000Z</v>
      </c>
      <c r="H227" s="20"/>
      <c r="I227" s="3" t="str">
        <v>published 2025-03-17 + 12 calendar months (anniversary rule).</v>
      </c>
      <c r="J227" s="3" t="str">
        <v>https://diariodarepublica.pt/dr/detalhe/despacho/3402-2025-911131353</v>
      </c>
      <c r="K227" s="3" t="str">
        <v>Em atraso — Controlling benchmark has passed; no evidence of this output’s delivery identified in the reviewed acts and focused official-source outcome search.</v>
      </c>
    </row>
    <row r="228" ht="90" customHeight="1">
      <c r="A228" s="3" t="str">
        <v>GT-2025-014-D01</v>
      </c>
      <c r="B228" s="3" t="str">
        <v>GT-2025-014</v>
      </c>
      <c r="C228" s="3" t="str">
        <v>1 - É criado um grupo de trabalho, doravante designado por GT, com a missão de, numa perspetiva de a</v>
      </c>
      <c r="D228" s="3" t="str">
        <v>Deliverable / duration</v>
      </c>
      <c r="E228" s="3" t="str">
        <v>1 - É criado um grupo de trabalho, doravante designado por GT, com a missão de, numa perspetiva de articulação, harmonização e corresponsabilização, refletir sobre a melhor implementação das medidas previstas e sua adequada calendarização, tendo em vista a salvaguarda dos valores e do risco, e sobre o modelo de gestão do domínio público marítimo adequado a cada uma das situações, considerando, nomeadamente, o enquadramento legal vigente, a natureza das ilhas barreira, a experiência, o conhecimento e o trabalho já desenvolvido até à data.</v>
      </c>
      <c r="F228" s="3" t="str"/>
      <c r="G228" s="20"/>
      <c r="H228" s="20"/>
      <c r="I228" s="3" t="str">
        <v>No uniquely dated deadline derivable from this clause; cadence or trigger is preserved.</v>
      </c>
      <c r="J228" s="3" t="str">
        <v>https://diariodarepublica.pt/dr/detalhe/despacho/3406-a-2025-911344585</v>
      </c>
      <c r="K228" s="3" t="str">
        <v>No dated delivery evidence identified.</v>
      </c>
    </row>
    <row r="229" ht="90" customHeight="1">
      <c r="A229" s="3" t="str">
        <v>GT-2025-014-D02</v>
      </c>
      <c r="B229" s="3" t="str">
        <v>GT-2025-014</v>
      </c>
      <c r="C229" s="3" t="str">
        <v>d) Refletir e identificar um modelo de gestão do domínio público marítimo adequado a cada uma das si</v>
      </c>
      <c r="D229" s="3" t="str">
        <v>Deliverable / duration</v>
      </c>
      <c r="E229" s="3" t="str">
        <v>d) Refletir e identificar um modelo de gestão do domínio público marítimo adequado a cada uma das situações, considerando, nomeadamente, o enquadramento legal vigente, as decisões judiciais, a natureza das ilhas barreira, a experiência, o conhecimento e o trabalho já desenvolvido até à data, e salvaguardando as questões de equidade face às decisões já concretizadas.</v>
      </c>
      <c r="F229" s="3" t="str"/>
      <c r="G229" s="20"/>
      <c r="H229" s="20"/>
      <c r="I229" s="3" t="str">
        <v>No uniquely dated deadline derivable from this clause; cadence or trigger is preserved.</v>
      </c>
      <c r="J229" s="3" t="str">
        <v>https://diariodarepublica.pt/dr/detalhe/despacho/3406-a-2025-911344585</v>
      </c>
      <c r="K229" s="3" t="str">
        <v>No dated delivery evidence identified.</v>
      </c>
    </row>
    <row r="230" ht="90" customHeight="1">
      <c r="A230" s="3" t="str">
        <v>GT-2025-014-D03</v>
      </c>
      <c r="B230" s="3" t="str">
        <v>GT-2025-014</v>
      </c>
      <c r="C230" s="3" t="str">
        <v>4 - As entidades referidas no número anterior devem comunicar a designação dos seus representantes a</v>
      </c>
      <c r="D230" s="3" t="str">
        <v>Appointments / planning</v>
      </c>
      <c r="E230" s="3" t="str">
        <v>4 - As entidades referidas no número anterior devem comunicar a designação dos seus representantes ao Gabinete do Secretário de Estado do Ambiente, no prazo de cinco dias a contar da data de publicação do presente despacho.</v>
      </c>
      <c r="F230" s="3" t="str">
        <v>Publication 2025-03-17</v>
      </c>
      <c r="G230" s="20" t="d">
        <v>2025-03-22T00:00:00.000Z</v>
      </c>
      <c r="H230" s="20" t="d">
        <v>2025-03-24T00:00:00.000Z</v>
      </c>
      <c r="I230" s="3" t="str">
        <v>2025-03-17 + 5 calendar days (monitoring convention). If CPA procedural counting applies: 2025-03-24.</v>
      </c>
      <c r="J230" s="3" t="str">
        <v>https://diariodarepublica.pt/dr/detalhe/despacho/3406-a-2025-911344585</v>
      </c>
      <c r="K230" s="3" t="str">
        <v>No dated delivery evidence identified.</v>
      </c>
    </row>
    <row r="231" ht="90" customHeight="1">
      <c r="A231" s="3" t="str">
        <v>GT-2025-014-D04</v>
      </c>
      <c r="B231" s="3" t="str">
        <v>GT-2025-014</v>
      </c>
      <c r="C231" s="3" t="str">
        <v>7 - O GT deve apresentar, até ao final do ano, um relatório detalhado e fundamentado sobre as questõ</v>
      </c>
      <c r="D231" s="3" t="str">
        <v>Deliverable / duration</v>
      </c>
      <c r="E231" s="3" t="str">
        <v>7 - O GT deve apresentar, até ao final do ano, um relatório detalhado e fundamentado sobre as questões referidas no n.º 2 e eventuais propostas.</v>
      </c>
      <c r="F231" s="3" t="str"/>
      <c r="G231" s="20"/>
      <c r="H231" s="20"/>
      <c r="I231" s="3" t="str">
        <v>No uniquely dated deadline derivable from this clause; cadence or trigger is preserved.</v>
      </c>
      <c r="J231" s="3" t="str">
        <v>https://diariodarepublica.pt/dr/detalhe/despacho/3406-a-2025-911344585</v>
      </c>
      <c r="K231" s="3" t="str">
        <v>No dated delivery evidence identified.</v>
      </c>
    </row>
    <row r="232" ht="90" customHeight="1">
      <c r="A232" s="3" t="str">
        <v>GT-2025-015-D01</v>
      </c>
      <c r="B232" s="3" t="str">
        <v>GT-2025-015</v>
      </c>
      <c r="C232" s="3" t="str">
        <v>4 - As referidas entidades devem indicar no prazo de 5 dias os representantes referidos no número an</v>
      </c>
      <c r="D232" s="3" t="str">
        <v>Appointments / planning</v>
      </c>
      <c r="E232" s="3" t="str">
        <v>4 - As referidas entidades devem indicar no prazo de 5 dias os representantes referidos no número anterior.</v>
      </c>
      <c r="F232" s="3" t="str"/>
      <c r="G232" s="20"/>
      <c r="H232" s="20"/>
      <c r="I232" s="3" t="str">
        <v>5 dias after trigger: anchor not expressly specified; exact date cannot be verified.</v>
      </c>
      <c r="J232" s="3" t="str">
        <v>https://diariodarepublica.pt/dr/detalhe/despacho/3518-2025-911650069</v>
      </c>
      <c r="K232" s="3" t="str">
        <v>No dated delivery evidence identified.</v>
      </c>
    </row>
    <row r="233" ht="90" customHeight="1">
      <c r="A233" s="3" t="str">
        <v>GT-2025-015-D02</v>
      </c>
      <c r="B233" s="3" t="str">
        <v>GT-2025-015</v>
      </c>
      <c r="C233" s="3" t="str">
        <v>11 - O mandato do Grupo de Trabalho tem a duração de 12 meses, a contar da entrada em vigor do prese</v>
      </c>
      <c r="D233" s="3" t="str">
        <v>Deliverable / duration</v>
      </c>
      <c r="E233" s="3" t="str">
        <v>11 - O mandato do Grupo de Trabalho tem a duração de 12 meses, a contar da entrada em vigor do presente despacho, sem prejuízo da possibilidade da sua prorrogação.</v>
      </c>
      <c r="F233" s="3" t="str">
        <v>Entry into force 2025-03-21</v>
      </c>
      <c r="G233" s="20" t="d">
        <v>2026-03-21T00:00:00.000Z</v>
      </c>
      <c r="H233" s="20"/>
      <c r="I233" s="3" t="str">
        <v>2025-03-21 + 12 meses by calendar anniversary, end-of-month capped if necessary.</v>
      </c>
      <c r="J233" s="3" t="str">
        <v>https://diariodarepublica.pt/dr/detalhe/despacho/3518-2025-911650069</v>
      </c>
      <c r="K233" s="3" t="str">
        <v>No dated delivery evidence identified.</v>
      </c>
    </row>
    <row r="234" ht="90" customHeight="1">
      <c r="A234" s="3" t="str">
        <v>GT-2025-015-D03</v>
      </c>
      <c r="B234" s="3" t="str">
        <v>GT-2025-015</v>
      </c>
      <c r="C234" s="3" t="str">
        <v>a) No prazo máximo de 6 meses a contar da entrada em vigor do presente despacho, um relatório, que d</v>
      </c>
      <c r="D234" s="3" t="str">
        <v>Deliverable / duration</v>
      </c>
      <c r="E234" s="3" t="str">
        <v>a) No prazo máximo de 6 meses a contar da entrada em vigor do presente despacho, um relatório, que deve incluir uma resposta ao objetivo referido no n.º 2;</v>
      </c>
      <c r="F234" s="3" t="str">
        <v>Entry into force 2025-03-21</v>
      </c>
      <c r="G234" s="20" t="d">
        <v>2025-09-21T00:00:00.000Z</v>
      </c>
      <c r="H234" s="20"/>
      <c r="I234" s="3" t="str">
        <v>2025-03-21 + 6 meses by calendar anniversary, end-of-month capped if necessary.</v>
      </c>
      <c r="J234" s="3" t="str">
        <v>https://diariodarepublica.pt/dr/detalhe/despacho/3518-2025-911650069</v>
      </c>
      <c r="K234" s="3" t="str">
        <v>No dated delivery evidence identified.</v>
      </c>
    </row>
    <row r="235" ht="90" customHeight="1">
      <c r="A235" s="3" t="str">
        <v>GT-2025-015-D04</v>
      </c>
      <c r="B235" s="3" t="str">
        <v>GT-2025-015</v>
      </c>
      <c r="C235" s="3" t="str">
        <v>b) No prazo máximo de 12 meses, um relatório final que integre a resposta ao objetivo referido na al</v>
      </c>
      <c r="D235" s="3" t="str">
        <v>Deliverable / duration</v>
      </c>
      <c r="E235" s="3" t="str">
        <v>b) No prazo máximo de 12 meses, um relatório final que integre a resposta ao objetivo referido na alínea anterior, bem como o resultado da consulta às entidades referidas no n.º 5 do presente despacho.</v>
      </c>
      <c r="F235" s="3" t="str">
        <v>Entry into force 2025-03-21</v>
      </c>
      <c r="G235" s="20" t="d">
        <v>2026-03-21T00:00:00.000Z</v>
      </c>
      <c r="H235" s="20"/>
      <c r="I235" s="3" t="str">
        <v>2025-03-21 + 12 meses by calendar anniversary, end-of-month capped if necessary.</v>
      </c>
      <c r="J235" s="3" t="str">
        <v>https://diariodarepublica.pt/dr/detalhe/despacho/3518-2025-911650069</v>
      </c>
      <c r="K235" s="3" t="str">
        <v>No dated delivery evidence identified.</v>
      </c>
    </row>
    <row r="236" ht="90" customHeight="1">
      <c r="A236" s="3" t="str">
        <v>GT-2025-015-D05</v>
      </c>
      <c r="B236" s="3" t="str">
        <v>GT-2025-015</v>
      </c>
      <c r="C236" s="3" t="str">
        <v>Final report / last specified substantive output</v>
      </c>
      <c r="D236" s="3" t="str">
        <v>Status benchmark</v>
      </c>
      <c r="E236" s="3" t="str"/>
      <c r="F236" s="3" t="str"/>
      <c r="G236" s="20" t="d">
        <v>2026-03-21T00:00:00.000Z</v>
      </c>
      <c r="H236" s="20"/>
      <c r="I236" s="3" t="str">
        <v>effective 2025-03-21 + 12 calendar months (anniversary rule).</v>
      </c>
      <c r="J236" s="3" t="str">
        <v>https://diariodarepublica.pt/dr/detalhe/despacho/3518-2025-911650069</v>
      </c>
      <c r="K236" s="3" t="str">
        <v>Em atraso — Controlling benchmark has passed; no evidence of this output’s delivery identified in the reviewed acts and focused official-source outcome search.</v>
      </c>
    </row>
    <row r="237" ht="90" customHeight="1">
      <c r="A237" s="3" t="str">
        <v>GT-2025-016-D01</v>
      </c>
      <c r="B237" s="3" t="str">
        <v>GT-2025-016</v>
      </c>
      <c r="C237" s="3" t="str">
        <v>2 - O grupo de trabalho deverá apresentar, até ao dia 30 de abril de 2025, um relatório com os contr</v>
      </c>
      <c r="D237" s="3" t="str">
        <v>Periodic / conditional</v>
      </c>
      <c r="E237" s="3" t="str">
        <v>2 - O grupo de trabalho deverá apresentar, até ao dia 30 de abril de 2025, um relatório com os contributos e as recomendações adequados ao desenvolvimento das atividades, científicas e tecnológicas, do CIIAE, em Portugal e em Espanha, em articulação com os parceiros científicos espanhóis.</v>
      </c>
      <c r="F237" s="3" t="str"/>
      <c r="G237" s="20" t="d">
        <v>2025-04-30T00:00:00.000Z</v>
      </c>
      <c r="H237" s="20"/>
      <c r="I237" s="3" t="str">
        <v>Explicit calendar date in the act.</v>
      </c>
      <c r="J237" s="3" t="str">
        <v>https://diariodarepublica.pt/dr/detalhe/despacho/3675-2025-911850448</v>
      </c>
      <c r="K237" s="3" t="str">
        <v>No dated delivery evidence identified.</v>
      </c>
    </row>
    <row r="238" ht="90" customHeight="1">
      <c r="A238" s="3" t="str">
        <v>GT-2025-016-D02</v>
      </c>
      <c r="B238" s="3" t="str">
        <v>GT-2025-016</v>
      </c>
      <c r="C238" s="3" t="str">
        <v>5 - Os representantes referidos nas alíneas g) e h) do número anterior são designados no prazo de 10</v>
      </c>
      <c r="D238" s="3" t="str">
        <v>Appointments / planning</v>
      </c>
      <c r="E238" s="3" t="str">
        <v>5 - Os representantes referidos nas alíneas g) e h) do número anterior são designados no prazo de 10 dias após a data de publicação do presente despacho, podendo ser substituídos, a todo o tempo, mediante comunicação ao coordenador do grupo de trabalho e às áreas governativas das respetivas tutelas.</v>
      </c>
      <c r="F238" s="3" t="str">
        <v>Publication 2025-03-24</v>
      </c>
      <c r="G238" s="20" t="d">
        <v>2025-04-03T00:00:00.000Z</v>
      </c>
      <c r="H238" s="20" t="d">
        <v>2025-04-07T00:00:00.000Z</v>
      </c>
      <c r="I238" s="3" t="str">
        <v>2025-03-24 + 10 calendar days (monitoring convention). If CPA procedural counting applies: 2025-04-07.</v>
      </c>
      <c r="J238" s="3" t="str">
        <v>https://diariodarepublica.pt/dr/detalhe/despacho/3675-2025-911850448</v>
      </c>
      <c r="K238" s="3" t="str">
        <v>No dated delivery evidence identified.</v>
      </c>
    </row>
    <row r="239" ht="90" customHeight="1">
      <c r="A239" s="3" t="str">
        <v>GT-2025-016-D03</v>
      </c>
      <c r="B239" s="3" t="str">
        <v>GT-2025-016</v>
      </c>
      <c r="C239" s="3" t="str">
        <v>Final report / last specified substantive output</v>
      </c>
      <c r="D239" s="3" t="str">
        <v>Status benchmark</v>
      </c>
      <c r="E239" s="3" t="str"/>
      <c r="F239" s="3" t="str"/>
      <c r="G239" s="20" t="d">
        <v>2025-04-30T00:00:00.000Z</v>
      </c>
      <c r="H239" s="20"/>
      <c r="I239" s="3" t="str">
        <v>Fixed date / explicit year-end in creating act.</v>
      </c>
      <c r="J239" s="3" t="str">
        <v>https://diariodarepublica.pt/dr/detalhe/despacho/3675-2025-911850448</v>
      </c>
      <c r="K239" s="3" t="str">
        <v>Em atraso — Controlling benchmark has passed; no evidence of this output’s delivery identified in the reviewed acts and focused official-source outcome search.</v>
      </c>
    </row>
    <row r="240" ht="90" customHeight="1">
      <c r="A240" s="3" t="str">
        <v>GT-2025-017-D01</v>
      </c>
      <c r="B240" s="3" t="str">
        <v>GT-2025-017</v>
      </c>
      <c r="C240" s="3" t="str">
        <v>10 - O grupo de trabalho terá a duração de seis meses, devendo, no prazo de 60 dias, apresentar um r</v>
      </c>
      <c r="D240" s="3" t="str">
        <v>Deliverable / duration</v>
      </c>
      <c r="E240" s="3" t="str">
        <v>10 - O grupo de trabalho terá a duração de seis meses, devendo, no prazo de 60 dias, apresentar um relatório intercalar com um diagnóstico sobre os desafios e requisitos para a transição do SIGIC para o SINACC, e um relatório final, no prazo máximo de 180 dias, com as recomendações e plano de implementação do SINACC, bem como as propostas de revisão do quadro normativo vigente.</v>
      </c>
      <c r="F240" s="3" t="str"/>
      <c r="G240" s="20"/>
      <c r="H240" s="20"/>
      <c r="I240" s="3" t="str">
        <v>6 meses after trigger: anchor not expressly specified; exact date cannot be verified.</v>
      </c>
      <c r="J240" s="3" t="str">
        <v>https://diariodarepublica.pt/dr/detalhe/despacho/3918-2025-912846496</v>
      </c>
      <c r="K240" s="3" t="str">
        <v>No dated delivery evidence identified.</v>
      </c>
    </row>
    <row r="241" ht="90" customHeight="1">
      <c r="A241" s="3" t="str">
        <v>GT-2025-017-D02</v>
      </c>
      <c r="B241" s="3" t="str">
        <v>GT-2025-017</v>
      </c>
      <c r="C241" s="3" t="str">
        <v>Final report / last specified substantive output</v>
      </c>
      <c r="D241" s="3" t="str">
        <v>Status benchmark</v>
      </c>
      <c r="E241" s="3" t="str"/>
      <c r="F241" s="3" t="str"/>
      <c r="G241" s="20" t="d">
        <v>2025-09-29T00:00:00.000Z</v>
      </c>
      <c r="H241" s="20"/>
      <c r="I241" s="3" t="str">
        <v>effective 2025-03-29 + 6 calendar months (anniversary rule).</v>
      </c>
      <c r="J241" s="3" t="str">
        <v>https://diariodarepublica.pt/dr/detalhe/despacho/3918-2025-912846496</v>
      </c>
      <c r="K241" s="3" t="str">
        <v>Sem informação pública — Delivery is officially confirmed, but the handover date is not public; timeliness cannot be classified.</v>
      </c>
    </row>
    <row r="242" ht="90" customHeight="1">
      <c r="A242" s="3" t="str">
        <v>GT-2025-018-D01</v>
      </c>
      <c r="B242" s="3" t="str">
        <v>GT-2025-018</v>
      </c>
      <c r="C242" s="3" t="str">
        <v>10 - Os representantes das entidades referidas nas alíneas b) e c) do n.º 6 e no n.º 7 são indicados</v>
      </c>
      <c r="D242" s="3" t="str">
        <v>Appointments / planning</v>
      </c>
      <c r="E242" s="3" t="str">
        <v>10 - Os representantes das entidades referidas nas alíneas b) e c) do n.º 6 e no n.º 7 são indicados ao ICNF, I. P., no prazo máximo de 20 dias, após a data de entrada em vigor do presente despacho.</v>
      </c>
      <c r="F242" s="3" t="str">
        <v>Entry into force 2025-05-15</v>
      </c>
      <c r="G242" s="20" t="d">
        <v>2025-06-04T00:00:00.000Z</v>
      </c>
      <c r="H242" s="20" t="d">
        <v>2025-06-13T00:00:00.000Z</v>
      </c>
      <c r="I242" s="3" t="str">
        <v>2025-05-15 + 20 calendar days (monitoring convention). If CPA procedural counting applies: 2025-06-13.</v>
      </c>
      <c r="J242" s="3" t="str">
        <v>https://diariodarepublica.pt/dr/detalhe/despacho/5543-a-2025-918326433</v>
      </c>
      <c r="K242" s="3" t="str">
        <v>No dated delivery evidence identified.</v>
      </c>
    </row>
    <row r="243" ht="90" customHeight="1">
      <c r="A243" s="3" t="str">
        <v>GT-2025-018-D02</v>
      </c>
      <c r="B243" s="3" t="str">
        <v>GT-2025-018</v>
      </c>
      <c r="C243" s="3" t="str">
        <v>15 - Anualmente, até 31 de dezembro, os grupos de trabalho apresentam às respetivas tutelas um relat</v>
      </c>
      <c r="D243" s="3" t="str">
        <v>Periodic / conditional</v>
      </c>
      <c r="E243" s="3" t="str">
        <v>15 - Anualmente, até 31 de dezembro, os grupos de trabalho apresentam às respetivas tutelas um relatório sobre a atividade realizada e os resultados alcançados.</v>
      </c>
      <c r="F243" s="3" t="str"/>
      <c r="G243" s="20"/>
      <c r="H243" s="20"/>
      <c r="I243" s="3" t="str">
        <v>No uniquely dated deadline derivable from this clause; cadence or trigger is preserved.</v>
      </c>
      <c r="J243" s="3" t="str">
        <v>https://diariodarepublica.pt/dr/detalhe/despacho/5543-a-2025-918326433</v>
      </c>
      <c r="K243" s="3" t="str">
        <v>No dated delivery evidence identified.</v>
      </c>
    </row>
    <row r="244" ht="90" customHeight="1">
      <c r="A244" s="3" t="str">
        <v>GT-2025-018-D03</v>
      </c>
      <c r="B244" s="3" t="str">
        <v>GT-2025-018</v>
      </c>
      <c r="C244" s="3" t="str">
        <v>16 - Os mandatos dos grupos de trabalho terminam no final do ano de 2028.</v>
      </c>
      <c r="D244" s="3" t="str">
        <v>Deliverable / duration</v>
      </c>
      <c r="E244" s="3" t="str">
        <v>16 - Os mandatos dos grupos de trabalho terminam no final do ano de 2028.</v>
      </c>
      <c r="F244" s="3" t="str"/>
      <c r="G244" s="20" t="d">
        <v>2028-12-31T00:00:00.000Z</v>
      </c>
      <c r="H244" s="20"/>
      <c r="I244" s="3" t="str">
        <v>Explicit year-end: 31 December 2028.</v>
      </c>
      <c r="J244" s="3" t="str">
        <v>https://diariodarepublica.pt/dr/detalhe/despacho/5543-a-2025-918326433</v>
      </c>
      <c r="K244" s="3" t="str">
        <v>No dated delivery evidence identified.</v>
      </c>
    </row>
    <row r="245" ht="90" customHeight="1">
      <c r="A245" s="3" t="str">
        <v>GT-2025-018-D04</v>
      </c>
      <c r="B245" s="3" t="str">
        <v>GT-2025-018</v>
      </c>
      <c r="C245" s="3" t="str">
        <v>2025 annual report (five regional groups)</v>
      </c>
      <c r="D245" s="3" t="str">
        <v>Status benchmark</v>
      </c>
      <c r="E245" s="3" t="str"/>
      <c r="F245" s="3" t="str"/>
      <c r="G245" s="20" t="d">
        <v>2025-12-31T00:00:00.000Z</v>
      </c>
      <c r="H245" s="20"/>
      <c r="I245" s="3" t="str">
        <v>Annual report required by 31 December; first statutory reporting year is 2025.</v>
      </c>
      <c r="J245" s="3" t="str">
        <v>https://diariodarepublica.pt/dr/detalhe/despacho/5543-a-2025-918326433</v>
      </c>
      <c r="K245" s="3" t="str">
        <v>Em atraso — Controlling benchmark has passed; no evidence of this output’s delivery identified in the reviewed acts and focused official-source outcome search.</v>
      </c>
    </row>
    <row r="246" ht="90" customHeight="1">
      <c r="A246" s="3" t="str">
        <v>GT-2025-018-D05</v>
      </c>
      <c r="B246" s="3" t="str">
        <v>GT-2025-018</v>
      </c>
      <c r="C246" s="3" t="str">
        <v>Annual reports: 2026</v>
      </c>
      <c r="D246" s="3" t="str">
        <v>Periodic</v>
      </c>
      <c r="E246" s="3" t="str">
        <v>15 - Anualmente, até 31 de dezembro, os grupos de trabalho apresentam às respetivas tutelas um relatório sobre a atividade realizada e os resultados alcançados.</v>
      </c>
      <c r="F246" s="3" t="str"/>
      <c r="G246" s="20" t="d">
        <v>2026-12-31T00:00:00.000Z</v>
      </c>
      <c r="H246" s="20"/>
      <c r="I246" s="3" t="str">
        <v>Every year by 31 December; clause 15.</v>
      </c>
      <c r="J246" s="3" t="str">
        <v>https://diariodarepublica.pt/dr/detalhe/despacho/5543-a-2025-918326433</v>
      </c>
      <c r="K246" s="3" t="str">
        <v>No dated delivery evidence identified.</v>
      </c>
    </row>
    <row r="247" ht="90" customHeight="1">
      <c r="A247" s="3" t="str">
        <v>GT-2025-018-D06</v>
      </c>
      <c r="B247" s="3" t="str">
        <v>GT-2025-018</v>
      </c>
      <c r="C247" s="3" t="str">
        <v>Annual reports: 2027</v>
      </c>
      <c r="D247" s="3" t="str">
        <v>Periodic</v>
      </c>
      <c r="E247" s="3" t="str"/>
      <c r="F247" s="3" t="str"/>
      <c r="G247" s="20" t="d">
        <v>2027-12-31T00:00:00.000Z</v>
      </c>
      <c r="H247" s="20"/>
      <c r="I247" s="3" t="str">
        <v>Every year by 31 December; clause 15.</v>
      </c>
      <c r="J247" s="3" t="str">
        <v>https://diariodarepublica.pt/dr/detalhe/despacho/5543-a-2025-918326433</v>
      </c>
      <c r="K247" s="3" t="str">
        <v>No dated delivery evidence identified.</v>
      </c>
    </row>
    <row r="248" ht="90" customHeight="1">
      <c r="A248" s="3" t="str">
        <v>GT-2025-018-D07</v>
      </c>
      <c r="B248" s="3" t="str">
        <v>GT-2025-018</v>
      </c>
      <c r="C248" s="3" t="str">
        <v>Annual reports: 2028 / end of mandate</v>
      </c>
      <c r="D248" s="3" t="str">
        <v>Periodic / mandate</v>
      </c>
      <c r="E248" s="3" t="str"/>
      <c r="F248" s="3" t="str"/>
      <c r="G248" s="20" t="d">
        <v>2028-12-31T00:00:00.000Z</v>
      </c>
      <c r="H248" s="20"/>
      <c r="I248" s="3" t="str">
        <v>Every year by 31 December; mandate ends at end of 2028 (clauses 15–16).</v>
      </c>
      <c r="J248" s="3" t="str">
        <v>https://diariodarepublica.pt/dr/detalhe/despacho/5543-a-2025-918326433</v>
      </c>
      <c r="K248" s="3" t="str">
        <v>No dated delivery evidence identified.</v>
      </c>
    </row>
    <row r="249" ht="90" customHeight="1">
      <c r="A249" s="3" t="str">
        <v>GT-2025-019-D01</v>
      </c>
      <c r="B249" s="3" t="str">
        <v>GT-2025-019</v>
      </c>
      <c r="C249" s="3" t="str">
        <v>10 - Os representantes das entidades referidas nas alíneas b) e c) do n.º 6 e no n.º 7 são indicados</v>
      </c>
      <c r="D249" s="3" t="str">
        <v>Appointments / planning</v>
      </c>
      <c r="E249" s="3" t="str">
        <v>10 - Os representantes das entidades referidas nas alíneas b) e c) do n.º 6 e no n.º 7 são indicados ao ICNF, I. P., no prazo máximo de 20 dias, após a data de entrada em vigor do presente despacho.</v>
      </c>
      <c r="F249" s="3" t="str">
        <v>Entry into force 2025-05-15</v>
      </c>
      <c r="G249" s="20" t="d">
        <v>2025-06-04T00:00:00.000Z</v>
      </c>
      <c r="H249" s="20" t="d">
        <v>2025-06-13T00:00:00.000Z</v>
      </c>
      <c r="I249" s="3" t="str">
        <v>2025-05-15 + 20 calendar days (monitoring convention). If CPA procedural counting applies: 2025-06-13.</v>
      </c>
      <c r="J249" s="3" t="str">
        <v>https://diariodarepublica.pt/dr/detalhe/despacho/5543-a-2025-918326433</v>
      </c>
      <c r="K249" s="3" t="str">
        <v>No dated delivery evidence identified.</v>
      </c>
    </row>
    <row r="250" ht="90" customHeight="1">
      <c r="A250" s="3" t="str">
        <v>GT-2025-019-D02</v>
      </c>
      <c r="B250" s="3" t="str">
        <v>GT-2025-019</v>
      </c>
      <c r="C250" s="3" t="str">
        <v>15 - Anualmente, até 31 de dezembro, os grupos de trabalho apresentam às respetivas tutelas um relat</v>
      </c>
      <c r="D250" s="3" t="str">
        <v>Periodic / conditional</v>
      </c>
      <c r="E250" s="3" t="str">
        <v>15 - Anualmente, até 31 de dezembro, os grupos de trabalho apresentam às respetivas tutelas um relatório sobre a atividade realizada e os resultados alcançados.</v>
      </c>
      <c r="F250" s="3" t="str"/>
      <c r="G250" s="20"/>
      <c r="H250" s="20"/>
      <c r="I250" s="3" t="str">
        <v>No uniquely dated deadline derivable from this clause; cadence or trigger is preserved.</v>
      </c>
      <c r="J250" s="3" t="str">
        <v>https://diariodarepublica.pt/dr/detalhe/despacho/5543-a-2025-918326433</v>
      </c>
      <c r="K250" s="3" t="str">
        <v>No dated delivery evidence identified.</v>
      </c>
    </row>
    <row r="251" ht="90" customHeight="1">
      <c r="A251" s="3" t="str">
        <v>GT-2025-019-D03</v>
      </c>
      <c r="B251" s="3" t="str">
        <v>GT-2025-019</v>
      </c>
      <c r="C251" s="3" t="str">
        <v>16 - Os mandatos dos grupos de trabalho terminam no final do ano de 2028.</v>
      </c>
      <c r="D251" s="3" t="str">
        <v>Deliverable / duration</v>
      </c>
      <c r="E251" s="3" t="str">
        <v>16 - Os mandatos dos grupos de trabalho terminam no final do ano de 2028.</v>
      </c>
      <c r="F251" s="3" t="str"/>
      <c r="G251" s="20" t="d">
        <v>2028-12-31T00:00:00.000Z</v>
      </c>
      <c r="H251" s="20"/>
      <c r="I251" s="3" t="str">
        <v>Explicit year-end: 31 December 2028.</v>
      </c>
      <c r="J251" s="3" t="str">
        <v>https://diariodarepublica.pt/dr/detalhe/despacho/5543-a-2025-918326433</v>
      </c>
      <c r="K251" s="3" t="str">
        <v>No dated delivery evidence identified.</v>
      </c>
    </row>
    <row r="252" ht="90" customHeight="1">
      <c r="A252" s="3" t="str">
        <v>GT-2025-019-D04</v>
      </c>
      <c r="B252" s="3" t="str">
        <v>GT-2025-019</v>
      </c>
      <c r="C252" s="3" t="str">
        <v>2025 annual report (five regional groups)</v>
      </c>
      <c r="D252" s="3" t="str">
        <v>Status benchmark</v>
      </c>
      <c r="E252" s="3" t="str"/>
      <c r="F252" s="3" t="str"/>
      <c r="G252" s="20" t="d">
        <v>2025-12-31T00:00:00.000Z</v>
      </c>
      <c r="H252" s="20"/>
      <c r="I252" s="3" t="str">
        <v>Annual report required by 31 December; first statutory reporting year is 2025.</v>
      </c>
      <c r="J252" s="3" t="str">
        <v>https://diariodarepublica.pt/dr/detalhe/despacho/5543-a-2025-918326433</v>
      </c>
      <c r="K252" s="3" t="str">
        <v>Em atraso — Controlling benchmark has passed; no evidence of this output’s delivery identified in the reviewed acts and focused official-source outcome search.</v>
      </c>
    </row>
    <row r="253" ht="90" customHeight="1">
      <c r="A253" s="3" t="str">
        <v>GT-2025-019-D05</v>
      </c>
      <c r="B253" s="3" t="str">
        <v>GT-2025-019</v>
      </c>
      <c r="C253" s="3" t="str">
        <v>Annual reports: 2026</v>
      </c>
      <c r="D253" s="3" t="str">
        <v>Periodic</v>
      </c>
      <c r="E253" s="3" t="str">
        <v>15 - Anualmente, até 31 de dezembro, os grupos de trabalho apresentam às respetivas tutelas um relatório sobre a atividade realizada e os resultados alcançados.</v>
      </c>
      <c r="F253" s="3" t="str"/>
      <c r="G253" s="20" t="d">
        <v>2026-12-31T00:00:00.000Z</v>
      </c>
      <c r="H253" s="20"/>
      <c r="I253" s="3" t="str">
        <v>Every year by 31 December; clause 15.</v>
      </c>
      <c r="J253" s="3" t="str">
        <v>https://diariodarepublica.pt/dr/detalhe/despacho/5543-a-2025-918326433</v>
      </c>
      <c r="K253" s="3" t="str">
        <v>No dated delivery evidence identified.</v>
      </c>
    </row>
    <row r="254" ht="90" customHeight="1">
      <c r="A254" s="3" t="str">
        <v>GT-2025-019-D06</v>
      </c>
      <c r="B254" s="3" t="str">
        <v>GT-2025-019</v>
      </c>
      <c r="C254" s="3" t="str">
        <v>Annual reports: 2027</v>
      </c>
      <c r="D254" s="3" t="str">
        <v>Periodic</v>
      </c>
      <c r="E254" s="3" t="str"/>
      <c r="F254" s="3" t="str"/>
      <c r="G254" s="20" t="d">
        <v>2027-12-31T00:00:00.000Z</v>
      </c>
      <c r="H254" s="20"/>
      <c r="I254" s="3" t="str">
        <v>Every year by 31 December; clause 15.</v>
      </c>
      <c r="J254" s="3" t="str">
        <v>https://diariodarepublica.pt/dr/detalhe/despacho/5543-a-2025-918326433</v>
      </c>
      <c r="K254" s="3" t="str">
        <v>No dated delivery evidence identified.</v>
      </c>
    </row>
    <row r="255" ht="90" customHeight="1">
      <c r="A255" s="3" t="str">
        <v>GT-2025-019-D07</v>
      </c>
      <c r="B255" s="3" t="str">
        <v>GT-2025-019</v>
      </c>
      <c r="C255" s="3" t="str">
        <v>Annual reports: 2028 / end of mandate</v>
      </c>
      <c r="D255" s="3" t="str">
        <v>Periodic / mandate</v>
      </c>
      <c r="E255" s="3" t="str"/>
      <c r="F255" s="3" t="str"/>
      <c r="G255" s="20" t="d">
        <v>2028-12-31T00:00:00.000Z</v>
      </c>
      <c r="H255" s="20"/>
      <c r="I255" s="3" t="str">
        <v>Every year by 31 December; mandate ends at end of 2028 (clauses 15–16).</v>
      </c>
      <c r="J255" s="3" t="str">
        <v>https://diariodarepublica.pt/dr/detalhe/despacho/5543-a-2025-918326433</v>
      </c>
      <c r="K255" s="3" t="str">
        <v>No dated delivery evidence identified.</v>
      </c>
    </row>
    <row r="256" ht="90" customHeight="1">
      <c r="A256" s="3" t="str">
        <v>GT-2025-020-D01</v>
      </c>
      <c r="B256" s="3" t="str">
        <v>GT-2025-020</v>
      </c>
      <c r="C256" s="3" t="str">
        <v>10 - Os representantes das entidades referidas nas alíneas b) e c) do n.º 6 e no n.º 7 são indicados</v>
      </c>
      <c r="D256" s="3" t="str">
        <v>Appointments / planning</v>
      </c>
      <c r="E256" s="3" t="str">
        <v>10 - Os representantes das entidades referidas nas alíneas b) e c) do n.º 6 e no n.º 7 são indicados ao ICNF, I. P., no prazo máximo de 20 dias, após a data de entrada em vigor do presente despacho.</v>
      </c>
      <c r="F256" s="3" t="str">
        <v>Entry into force 2025-05-15</v>
      </c>
      <c r="G256" s="20" t="d">
        <v>2025-06-04T00:00:00.000Z</v>
      </c>
      <c r="H256" s="20" t="d">
        <v>2025-06-13T00:00:00.000Z</v>
      </c>
      <c r="I256" s="3" t="str">
        <v>2025-05-15 + 20 calendar days (monitoring convention). If CPA procedural counting applies: 2025-06-13.</v>
      </c>
      <c r="J256" s="3" t="str">
        <v>https://diariodarepublica.pt/dr/detalhe/despacho/5543-a-2025-918326433</v>
      </c>
      <c r="K256" s="3" t="str">
        <v>No dated delivery evidence identified.</v>
      </c>
    </row>
    <row r="257" ht="90" customHeight="1">
      <c r="A257" s="3" t="str">
        <v>GT-2025-020-D02</v>
      </c>
      <c r="B257" s="3" t="str">
        <v>GT-2025-020</v>
      </c>
      <c r="C257" s="3" t="str">
        <v>15 - Anualmente, até 31 de dezembro, os grupos de trabalho apresentam às respetivas tutelas um relat</v>
      </c>
      <c r="D257" s="3" t="str">
        <v>Periodic / conditional</v>
      </c>
      <c r="E257" s="3" t="str">
        <v>15 - Anualmente, até 31 de dezembro, os grupos de trabalho apresentam às respetivas tutelas um relatório sobre a atividade realizada e os resultados alcançados.</v>
      </c>
      <c r="F257" s="3" t="str"/>
      <c r="G257" s="20"/>
      <c r="H257" s="20"/>
      <c r="I257" s="3" t="str">
        <v>No uniquely dated deadline derivable from this clause; cadence or trigger is preserved.</v>
      </c>
      <c r="J257" s="3" t="str">
        <v>https://diariodarepublica.pt/dr/detalhe/despacho/5543-a-2025-918326433</v>
      </c>
      <c r="K257" s="3" t="str">
        <v>No dated delivery evidence identified.</v>
      </c>
    </row>
    <row r="258" ht="90" customHeight="1">
      <c r="A258" s="3" t="str">
        <v>GT-2025-020-D03</v>
      </c>
      <c r="B258" s="3" t="str">
        <v>GT-2025-020</v>
      </c>
      <c r="C258" s="3" t="str">
        <v>16 - Os mandatos dos grupos de trabalho terminam no final do ano de 2028.</v>
      </c>
      <c r="D258" s="3" t="str">
        <v>Deliverable / duration</v>
      </c>
      <c r="E258" s="3" t="str">
        <v>16 - Os mandatos dos grupos de trabalho terminam no final do ano de 2028.</v>
      </c>
      <c r="F258" s="3" t="str"/>
      <c r="G258" s="20" t="d">
        <v>2028-12-31T00:00:00.000Z</v>
      </c>
      <c r="H258" s="20"/>
      <c r="I258" s="3" t="str">
        <v>Explicit year-end: 31 December 2028.</v>
      </c>
      <c r="J258" s="3" t="str">
        <v>https://diariodarepublica.pt/dr/detalhe/despacho/5543-a-2025-918326433</v>
      </c>
      <c r="K258" s="3" t="str">
        <v>No dated delivery evidence identified.</v>
      </c>
    </row>
    <row r="259" ht="90" customHeight="1">
      <c r="A259" s="3" t="str">
        <v>GT-2025-020-D04</v>
      </c>
      <c r="B259" s="3" t="str">
        <v>GT-2025-020</v>
      </c>
      <c r="C259" s="3" t="str">
        <v>2025 annual report (five regional groups)</v>
      </c>
      <c r="D259" s="3" t="str">
        <v>Status benchmark</v>
      </c>
      <c r="E259" s="3" t="str"/>
      <c r="F259" s="3" t="str"/>
      <c r="G259" s="20" t="d">
        <v>2025-12-31T00:00:00.000Z</v>
      </c>
      <c r="H259" s="20"/>
      <c r="I259" s="3" t="str">
        <v>Annual report required by 31 December; first statutory reporting year is 2025.</v>
      </c>
      <c r="J259" s="3" t="str">
        <v>https://diariodarepublica.pt/dr/detalhe/despacho/5543-a-2025-918326433</v>
      </c>
      <c r="K259" s="3" t="str">
        <v>Em atraso — Controlling benchmark has passed; no evidence of this output’s delivery identified in the reviewed acts and focused official-source outcome search.</v>
      </c>
    </row>
    <row r="260" ht="90" customHeight="1">
      <c r="A260" s="3" t="str">
        <v>GT-2025-020-D05</v>
      </c>
      <c r="B260" s="3" t="str">
        <v>GT-2025-020</v>
      </c>
      <c r="C260" s="3" t="str">
        <v>Annual reports: 2026</v>
      </c>
      <c r="D260" s="3" t="str">
        <v>Periodic</v>
      </c>
      <c r="E260" s="3" t="str">
        <v>15 - Anualmente, até 31 de dezembro, os grupos de trabalho apresentam às respetivas tutelas um relatório sobre a atividade realizada e os resultados alcançados.</v>
      </c>
      <c r="F260" s="3" t="str"/>
      <c r="G260" s="20" t="d">
        <v>2026-12-31T00:00:00.000Z</v>
      </c>
      <c r="H260" s="20"/>
      <c r="I260" s="3" t="str">
        <v>Every year by 31 December; clause 15.</v>
      </c>
      <c r="J260" s="3" t="str">
        <v>https://diariodarepublica.pt/dr/detalhe/despacho/5543-a-2025-918326433</v>
      </c>
      <c r="K260" s="3" t="str">
        <v>No dated delivery evidence identified.</v>
      </c>
    </row>
    <row r="261" ht="90" customHeight="1">
      <c r="A261" s="3" t="str">
        <v>GT-2025-020-D06</v>
      </c>
      <c r="B261" s="3" t="str">
        <v>GT-2025-020</v>
      </c>
      <c r="C261" s="3" t="str">
        <v>Annual reports: 2027</v>
      </c>
      <c r="D261" s="3" t="str">
        <v>Periodic</v>
      </c>
      <c r="E261" s="3" t="str"/>
      <c r="F261" s="3" t="str"/>
      <c r="G261" s="20" t="d">
        <v>2027-12-31T00:00:00.000Z</v>
      </c>
      <c r="H261" s="20"/>
      <c r="I261" s="3" t="str">
        <v>Every year by 31 December; clause 15.</v>
      </c>
      <c r="J261" s="3" t="str">
        <v>https://diariodarepublica.pt/dr/detalhe/despacho/5543-a-2025-918326433</v>
      </c>
      <c r="K261" s="3" t="str">
        <v>No dated delivery evidence identified.</v>
      </c>
    </row>
    <row r="262" ht="90" customHeight="1">
      <c r="A262" s="3" t="str">
        <v>GT-2025-020-D07</v>
      </c>
      <c r="B262" s="3" t="str">
        <v>GT-2025-020</v>
      </c>
      <c r="C262" s="3" t="str">
        <v>Annual reports: 2028 / end of mandate</v>
      </c>
      <c r="D262" s="3" t="str">
        <v>Periodic / mandate</v>
      </c>
      <c r="E262" s="3" t="str"/>
      <c r="F262" s="3" t="str"/>
      <c r="G262" s="20" t="d">
        <v>2028-12-31T00:00:00.000Z</v>
      </c>
      <c r="H262" s="20"/>
      <c r="I262" s="3" t="str">
        <v>Every year by 31 December; mandate ends at end of 2028 (clauses 15–16).</v>
      </c>
      <c r="J262" s="3" t="str">
        <v>https://diariodarepublica.pt/dr/detalhe/despacho/5543-a-2025-918326433</v>
      </c>
      <c r="K262" s="3" t="str">
        <v>No dated delivery evidence identified.</v>
      </c>
    </row>
    <row r="263" ht="90" customHeight="1">
      <c r="A263" s="3" t="str">
        <v>GT-2025-021-D01</v>
      </c>
      <c r="B263" s="3" t="str">
        <v>GT-2025-021</v>
      </c>
      <c r="C263" s="3" t="str">
        <v>10 - Os representantes das entidades referidas nas alíneas b) e c) do n.º 6 e no n.º 7 são indicados</v>
      </c>
      <c r="D263" s="3" t="str">
        <v>Appointments / planning</v>
      </c>
      <c r="E263" s="3" t="str">
        <v>10 - Os representantes das entidades referidas nas alíneas b) e c) do n.º 6 e no n.º 7 são indicados ao ICNF, I. P., no prazo máximo de 20 dias, após a data de entrada em vigor do presente despacho.</v>
      </c>
      <c r="F263" s="3" t="str">
        <v>Entry into force 2025-05-15</v>
      </c>
      <c r="G263" s="20" t="d">
        <v>2025-06-04T00:00:00.000Z</v>
      </c>
      <c r="H263" s="20" t="d">
        <v>2025-06-13T00:00:00.000Z</v>
      </c>
      <c r="I263" s="3" t="str">
        <v>2025-05-15 + 20 calendar days (monitoring convention). If CPA procedural counting applies: 2025-06-13.</v>
      </c>
      <c r="J263" s="3" t="str">
        <v>https://diariodarepublica.pt/dr/detalhe/despacho/5543-a-2025-918326433</v>
      </c>
      <c r="K263" s="3" t="str">
        <v>No dated delivery evidence identified.</v>
      </c>
    </row>
    <row r="264" ht="90" customHeight="1">
      <c r="A264" s="3" t="str">
        <v>GT-2025-021-D02</v>
      </c>
      <c r="B264" s="3" t="str">
        <v>GT-2025-021</v>
      </c>
      <c r="C264" s="3" t="str">
        <v>15 - Anualmente, até 31 de dezembro, os grupos de trabalho apresentam às respetivas tutelas um relat</v>
      </c>
      <c r="D264" s="3" t="str">
        <v>Periodic / conditional</v>
      </c>
      <c r="E264" s="3" t="str">
        <v>15 - Anualmente, até 31 de dezembro, os grupos de trabalho apresentam às respetivas tutelas um relatório sobre a atividade realizada e os resultados alcançados.</v>
      </c>
      <c r="F264" s="3" t="str"/>
      <c r="G264" s="20"/>
      <c r="H264" s="20"/>
      <c r="I264" s="3" t="str">
        <v>No uniquely dated deadline derivable from this clause; cadence or trigger is preserved.</v>
      </c>
      <c r="J264" s="3" t="str">
        <v>https://diariodarepublica.pt/dr/detalhe/despacho/5543-a-2025-918326433</v>
      </c>
      <c r="K264" s="3" t="str">
        <v>No dated delivery evidence identified.</v>
      </c>
    </row>
    <row r="265" ht="90" customHeight="1">
      <c r="A265" s="3" t="str">
        <v>GT-2025-021-D03</v>
      </c>
      <c r="B265" s="3" t="str">
        <v>GT-2025-021</v>
      </c>
      <c r="C265" s="3" t="str">
        <v>16 - Os mandatos dos grupos de trabalho terminam no final do ano de 2028.</v>
      </c>
      <c r="D265" s="3" t="str">
        <v>Deliverable / duration</v>
      </c>
      <c r="E265" s="3" t="str">
        <v>16 - Os mandatos dos grupos de trabalho terminam no final do ano de 2028.</v>
      </c>
      <c r="F265" s="3" t="str"/>
      <c r="G265" s="20" t="d">
        <v>2028-12-31T00:00:00.000Z</v>
      </c>
      <c r="H265" s="20"/>
      <c r="I265" s="3" t="str">
        <v>Explicit year-end: 31 December 2028.</v>
      </c>
      <c r="J265" s="3" t="str">
        <v>https://diariodarepublica.pt/dr/detalhe/despacho/5543-a-2025-918326433</v>
      </c>
      <c r="K265" s="3" t="str">
        <v>No dated delivery evidence identified.</v>
      </c>
    </row>
    <row r="266" ht="90" customHeight="1">
      <c r="A266" s="3" t="str">
        <v>GT-2025-021-D04</v>
      </c>
      <c r="B266" s="3" t="str">
        <v>GT-2025-021</v>
      </c>
      <c r="C266" s="3" t="str">
        <v>2025 annual report (five regional groups)</v>
      </c>
      <c r="D266" s="3" t="str">
        <v>Status benchmark</v>
      </c>
      <c r="E266" s="3" t="str"/>
      <c r="F266" s="3" t="str"/>
      <c r="G266" s="20" t="d">
        <v>2025-12-31T00:00:00.000Z</v>
      </c>
      <c r="H266" s="20"/>
      <c r="I266" s="3" t="str">
        <v>Annual report required by 31 December; first statutory reporting year is 2025.</v>
      </c>
      <c r="J266" s="3" t="str">
        <v>https://diariodarepublica.pt/dr/detalhe/despacho/5543-a-2025-918326433</v>
      </c>
      <c r="K266" s="3" t="str">
        <v>Em atraso — Controlling benchmark has passed; no evidence of this output’s delivery identified in the reviewed acts and focused official-source outcome search.</v>
      </c>
    </row>
    <row r="267" ht="90" customHeight="1">
      <c r="A267" s="3" t="str">
        <v>GT-2025-021-D05</v>
      </c>
      <c r="B267" s="3" t="str">
        <v>GT-2025-021</v>
      </c>
      <c r="C267" s="3" t="str">
        <v>Annual reports: 2026</v>
      </c>
      <c r="D267" s="3" t="str">
        <v>Periodic</v>
      </c>
      <c r="E267" s="3" t="str">
        <v>15 - Anualmente, até 31 de dezembro, os grupos de trabalho apresentam às respetivas tutelas um relatório sobre a atividade realizada e os resultados alcançados.</v>
      </c>
      <c r="F267" s="3" t="str"/>
      <c r="G267" s="20" t="d">
        <v>2026-12-31T00:00:00.000Z</v>
      </c>
      <c r="H267" s="20"/>
      <c r="I267" s="3" t="str">
        <v>Every year by 31 December; clause 15.</v>
      </c>
      <c r="J267" s="3" t="str">
        <v>https://diariodarepublica.pt/dr/detalhe/despacho/5543-a-2025-918326433</v>
      </c>
      <c r="K267" s="3" t="str">
        <v>No dated delivery evidence identified.</v>
      </c>
    </row>
    <row r="268" ht="90" customHeight="1">
      <c r="A268" s="3" t="str">
        <v>GT-2025-021-D06</v>
      </c>
      <c r="B268" s="3" t="str">
        <v>GT-2025-021</v>
      </c>
      <c r="C268" s="3" t="str">
        <v>Annual reports: 2027</v>
      </c>
      <c r="D268" s="3" t="str">
        <v>Periodic</v>
      </c>
      <c r="E268" s="3" t="str"/>
      <c r="F268" s="3" t="str"/>
      <c r="G268" s="20" t="d">
        <v>2027-12-31T00:00:00.000Z</v>
      </c>
      <c r="H268" s="20"/>
      <c r="I268" s="3" t="str">
        <v>Every year by 31 December; clause 15.</v>
      </c>
      <c r="J268" s="3" t="str">
        <v>https://diariodarepublica.pt/dr/detalhe/despacho/5543-a-2025-918326433</v>
      </c>
      <c r="K268" s="3" t="str">
        <v>No dated delivery evidence identified.</v>
      </c>
    </row>
    <row r="269" ht="90" customHeight="1">
      <c r="A269" s="3" t="str">
        <v>GT-2025-021-D07</v>
      </c>
      <c r="B269" s="3" t="str">
        <v>GT-2025-021</v>
      </c>
      <c r="C269" s="3" t="str">
        <v>Annual reports: 2028 / end of mandate</v>
      </c>
      <c r="D269" s="3" t="str">
        <v>Periodic / mandate</v>
      </c>
      <c r="E269" s="3" t="str"/>
      <c r="F269" s="3" t="str"/>
      <c r="G269" s="20" t="d">
        <v>2028-12-31T00:00:00.000Z</v>
      </c>
      <c r="H269" s="20"/>
      <c r="I269" s="3" t="str">
        <v>Every year by 31 December; mandate ends at end of 2028 (clauses 15–16).</v>
      </c>
      <c r="J269" s="3" t="str">
        <v>https://diariodarepublica.pt/dr/detalhe/despacho/5543-a-2025-918326433</v>
      </c>
      <c r="K269" s="3" t="str">
        <v>No dated delivery evidence identified.</v>
      </c>
    </row>
    <row r="270" ht="90" customHeight="1">
      <c r="A270" s="3" t="str">
        <v>GT-2025-022-D01</v>
      </c>
      <c r="B270" s="3" t="str">
        <v>GT-2025-022</v>
      </c>
      <c r="C270" s="3" t="str">
        <v>10 - Os representantes das entidades referidas nas alíneas b) e c) do n.º 6 e no n.º 7 são indicados</v>
      </c>
      <c r="D270" s="3" t="str">
        <v>Appointments / planning</v>
      </c>
      <c r="E270" s="3" t="str">
        <v>10 - Os representantes das entidades referidas nas alíneas b) e c) do n.º 6 e no n.º 7 são indicados ao ICNF, I. P., no prazo máximo de 20 dias, após a data de entrada em vigor do presente despacho.</v>
      </c>
      <c r="F270" s="3" t="str">
        <v>Entry into force 2025-05-15</v>
      </c>
      <c r="G270" s="20" t="d">
        <v>2025-06-04T00:00:00.000Z</v>
      </c>
      <c r="H270" s="20" t="d">
        <v>2025-06-13T00:00:00.000Z</v>
      </c>
      <c r="I270" s="3" t="str">
        <v>2025-05-15 + 20 calendar days (monitoring convention). If CPA procedural counting applies: 2025-06-13.</v>
      </c>
      <c r="J270" s="3" t="str">
        <v>https://diariodarepublica.pt/dr/detalhe/despacho/5543-a-2025-918326433</v>
      </c>
      <c r="K270" s="3" t="str">
        <v>No dated delivery evidence identified.</v>
      </c>
    </row>
    <row r="271" ht="90" customHeight="1">
      <c r="A271" s="3" t="str">
        <v>GT-2025-022-D02</v>
      </c>
      <c r="B271" s="3" t="str">
        <v>GT-2025-022</v>
      </c>
      <c r="C271" s="3" t="str">
        <v>15 - Anualmente, até 31 de dezembro, os grupos de trabalho apresentam às respetivas tutelas um relat</v>
      </c>
      <c r="D271" s="3" t="str">
        <v>Periodic / conditional</v>
      </c>
      <c r="E271" s="3" t="str">
        <v>15 - Anualmente, até 31 de dezembro, os grupos de trabalho apresentam às respetivas tutelas um relatório sobre a atividade realizada e os resultados alcançados.</v>
      </c>
      <c r="F271" s="3" t="str"/>
      <c r="G271" s="20"/>
      <c r="H271" s="20"/>
      <c r="I271" s="3" t="str">
        <v>No uniquely dated deadline derivable from this clause; cadence or trigger is preserved.</v>
      </c>
      <c r="J271" s="3" t="str">
        <v>https://diariodarepublica.pt/dr/detalhe/despacho/5543-a-2025-918326433</v>
      </c>
      <c r="K271" s="3" t="str">
        <v>No dated delivery evidence identified.</v>
      </c>
    </row>
    <row r="272" ht="90" customHeight="1">
      <c r="A272" s="3" t="str">
        <v>GT-2025-022-D03</v>
      </c>
      <c r="B272" s="3" t="str">
        <v>GT-2025-022</v>
      </c>
      <c r="C272" s="3" t="str">
        <v>16 - Os mandatos dos grupos de trabalho terminam no final do ano de 2028.</v>
      </c>
      <c r="D272" s="3" t="str">
        <v>Deliverable / duration</v>
      </c>
      <c r="E272" s="3" t="str">
        <v>16 - Os mandatos dos grupos de trabalho terminam no final do ano de 2028.</v>
      </c>
      <c r="F272" s="3" t="str"/>
      <c r="G272" s="20" t="d">
        <v>2028-12-31T00:00:00.000Z</v>
      </c>
      <c r="H272" s="20"/>
      <c r="I272" s="3" t="str">
        <v>Explicit year-end: 31 December 2028.</v>
      </c>
      <c r="J272" s="3" t="str">
        <v>https://diariodarepublica.pt/dr/detalhe/despacho/5543-a-2025-918326433</v>
      </c>
      <c r="K272" s="3" t="str">
        <v>No dated delivery evidence identified.</v>
      </c>
    </row>
    <row r="273" ht="90" customHeight="1">
      <c r="A273" s="3" t="str">
        <v>GT-2025-022-D04</v>
      </c>
      <c r="B273" s="3" t="str">
        <v>GT-2025-022</v>
      </c>
      <c r="C273" s="3" t="str">
        <v>2025 annual report (five regional groups)</v>
      </c>
      <c r="D273" s="3" t="str">
        <v>Status benchmark</v>
      </c>
      <c r="E273" s="3" t="str"/>
      <c r="F273" s="3" t="str"/>
      <c r="G273" s="20" t="d">
        <v>2025-12-31T00:00:00.000Z</v>
      </c>
      <c r="H273" s="20"/>
      <c r="I273" s="3" t="str">
        <v>Annual report required by 31 December; first statutory reporting year is 2025.</v>
      </c>
      <c r="J273" s="3" t="str">
        <v>https://diariodarepublica.pt/dr/detalhe/despacho/5543-a-2025-918326433</v>
      </c>
      <c r="K273" s="3" t="str">
        <v>Em atraso — Controlling benchmark has passed; no evidence of this output’s delivery identified in the reviewed acts and focused official-source outcome search.</v>
      </c>
    </row>
    <row r="274" ht="90" customHeight="1">
      <c r="A274" s="3" t="str">
        <v>GT-2025-022-D05</v>
      </c>
      <c r="B274" s="3" t="str">
        <v>GT-2025-022</v>
      </c>
      <c r="C274" s="3" t="str">
        <v>Annual reports: 2026</v>
      </c>
      <c r="D274" s="3" t="str">
        <v>Periodic</v>
      </c>
      <c r="E274" s="3" t="str">
        <v>15 - Anualmente, até 31 de dezembro, os grupos de trabalho apresentam às respetivas tutelas um relatório sobre a atividade realizada e os resultados alcançados.</v>
      </c>
      <c r="F274" s="3" t="str"/>
      <c r="G274" s="20" t="d">
        <v>2026-12-31T00:00:00.000Z</v>
      </c>
      <c r="H274" s="20"/>
      <c r="I274" s="3" t="str">
        <v>Every year by 31 December; clause 15.</v>
      </c>
      <c r="J274" s="3" t="str">
        <v>https://diariodarepublica.pt/dr/detalhe/despacho/5543-a-2025-918326433</v>
      </c>
      <c r="K274" s="3" t="str">
        <v>No dated delivery evidence identified.</v>
      </c>
    </row>
    <row r="275" ht="90" customHeight="1">
      <c r="A275" s="3" t="str">
        <v>GT-2025-022-D06</v>
      </c>
      <c r="B275" s="3" t="str">
        <v>GT-2025-022</v>
      </c>
      <c r="C275" s="3" t="str">
        <v>Annual reports: 2027</v>
      </c>
      <c r="D275" s="3" t="str">
        <v>Periodic</v>
      </c>
      <c r="E275" s="3" t="str"/>
      <c r="F275" s="3" t="str"/>
      <c r="G275" s="20" t="d">
        <v>2027-12-31T00:00:00.000Z</v>
      </c>
      <c r="H275" s="20"/>
      <c r="I275" s="3" t="str">
        <v>Every year by 31 December; clause 15.</v>
      </c>
      <c r="J275" s="3" t="str">
        <v>https://diariodarepublica.pt/dr/detalhe/despacho/5543-a-2025-918326433</v>
      </c>
      <c r="K275" s="3" t="str">
        <v>No dated delivery evidence identified.</v>
      </c>
    </row>
    <row r="276" ht="90" customHeight="1">
      <c r="A276" s="3" t="str">
        <v>GT-2025-022-D07</v>
      </c>
      <c r="B276" s="3" t="str">
        <v>GT-2025-022</v>
      </c>
      <c r="C276" s="3" t="str">
        <v>Annual reports: 2028 / end of mandate</v>
      </c>
      <c r="D276" s="3" t="str">
        <v>Periodic / mandate</v>
      </c>
      <c r="E276" s="3" t="str"/>
      <c r="F276" s="3" t="str"/>
      <c r="G276" s="20" t="d">
        <v>2028-12-31T00:00:00.000Z</v>
      </c>
      <c r="H276" s="20"/>
      <c r="I276" s="3" t="str">
        <v>Every year by 31 December; mandate ends at end of 2028 (clauses 15–16).</v>
      </c>
      <c r="J276" s="3" t="str">
        <v>https://diariodarepublica.pt/dr/detalhe/despacho/5543-a-2025-918326433</v>
      </c>
      <c r="K276" s="3" t="str">
        <v>No dated delivery evidence identified.</v>
      </c>
    </row>
    <row r="277" ht="90" customHeight="1">
      <c r="A277" s="3" t="str">
        <v>GT-2025-023-D01</v>
      </c>
      <c r="B277" s="3" t="str">
        <v>GT-2025-023</v>
      </c>
      <c r="C277" s="3" t="str">
        <v>f) Definir um programa anual de trabalhos.</v>
      </c>
      <c r="D277" s="3" t="str">
        <v>Periodic / conditional</v>
      </c>
      <c r="E277" s="3" t="str">
        <v>f) Definir um programa anual de trabalhos.</v>
      </c>
      <c r="F277" s="3" t="str"/>
      <c r="G277" s="20"/>
      <c r="H277" s="20"/>
      <c r="I277" s="3" t="str">
        <v>No uniquely dated deadline derivable from this clause; cadence or trigger is preserved.</v>
      </c>
      <c r="J277" s="3" t="str">
        <v>https://diariodarepublica.pt/dr/detalhe/despacho/5725-2025-918884615</v>
      </c>
      <c r="K277" s="3" t="str">
        <v>No dated delivery evidence identified.</v>
      </c>
    </row>
    <row r="278" ht="90" customHeight="1">
      <c r="A278" s="3" t="str">
        <v>GT-2025-023-D02</v>
      </c>
      <c r="B278" s="3" t="str">
        <v>GT-2025-023</v>
      </c>
      <c r="C278" s="3" t="str">
        <v>6 - As entidades referidas no n.º 4 indicam os representantes aos coordenadores, no prazo de 30 dias</v>
      </c>
      <c r="D278" s="3" t="str">
        <v>Appointments / planning</v>
      </c>
      <c r="E278" s="3" t="str">
        <v>6 - As entidades referidas no n.º 4 indicam os representantes aos coordenadores, no prazo de 30 dias, a contar da data de entrada em vigor do presente despacho.</v>
      </c>
      <c r="F278" s="3" t="str">
        <v>Entry into force 2025-05-23</v>
      </c>
      <c r="G278" s="20" t="d">
        <v>2025-06-22T00:00:00.000Z</v>
      </c>
      <c r="H278" s="20" t="d">
        <v>2025-07-08T00:00:00.000Z</v>
      </c>
      <c r="I278" s="3" t="str">
        <v>2025-05-23 + 30 calendar days (monitoring convention). If CPA procedural counting applies: 2025-07-08.</v>
      </c>
      <c r="J278" s="3" t="str">
        <v>https://diariodarepublica.pt/dr/detalhe/despacho/5725-2025-918884615</v>
      </c>
      <c r="K278" s="3" t="str">
        <v>No dated delivery evidence identified.</v>
      </c>
    </row>
    <row r="279" ht="90" customHeight="1">
      <c r="A279" s="3" t="str">
        <v>GT-2025-023-D03</v>
      </c>
      <c r="B279" s="3" t="str">
        <v>GT-2025-023</v>
      </c>
      <c r="C279" s="3" t="str">
        <v>8 - O GT-PCS tem a duração de cinco anos, a contar da data de entrada em vigor do presente despacho.</v>
      </c>
      <c r="D279" s="3" t="str">
        <v>Deliverable / duration</v>
      </c>
      <c r="E279" s="3" t="str">
        <v>8 - O GT-PCS tem a duração de cinco anos, a contar da data de entrada em vigor do presente despacho.</v>
      </c>
      <c r="F279" s="3" t="str">
        <v>Entry into force 2025-05-23</v>
      </c>
      <c r="G279" s="20" t="d">
        <v>2030-05-23T00:00:00.000Z</v>
      </c>
      <c r="H279" s="20"/>
      <c r="I279" s="3" t="str">
        <v>2025-05-23 + 5 anos by calendar anniversary, end-of-month capped if necessary.</v>
      </c>
      <c r="J279" s="3" t="str">
        <v>https://diariodarepublica.pt/dr/detalhe/despacho/5725-2025-918884615</v>
      </c>
      <c r="K279" s="3" t="str">
        <v>No dated delivery evidence identified.</v>
      </c>
    </row>
    <row r="280" ht="90" customHeight="1">
      <c r="A280" s="3" t="str">
        <v>GT-2025-023-D04</v>
      </c>
      <c r="B280" s="3" t="str">
        <v>GT-2025-023</v>
      </c>
      <c r="C280" s="3" t="str">
        <v>9 - O GT-PCS apresenta ao Ministério da Defesa Nacional e ao Ministério da Cultura, a partir de 2025</v>
      </c>
      <c r="D280" s="3" t="str">
        <v>Periodic / conditional</v>
      </c>
      <c r="E280" s="3" t="str">
        <v>9 - O GT-PCS apresenta ao Ministério da Defesa Nacional e ao Ministério da Cultura, a partir de 2025, um relatório anual, e submete o relatório final de missão com o trabalho produzido até 31 de dezembro de 2029.</v>
      </c>
      <c r="F280" s="3" t="str"/>
      <c r="G280" s="20" t="d">
        <v>2029-12-31T00:00:00.000Z</v>
      </c>
      <c r="H280" s="20"/>
      <c r="I280" s="3" t="str">
        <v>Explicit calendar date in the act.</v>
      </c>
      <c r="J280" s="3" t="str">
        <v>https://diariodarepublica.pt/dr/detalhe/despacho/5725-2025-918884615</v>
      </c>
      <c r="K280" s="3" t="str">
        <v>No dated delivery evidence identified.</v>
      </c>
    </row>
    <row r="281" ht="90" customHeight="1">
      <c r="A281" s="3" t="str">
        <v>GT-2025-023-D05</v>
      </c>
      <c r="B281" s="3" t="str">
        <v>GT-2025-023</v>
      </c>
      <c r="C281" s="3" t="str">
        <v>Final report / last specified substantive output</v>
      </c>
      <c r="D281" s="3" t="str">
        <v>Status benchmark</v>
      </c>
      <c r="E281" s="3" t="str"/>
      <c r="F281" s="3" t="str"/>
      <c r="G281" s="20" t="d">
        <v>2029-12-31T00:00:00.000Z</v>
      </c>
      <c r="H281" s="20"/>
      <c r="I281" s="3" t="str">
        <v>Fixed date / explicit year-end in creating act.</v>
      </c>
      <c r="J281" s="3" t="str">
        <v>https://diariodarepublica.pt/dr/detalhe/despacho/5725-2025-918884615</v>
      </c>
      <c r="K281" s="3" t="str">
        <v>Em curso – dentro do prazo — Current controlling deadline has not passed; delivery not independently verified.</v>
      </c>
    </row>
    <row r="282" ht="90" customHeight="1">
      <c r="A282" s="3" t="str">
        <v>GT-2025-024-D01</v>
      </c>
      <c r="B282" s="3" t="str">
        <v>GT-2025-024</v>
      </c>
      <c r="C282" s="3" t="str">
        <v>4 - Determinar que, até 31 de dezembro de 2026, são apresentadas propostas de alterações legislativa</v>
      </c>
      <c r="D282" s="3" t="str">
        <v>Deliverable / duration</v>
      </c>
      <c r="E282" s="3" t="str">
        <v>4 - Determinar que, até 31 de dezembro de 2026, são apresentadas propostas de alterações legislativas e regulamentares de simplificação administrativa e de fomento da competitividade que se verifiquem necessárias para atingir os objetivos da presente resolução.</v>
      </c>
      <c r="F282" s="3" t="str"/>
      <c r="G282" s="20" t="d">
        <v>2026-12-31T00:00:00.000Z</v>
      </c>
      <c r="H282" s="20"/>
      <c r="I282" s="3" t="str">
        <v>Explicit calendar date in the act.</v>
      </c>
      <c r="J282" s="3" t="str">
        <v>https://diariodarepublica.pt/dr/detalhe/resolucao-conselho-ministros/119-2025-928506357</v>
      </c>
      <c r="K282" s="3" t="str">
        <v>No dated delivery evidence identified.</v>
      </c>
    </row>
    <row r="283" ht="90" customHeight="1">
      <c r="A283" s="3" t="str">
        <v>GT-2025-024-D02</v>
      </c>
      <c r="B283" s="3" t="str">
        <v>GT-2025-024</v>
      </c>
      <c r="C283" s="3" t="str">
        <v>Final report / last specified substantive output</v>
      </c>
      <c r="D283" s="3" t="str">
        <v>Status benchmark</v>
      </c>
      <c r="E283" s="3" t="str"/>
      <c r="F283" s="3" t="str"/>
      <c r="G283" s="20" t="d">
        <v>2026-12-31T00:00:00.000Z</v>
      </c>
      <c r="H283" s="20"/>
      <c r="I283" s="3" t="str">
        <v>Fixed date / explicit year-end in creating act.</v>
      </c>
      <c r="J283" s="3" t="str">
        <v>https://diariodarepublica.pt/dr/detalhe/resolucao-conselho-ministros/119-2025-928506357</v>
      </c>
      <c r="K283" s="3" t="str">
        <v>Em curso – dentro do prazo — Current controlling deadline has not passed; delivery not independently verified.</v>
      </c>
    </row>
    <row r="284" ht="90" customHeight="1">
      <c r="A284" s="3" t="str">
        <v>GT-2025-025-D01</v>
      </c>
      <c r="B284" s="3" t="str">
        <v>GT-2025-025</v>
      </c>
      <c r="C284" s="3" t="str">
        <v>3 - Determina-se, ainda, que o grupo de trabalho deverá, no prazo de 30 dias após a sua constituição</v>
      </c>
      <c r="D284" s="3" t="str">
        <v>Deliverable / duration</v>
      </c>
      <c r="E284" s="3" t="str">
        <v>3 - Determina-se, ainda, que o grupo de trabalho deverá, no prazo de 30 dias após a sua constituição, apresentar um relatório que responda às tarefas elencadas no n.º 1 do presente despacho.</v>
      </c>
      <c r="F284" s="3" t="str">
        <v>Actual constitution / start date not independently public.</v>
      </c>
      <c r="G284" s="20"/>
      <c r="H284" s="20"/>
      <c r="I284" s="3" t="str">
        <v>30 dias after trigger: Actual constitution / start date not independently public.; exact date cannot be verified.</v>
      </c>
      <c r="J284" s="3" t="str">
        <v>https://diariodarepublica.pt/dr/detalhe/despacho/9698-2025-928825171</v>
      </c>
      <c r="K284" s="3" t="str">
        <v>No dated delivery evidence identified.</v>
      </c>
    </row>
    <row r="285" ht="90" customHeight="1">
      <c r="A285" s="3" t="str">
        <v>GT-2025-025-D02</v>
      </c>
      <c r="B285" s="3" t="str">
        <v>GT-2025-025</v>
      </c>
      <c r="C285" s="3" t="str">
        <v>6 - Os representantes das entidades referidas no n.º 2 são designados no prazo máximo de 15 dias apó</v>
      </c>
      <c r="D285" s="3" t="str">
        <v>Appointments / planning</v>
      </c>
      <c r="E285" s="3" t="str">
        <v>6 - Os representantes das entidades referidas no n.º 2 são designados no prazo máximo de 15 dias após a data de entrada em vigor do presente despacho.</v>
      </c>
      <c r="F285" s="3" t="str">
        <v>Entry into force 2025-08-14</v>
      </c>
      <c r="G285" s="20" t="d">
        <v>2025-08-29T00:00:00.000Z</v>
      </c>
      <c r="H285" s="20" t="d">
        <v>2025-09-05T00:00:00.000Z</v>
      </c>
      <c r="I285" s="3" t="str">
        <v>2025-08-14 + 15 calendar days (monitoring convention). If CPA procedural counting applies: 2025-09-05.</v>
      </c>
      <c r="J285" s="3" t="str">
        <v>https://diariodarepublica.pt/dr/detalhe/despacho/9698-2025-928825171</v>
      </c>
      <c r="K285" s="3" t="str">
        <v>No dated delivery evidence identified.</v>
      </c>
    </row>
    <row r="286" ht="90" customHeight="1">
      <c r="A286" s="3" t="str">
        <v>GT-2025-025-D03</v>
      </c>
      <c r="B286" s="3" t="str">
        <v>GT-2025-025</v>
      </c>
      <c r="C286" s="3" t="str">
        <v>Final report / last specified substantive output</v>
      </c>
      <c r="D286" s="3" t="str">
        <v>Status benchmark</v>
      </c>
      <c r="E286" s="3" t="str"/>
      <c r="F286" s="3" t="str"/>
      <c r="G286" s="20" t="d">
        <v>2025-09-13T00:00:00.000Z</v>
      </c>
      <c r="H286" s="20" t="d">
        <v>2025-09-26T00:00:00.000Z</v>
      </c>
      <c r="I286" s="3" t="str">
        <v>effective 2025-08-14 + 30 calendar days; plain “dias” benchmark. Alternative working-day date: 2025-09-26. Constitution is treated as the creating act’s effective date; later designation of members may move the operational start.</v>
      </c>
      <c r="J286" s="3" t="str">
        <v>https://diariodarepublica.pt/dr/detalhe/despacho/9698-2025-928825171</v>
      </c>
      <c r="K286" s="3" t="str">
        <v>Sem informação pública — No dated delivery evidence; an unspecified anchor or plausible alternative counting rule prevents a firm overdue assessment.</v>
      </c>
    </row>
    <row r="287" ht="90" customHeight="1">
      <c r="A287" s="3" t="str">
        <v>GT-2025-026-D01</v>
      </c>
      <c r="B287" s="3" t="str">
        <v>GT-2025-026</v>
      </c>
      <c r="C287" s="3" t="str">
        <v>Os membros deverão ser designados no prazo máximo de oito dias úteis após a publicação do presente d</v>
      </c>
      <c r="D287" s="3" t="str">
        <v>Appointments / planning</v>
      </c>
      <c r="E287" s="3" t="str">
        <v>Os membros deverão ser designados no prazo máximo de oito dias úteis após a publicação do presente despacho no Diário da República.</v>
      </c>
      <c r="F287" s="3" t="str">
        <v>Publication 2025-08-19</v>
      </c>
      <c r="G287" s="20" t="d">
        <v>2025-08-29T00:00:00.000Z</v>
      </c>
      <c r="H287" s="20"/>
      <c r="I287" s="3" t="str">
        <v>2025-08-19 + 8 working days; anchor excluded, weekends and national statutory holidays excluded.</v>
      </c>
      <c r="J287" s="3" t="str">
        <v>https://diariodarepublica.pt/dr/detalhe/despacho/9795-2025-932537244</v>
      </c>
      <c r="K287" s="3" t="str">
        <v>No dated delivery evidence identified.</v>
      </c>
    </row>
    <row r="288" ht="90" customHeight="1">
      <c r="A288" s="3" t="str">
        <v>GT-2025-026-D02</v>
      </c>
      <c r="B288" s="3" t="str">
        <v>GT-2025-026</v>
      </c>
      <c r="C288" s="3" t="str">
        <v>5 - Relatórios e prazos:</v>
      </c>
      <c r="D288" s="3" t="str">
        <v>Deliverable / duration</v>
      </c>
      <c r="E288" s="3" t="str">
        <v>5 - Relatórios e prazos:</v>
      </c>
      <c r="F288" s="3" t="str">
        <v>Publication 2025-08-19</v>
      </c>
      <c r="G288" s="20"/>
      <c r="H288" s="20"/>
      <c r="I288" s="3" t="str">
        <v>No uniquely dated deadline derivable from this clause; cadence or trigger is preserved.</v>
      </c>
      <c r="J288" s="3" t="str">
        <v>https://diariodarepublica.pt/dr/detalhe/despacho/9795-2025-932537244</v>
      </c>
      <c r="K288" s="3" t="str">
        <v>No dated delivery evidence identified.</v>
      </c>
    </row>
    <row r="289" ht="90" customHeight="1">
      <c r="A289" s="3" t="str">
        <v>GT-2025-026-D03</v>
      </c>
      <c r="B289" s="3" t="str">
        <v>GT-2025-026</v>
      </c>
      <c r="C289" s="3" t="str">
        <v>a) O Grupo de Trabalho apresentará um relatório preliminar no prazo de 30 dias e um relatório final,</v>
      </c>
      <c r="D289" s="3" t="str">
        <v>Deliverable / duration</v>
      </c>
      <c r="E289" s="3" t="str">
        <v>a) O Grupo de Trabalho apresentará um relatório preliminar no prazo de 30 dias e um relatório final, contendo conclusões e propostas, no prazo máximo de 60 dias, ambos contados a partir da data de publicação do presente despacho;</v>
      </c>
      <c r="F289" s="3" t="str">
        <v>Publication 2025-08-19</v>
      </c>
      <c r="G289" s="20" t="d">
        <v>2025-09-18T00:00:00.000Z</v>
      </c>
      <c r="H289" s="20" t="d">
        <v>2025-09-30T00:00:00.000Z</v>
      </c>
      <c r="I289" s="3" t="str">
        <v>2025-08-19 + 30 calendar days (monitoring convention). If CPA procedural counting applies: 2025-09-30.</v>
      </c>
      <c r="J289" s="3" t="str">
        <v>https://diariodarepublica.pt/dr/detalhe/despacho/9795-2025-932537244</v>
      </c>
      <c r="K289" s="3" t="str">
        <v>No dated delivery evidence identified.</v>
      </c>
    </row>
    <row r="290" ht="90" customHeight="1">
      <c r="A290" s="3" t="str">
        <v>GT-2025-026-D04</v>
      </c>
      <c r="B290" s="3" t="str">
        <v>GT-2025-026</v>
      </c>
      <c r="C290" s="3" t="str">
        <v>Final report / last specified substantive output</v>
      </c>
      <c r="D290" s="3" t="str">
        <v>Status benchmark</v>
      </c>
      <c r="E290" s="3" t="str"/>
      <c r="F290" s="3" t="str"/>
      <c r="G290" s="20" t="d">
        <v>2025-10-18T00:00:00.000Z</v>
      </c>
      <c r="H290" s="20" t="d">
        <v>2025-11-11T00:00:00.000Z</v>
      </c>
      <c r="I290" s="3" t="str">
        <v>published 2025-08-19 + 60 calendar days; plain “dias” benchmark. Alternative working-day date: 2025-11-11.</v>
      </c>
      <c r="J290" s="3" t="str">
        <v>https://diariodarepublica.pt/dr/detalhe/despacho/9795-2025-932537244</v>
      </c>
      <c r="K290" s="3" t="str">
        <v>Em atraso — Controlling benchmark has passed; no evidence of this output’s delivery identified in the reviewed acts and focused official-source outcome search.</v>
      </c>
    </row>
    <row r="291" ht="90" customHeight="1">
      <c r="A291" s="3" t="str">
        <v>GT-2025-027-D01</v>
      </c>
      <c r="B291" s="3" t="str">
        <v>GT-2025-027</v>
      </c>
      <c r="C291" s="3" t="str">
        <v>3 - O grupo de trabalho deverá apresentar, no prazo de 30 dias, uma proposta de rede de serviços de </v>
      </c>
      <c r="D291" s="3" t="str">
        <v>Deliverable / duration</v>
      </c>
      <c r="E291" s="3" t="str">
        <v>3 - O grupo de trabalho deverá apresentar, no prazo de 30 dias, uma proposta de rede de serviços de urgência de obstetrícia e ginecologia consistente com os recursos disponíveis e o programa do XXV Governo.</v>
      </c>
      <c r="F291" s="3" t="str"/>
      <c r="G291" s="20"/>
      <c r="H291" s="20"/>
      <c r="I291" s="3" t="str">
        <v>30 dias after trigger: anchor not expressly specified; exact date cannot be verified.</v>
      </c>
      <c r="J291" s="3" t="str">
        <v>https://diariodarepublica.pt/dr/detalhe/despacho/9990-2025-932720961</v>
      </c>
      <c r="K291" s="3" t="str">
        <v>No dated delivery evidence identified.</v>
      </c>
    </row>
    <row r="292" ht="90" customHeight="1">
      <c r="A292" s="3" t="str">
        <v>GT-2025-027-D02</v>
      </c>
      <c r="B292" s="3" t="str">
        <v>GT-2025-027</v>
      </c>
      <c r="C292" s="3" t="str">
        <v>4 - O grupo de trabalho deverá apresentar, no prazo de 90 dias, uma proposta de rede de referenciaçã</v>
      </c>
      <c r="D292" s="3" t="str">
        <v>Deliverable / duration</v>
      </c>
      <c r="E292" s="3" t="str">
        <v>4 - O grupo de trabalho deverá apresentar, no prazo de 90 dias, uma proposta de rede de referenciação de neonatologia e pediatria, incluindo uma rede de serviços de urgência, consistente com os recursos disponíveis e o programa do XXV Governo.</v>
      </c>
      <c r="F292" s="3" t="str"/>
      <c r="G292" s="20"/>
      <c r="H292" s="20"/>
      <c r="I292" s="3" t="str">
        <v>90 dias after trigger: anchor not expressly specified; exact date cannot be verified.</v>
      </c>
      <c r="J292" s="3" t="str">
        <v>https://diariodarepublica.pt/dr/detalhe/despacho/9990-2025-932720961</v>
      </c>
      <c r="K292" s="3" t="str">
        <v>No dated delivery evidence identified.</v>
      </c>
    </row>
    <row r="293" ht="90" customHeight="1">
      <c r="A293" s="3" t="str">
        <v>GT-2025-027-D03</v>
      </c>
      <c r="B293" s="3" t="str">
        <v>GT-2025-027</v>
      </c>
      <c r="C293" s="3" t="str">
        <v>Final report / last specified substantive output</v>
      </c>
      <c r="D293" s="3" t="str">
        <v>Status benchmark</v>
      </c>
      <c r="E293" s="3" t="str"/>
      <c r="F293" s="3" t="str"/>
      <c r="G293" s="20" t="d">
        <v>2025-11-19T00:00:00.000Z</v>
      </c>
      <c r="H293" s="20" t="d">
        <v>2025-12-30T00:00:00.000Z</v>
      </c>
      <c r="I293" s="3" t="str">
        <v>published 2025-08-21 + 90 calendar days; plain “dias” benchmark. Alternative working-day date: 2025-12-30.</v>
      </c>
      <c r="J293" s="3" t="str">
        <v>https://diariodarepublica.pt/dr/detalhe/despacho/9990-2025-932720961</v>
      </c>
      <c r="K293" s="3" t="str">
        <v>Em atraso — Controlling benchmark has passed; no evidence of this output’s delivery identified in the reviewed acts and focused official-source outcome search.</v>
      </c>
    </row>
    <row r="294" ht="90" customHeight="1">
      <c r="A294" s="3" t="str">
        <v>GT-2025-028-D01</v>
      </c>
      <c r="B294" s="3" t="str">
        <v>GT-2025-028</v>
      </c>
      <c r="C294" s="3" t="str">
        <v>2 - O grupo de trabalho deve, no cumprimento dos seus objetivos, produzir um relatório preliminar, a</v>
      </c>
      <c r="D294" s="3" t="str">
        <v>Deliverable / duration</v>
      </c>
      <c r="E294" s="3" t="str">
        <v>2 - O grupo de trabalho deve, no cumprimento dos seus objetivos, produzir um relatório preliminar, a apresentar até 26 de novembro de 2025, e um relatório final, a apresentar até 14 de janeiro de 2026, que reflita(m) a análise, conclusões e propostas concretas de soluções.</v>
      </c>
      <c r="F294" s="3" t="str"/>
      <c r="G294" s="20" t="d">
        <v>2026-01-14T00:00:00.000Z</v>
      </c>
      <c r="H294" s="20"/>
      <c r="I294" s="3" t="str">
        <v>Explicit calendar date in the act.</v>
      </c>
      <c r="J294" s="3" t="str">
        <v>https://diariodarepublica.pt/dr/detalhe/despacho/10519-2025-934179787</v>
      </c>
      <c r="K294" s="3" t="str">
        <v>No dated delivery evidence identified.</v>
      </c>
    </row>
    <row r="295" ht="90" customHeight="1">
      <c r="A295" s="3" t="str">
        <v>GT-2025-028-D02</v>
      </c>
      <c r="B295" s="3" t="str">
        <v>GT-2025-028</v>
      </c>
      <c r="C295" s="3" t="str">
        <v>Final report / last specified substantive output</v>
      </c>
      <c r="D295" s="3" t="str">
        <v>Status benchmark</v>
      </c>
      <c r="E295" s="3" t="str"/>
      <c r="F295" s="3" t="str"/>
      <c r="G295" s="20" t="d">
        <v>2026-01-14T00:00:00.000Z</v>
      </c>
      <c r="H295" s="20"/>
      <c r="I295" s="3" t="str">
        <v>Fixed date / explicit year-end in creating act.</v>
      </c>
      <c r="J295" s="3" t="str">
        <v>https://diariodarepublica.pt/dr/detalhe/despacho/10519-2025-934179787</v>
      </c>
      <c r="K295" s="3" t="str">
        <v>Em atraso — Controlling benchmark has passed; no evidence of this output’s delivery identified in the reviewed acts and focused official-source outcome search.</v>
      </c>
    </row>
    <row r="296" ht="90" customHeight="1">
      <c r="A296" s="3" t="str">
        <v>GT-2025-029-D01</v>
      </c>
      <c r="B296" s="3" t="str">
        <v>GT-2025-029</v>
      </c>
      <c r="C296" s="3" t="str">
        <v>11 - O grupo de trabalho apresenta aos membros do Governo mencionados no n.º 2 um relatório anual co</v>
      </c>
      <c r="D296" s="3" t="str">
        <v>Periodic / conditional</v>
      </c>
      <c r="E296" s="3" t="str">
        <v>11 - O grupo de trabalho apresenta aos membros do Governo mencionados no n.º 2 um relatório anual com a descrição dos trabalhos desenvolvidos e submete um relatório final com o trabalho produzido, antes do término do seu mandato.</v>
      </c>
      <c r="F296" s="3" t="str"/>
      <c r="G296" s="20"/>
      <c r="H296" s="20"/>
      <c r="I296" s="3" t="str">
        <v>No uniquely dated deadline derivable from this clause; cadence or trigger is preserved.</v>
      </c>
      <c r="J296" s="3" t="str">
        <v>https://diariodarepublica.pt/dr/detalhe/despacho/10547-2025-934422161</v>
      </c>
      <c r="K296" s="3" t="str">
        <v>No dated delivery evidence identified.</v>
      </c>
    </row>
    <row r="297" ht="90" customHeight="1">
      <c r="A297" s="3" t="str">
        <v>GT-2025-029-D02</v>
      </c>
      <c r="B297" s="3" t="str">
        <v>GT-2025-029</v>
      </c>
      <c r="C297" s="3" t="str">
        <v>12 - As agendas provisórias das reuniões do grupo de trabalho são circuladas pelos respetivos elemen</v>
      </c>
      <c r="D297" s="3" t="str">
        <v>Appointments / planning</v>
      </c>
      <c r="E297" s="3" t="str">
        <v>12 - As agendas provisórias das reuniões do grupo de trabalho são circuladas pelos respetivos elementos com uma antecedência de pelo menos cinco dias úteis. As minutas das reuniões, nas quais constarão pontos de ação acordados, bem como indicação de respetivos responsáveis e prazos de resposta, são circuladas pelos elementos do grupo de trabalho dentro de cinco dias úteis após realização da reunião a que dizem respeito.</v>
      </c>
      <c r="F297" s="3" t="str"/>
      <c r="G297" s="20"/>
      <c r="H297" s="20"/>
      <c r="I297" s="3" t="str">
        <v>5 dias úteis after trigger: anchor not expressly specified; exact date cannot be verified.</v>
      </c>
      <c r="J297" s="3" t="str">
        <v>https://diariodarepublica.pt/dr/detalhe/despacho/10547-2025-934422161</v>
      </c>
      <c r="K297" s="3" t="str">
        <v>No dated delivery evidence identified.</v>
      </c>
    </row>
    <row r="298" ht="90" customHeight="1">
      <c r="A298" s="3" t="str">
        <v>GT-2025-029-D03</v>
      </c>
      <c r="B298" s="3" t="str">
        <v>GT-2025-029</v>
      </c>
      <c r="C298" s="3" t="str">
        <v>13 - O grupo de trabalho tem duração até 31 de dezembro de 2028.</v>
      </c>
      <c r="D298" s="3" t="str">
        <v>Deliverable / duration</v>
      </c>
      <c r="E298" s="3" t="str">
        <v>13 - O grupo de trabalho tem duração até 31 de dezembro de 2028.</v>
      </c>
      <c r="F298" s="3" t="str"/>
      <c r="G298" s="20" t="d">
        <v>2028-12-31T00:00:00.000Z</v>
      </c>
      <c r="H298" s="20"/>
      <c r="I298" s="3" t="str">
        <v>Explicit calendar date in the act.</v>
      </c>
      <c r="J298" s="3" t="str">
        <v>https://diariodarepublica.pt/dr/detalhe/despacho/10547-2025-934422161</v>
      </c>
      <c r="K298" s="3" t="str">
        <v>No dated delivery evidence identified.</v>
      </c>
    </row>
    <row r="299" ht="90" customHeight="1">
      <c r="A299" s="3" t="str">
        <v>GT-2025-029-D04</v>
      </c>
      <c r="B299" s="3" t="str">
        <v>GT-2025-029</v>
      </c>
      <c r="C299" s="3" t="str">
        <v>Mandate end</v>
      </c>
      <c r="D299" s="3" t="str">
        <v>Status benchmark</v>
      </c>
      <c r="E299" s="3" t="str"/>
      <c r="F299" s="3" t="str"/>
      <c r="G299" s="20" t="d">
        <v>2028-12-31T00:00:00.000Z</v>
      </c>
      <c r="H299" s="20"/>
      <c r="I299" s="3" t="str">
        <v>Fixed date / explicit year-end in creating act.</v>
      </c>
      <c r="J299" s="3" t="str">
        <v>https://diariodarepublica.pt/dr/detalhe/despacho/10547-2025-934422161</v>
      </c>
      <c r="K299" s="3" t="str">
        <v>Extinto / substituído — Creating act expressly revoked by Despacho n.º 4643/2026, de 9 de abril.</v>
      </c>
    </row>
    <row r="300" ht="90" customHeight="1">
      <c r="A300" s="3" t="str">
        <v>GT-2025-030-D01</v>
      </c>
      <c r="B300" s="3" t="str">
        <v>GT-2025-030</v>
      </c>
      <c r="C300" s="3" t="str">
        <v>5 - As entidades referidas nas alíneas e) a i) do número anterior devem indicar os nomes dos respeti</v>
      </c>
      <c r="D300" s="3" t="str">
        <v>Appointments / planning</v>
      </c>
      <c r="E300" s="3" t="str">
        <v>5 - As entidades referidas nas alíneas e) a i) do número anterior devem indicar os nomes dos respetivos representantes ao membro do Governo responsável pela área da educação, ciência e inovação, no prazo máximo de 7 (sete) dias, após a entrada em vigor do presente despacho.</v>
      </c>
      <c r="F300" s="3" t="str">
        <v>Entry into force 2025-09-11</v>
      </c>
      <c r="G300" s="20" t="d">
        <v>2025-09-18T00:00:00.000Z</v>
      </c>
      <c r="H300" s="20" t="d">
        <v>2025-09-22T00:00:00.000Z</v>
      </c>
      <c r="I300" s="3" t="str">
        <v>2025-09-11 + 7 calendar days (monitoring convention). If CPA procedural counting applies: 2025-09-22.</v>
      </c>
      <c r="J300" s="3" t="str">
        <v>https://diariodarepublica.pt/dr/detalhe/despacho/10662-2025-934744248</v>
      </c>
      <c r="K300" s="3" t="str">
        <v>No dated delivery evidence identified.</v>
      </c>
    </row>
    <row r="301" ht="90" customHeight="1">
      <c r="A301" s="3" t="str">
        <v>GT-2025-030-D02</v>
      </c>
      <c r="B301" s="3" t="str">
        <v>GT-2025-030</v>
      </c>
      <c r="C301" s="3" t="str">
        <v>9 - O grupo de trabalho deve apresentar um relatório final, contendo as suas conclusões e propostas,</v>
      </c>
      <c r="D301" s="3" t="str">
        <v>Deliverable / duration</v>
      </c>
      <c r="E301" s="3" t="str">
        <v>9 - O grupo de trabalho deve apresentar um relatório final, contendo as suas conclusões e propostas, até ao dia 31 de outubro de 2025.</v>
      </c>
      <c r="F301" s="3" t="str"/>
      <c r="G301" s="20" t="d">
        <v>2025-10-31T00:00:00.000Z</v>
      </c>
      <c r="H301" s="20"/>
      <c r="I301" s="3" t="str">
        <v>Explicit calendar date in the act.</v>
      </c>
      <c r="J301" s="3" t="str">
        <v>https://diariodarepublica.pt/dr/detalhe/despacho/10662-2025-934744248</v>
      </c>
      <c r="K301" s="3" t="str">
        <v>No dated delivery evidence identified.</v>
      </c>
    </row>
    <row r="302" ht="90" customHeight="1">
      <c r="A302" s="3" t="str">
        <v>GT-2025-030-D03</v>
      </c>
      <c r="B302" s="3" t="str">
        <v>GT-2025-030</v>
      </c>
      <c r="C302" s="3" t="str">
        <v>Final report / last specified substantive output</v>
      </c>
      <c r="D302" s="3" t="str">
        <v>Status benchmark</v>
      </c>
      <c r="E302" s="3" t="str"/>
      <c r="F302" s="3" t="str"/>
      <c r="G302" s="20" t="d">
        <v>2025-10-31T00:00:00.000Z</v>
      </c>
      <c r="H302" s="20"/>
      <c r="I302" s="3" t="str">
        <v>Fixed date / explicit year-end in creating act.</v>
      </c>
      <c r="J302" s="3" t="str">
        <v>https://diariodarepublica.pt/dr/detalhe/despacho/10662-2025-934744248</v>
      </c>
      <c r="K302" s="3" t="str">
        <v>Em atraso — Controlling benchmark has passed; no evidence of this output’s delivery identified in the reviewed acts and focused official-source outcome search.</v>
      </c>
    </row>
    <row r="303" ht="90" customHeight="1">
      <c r="A303" s="3" t="str">
        <v>GT-2025-031-D01</v>
      </c>
      <c r="B303" s="3" t="str">
        <v>GT-2025-031</v>
      </c>
      <c r="C303" s="3" t="str">
        <v>5 - As referidas entidades devem indicar no prazo de 5 dias os representantes referidos no número an</v>
      </c>
      <c r="D303" s="3" t="str">
        <v>Appointments / planning</v>
      </c>
      <c r="E303" s="3" t="str">
        <v>5 - As referidas entidades devem indicar no prazo de 5 dias os representantes referidos no número anterior.</v>
      </c>
      <c r="F303" s="3" t="str"/>
      <c r="G303" s="20"/>
      <c r="H303" s="20"/>
      <c r="I303" s="3" t="str">
        <v>5 dias after trigger: anchor not expressly specified; exact date cannot be verified.</v>
      </c>
      <c r="J303" s="3" t="str">
        <v>https://diariodarepublica.pt/dr/detalhe/despacho/10903-2025-935441970</v>
      </c>
      <c r="K303" s="3" t="str">
        <v>No dated delivery evidence identified.</v>
      </c>
    </row>
    <row r="304" ht="90" customHeight="1">
      <c r="A304" s="3" t="str">
        <v>GT-2025-031-D02</v>
      </c>
      <c r="B304" s="3" t="str">
        <v>GT-2025-031</v>
      </c>
      <c r="C304" s="3" t="str">
        <v>8 - O Grupo de Trabalho deverá apresentar um relatório final com as suas propostas no prazo máximo d</v>
      </c>
      <c r="D304" s="3" t="str">
        <v>Deliverable / duration</v>
      </c>
      <c r="E304" s="3" t="str">
        <v>8 - O Grupo de Trabalho deverá apresentar um relatório final com as suas propostas no prazo máximo de 90 dias a contar da data da publicação do presente despacho.</v>
      </c>
      <c r="F304" s="3" t="str">
        <v>Publication 2025-09-16</v>
      </c>
      <c r="G304" s="20" t="d">
        <v>2025-12-15T00:00:00.000Z</v>
      </c>
      <c r="H304" s="20" t="d">
        <v>2026-01-26T00:00:00.000Z</v>
      </c>
      <c r="I304" s="3" t="str">
        <v>2025-09-16 + 90 calendar days (monitoring convention). If CPA procedural counting applies: 2026-01-26.</v>
      </c>
      <c r="J304" s="3" t="str">
        <v>https://diariodarepublica.pt/dr/detalhe/despacho/10903-2025-935441970</v>
      </c>
      <c r="K304" s="3" t="str">
        <v>No dated delivery evidence identified.</v>
      </c>
    </row>
    <row r="305" ht="90" customHeight="1">
      <c r="A305" s="3" t="str">
        <v>GT-2025-031-D03</v>
      </c>
      <c r="B305" s="3" t="str">
        <v>GT-2025-031</v>
      </c>
      <c r="C305" s="3" t="str">
        <v>Final report / last specified substantive output</v>
      </c>
      <c r="D305" s="3" t="str">
        <v>Status benchmark</v>
      </c>
      <c r="E305" s="3" t="str"/>
      <c r="F305" s="3" t="str"/>
      <c r="G305" s="20" t="d">
        <v>2025-12-15T00:00:00.000Z</v>
      </c>
      <c r="H305" s="20" t="d">
        <v>2026-01-26T00:00:00.000Z</v>
      </c>
      <c r="I305" s="3" t="str">
        <v>published 2025-09-16 + 90 calendar days; plain “dias” benchmark. Alternative working-day date: 2026-01-26.</v>
      </c>
      <c r="J305" s="3" t="str">
        <v>https://diariodarepublica.pt/dr/detalhe/despacho/10903-2025-935441970</v>
      </c>
      <c r="K305" s="3" t="str">
        <v>Em atraso — Controlling benchmark has passed; no evidence of this output’s delivery identified in the reviewed acts and focused official-source outcome search.</v>
      </c>
    </row>
    <row r="306" ht="90" customHeight="1">
      <c r="A306" s="3" t="str">
        <v>GT-2025-032-D01</v>
      </c>
      <c r="B306" s="3" t="str">
        <v>GT-2025-032</v>
      </c>
      <c r="C306" s="3" t="str">
        <v>1 - É criado um grupo de trabalho com a missão de definir os prazos de conservação de dados, relativ</v>
      </c>
      <c r="D306" s="3" t="str">
        <v>Deliverable / duration</v>
      </c>
      <c r="E306" s="3" t="str">
        <v>1 - É criado um grupo de trabalho com a missão de definir os prazos de conservação de dados, relativos à saúde, constantes dos sistemas de informação geridos pela SPMS, E. P. E., e utilizados nos cuidados de saúde primários e hospitalares para registo de processo clínico e atos administrativos.</v>
      </c>
      <c r="F306" s="3" t="str"/>
      <c r="G306" s="20"/>
      <c r="H306" s="20"/>
      <c r="I306" s="3" t="str">
        <v>No uniquely dated deadline derivable from this clause; cadence or trigger is preserved.</v>
      </c>
      <c r="J306" s="3" t="str">
        <v>https://diariodarepublica.pt/dr/detalhe/despacho/10918-2025-935495088</v>
      </c>
      <c r="K306" s="3" t="str">
        <v>No dated delivery evidence identified.</v>
      </c>
    </row>
    <row r="307" ht="90" customHeight="1">
      <c r="A307" s="3" t="str">
        <v>GT-2025-032-D02</v>
      </c>
      <c r="B307" s="3" t="str">
        <v>GT-2025-032</v>
      </c>
      <c r="C307" s="3" t="str">
        <v>3 - As entidades identificadas devem indicar, no prazo de cinco dias após publicação do presente des</v>
      </c>
      <c r="D307" s="3" t="str">
        <v>Appointments / planning</v>
      </c>
      <c r="E307" s="3" t="str">
        <v>3 - As entidades identificadas devem indicar, no prazo de cinco dias após publicação do presente despacho, o representante a integrar o grupo de trabalho.</v>
      </c>
      <c r="F307" s="3" t="str">
        <v>Publication 2025-09-16</v>
      </c>
      <c r="G307" s="20" t="d">
        <v>2025-09-21T00:00:00.000Z</v>
      </c>
      <c r="H307" s="20" t="d">
        <v>2025-09-23T00:00:00.000Z</v>
      </c>
      <c r="I307" s="3" t="str">
        <v>2025-09-16 + 5 calendar days (monitoring convention). If CPA procedural counting applies: 2025-09-23.</v>
      </c>
      <c r="J307" s="3" t="str">
        <v>https://diariodarepublica.pt/dr/detalhe/despacho/10918-2025-935495088</v>
      </c>
      <c r="K307" s="3" t="str">
        <v>No dated delivery evidence identified.</v>
      </c>
    </row>
    <row r="308" ht="90" customHeight="1">
      <c r="A308" s="3" t="str">
        <v>GT-2025-032-D03</v>
      </c>
      <c r="B308" s="3" t="str">
        <v>GT-2025-032</v>
      </c>
      <c r="C308" s="3" t="str">
        <v>a) Proceder ao levantamento dos requisitos relevantes para determinação de prazo de conservação unif</v>
      </c>
      <c r="D308" s="3" t="str">
        <v>Appointments / planning</v>
      </c>
      <c r="E308" s="3" t="str">
        <v>a) Proceder ao levantamento dos requisitos relevantes para determinação de prazo de conservação uniforme identificando os elementos normativos e operacionais aplicáveis à conservação de dados;</v>
      </c>
      <c r="F308" s="3" t="str"/>
      <c r="G308" s="20"/>
      <c r="H308" s="20"/>
      <c r="I308" s="3" t="str">
        <v>No uniquely dated deadline derivable from this clause; cadence or trigger is preserved.</v>
      </c>
      <c r="J308" s="3" t="str">
        <v>https://diariodarepublica.pt/dr/detalhe/despacho/10918-2025-935495088</v>
      </c>
      <c r="K308" s="3" t="str">
        <v>No dated delivery evidence identified.</v>
      </c>
    </row>
    <row r="309" ht="90" customHeight="1">
      <c r="A309" s="3" t="str">
        <v>GT-2025-032-D04</v>
      </c>
      <c r="B309" s="3" t="str">
        <v>GT-2025-032</v>
      </c>
      <c r="C309" s="3" t="str">
        <v>b) Analisar as melhores práticas e enquadramento legal para a definição de prazos de conservação;</v>
      </c>
      <c r="D309" s="3" t="str">
        <v>Deliverable / duration</v>
      </c>
      <c r="E309" s="3" t="str">
        <v>b) Analisar as melhores práticas e enquadramento legal para a definição de prazos de conservação;</v>
      </c>
      <c r="F309" s="3" t="str"/>
      <c r="G309" s="20"/>
      <c r="H309" s="20"/>
      <c r="I309" s="3" t="str">
        <v>No uniquely dated deadline derivable from this clause; cadence or trigger is preserved.</v>
      </c>
      <c r="J309" s="3" t="str">
        <v>https://diariodarepublica.pt/dr/detalhe/despacho/10918-2025-935495088</v>
      </c>
      <c r="K309" s="3" t="str">
        <v>No dated delivery evidence identified.</v>
      </c>
    </row>
    <row r="310" ht="90" customHeight="1">
      <c r="A310" s="3" t="str">
        <v>GT-2025-032-D05</v>
      </c>
      <c r="B310" s="3" t="str">
        <v>GT-2025-032</v>
      </c>
      <c r="C310" s="3" t="str">
        <v>c) Elaborar uma proposta fundamentada de prazos de conservação aplicáveis aos diferentes tipos de da</v>
      </c>
      <c r="D310" s="3" t="str">
        <v>Deliverable / duration</v>
      </c>
      <c r="E310" s="3" t="str">
        <v>c) Elaborar uma proposta fundamentada de prazos de conservação aplicáveis aos diferentes tipos de dados armazenados no sistema;</v>
      </c>
      <c r="F310" s="3" t="str"/>
      <c r="G310" s="20"/>
      <c r="H310" s="20"/>
      <c r="I310" s="3" t="str">
        <v>No uniquely dated deadline derivable from this clause; cadence or trigger is preserved.</v>
      </c>
      <c r="J310" s="3" t="str">
        <v>https://diariodarepublica.pt/dr/detalhe/despacho/10918-2025-935495088</v>
      </c>
      <c r="K310" s="3" t="str">
        <v>No dated delivery evidence identified.</v>
      </c>
    </row>
    <row r="311" ht="90" customHeight="1">
      <c r="A311" s="3" t="str">
        <v>GT-2025-032-D06</v>
      </c>
      <c r="B311" s="3" t="str">
        <v>GT-2025-032</v>
      </c>
      <c r="C311" s="3" t="str">
        <v>8 - O mandato do grupo de trabalho tem a duração de 12 meses, a contar da entrada em vigor do presen</v>
      </c>
      <c r="D311" s="3" t="str">
        <v>Deliverable / duration</v>
      </c>
      <c r="E311" s="3" t="str">
        <v>8 - O mandato do grupo de trabalho tem a duração de 12 meses, a contar da entrada em vigor do presente despacho, sem prejuízo da possibilidade da sua prorrogação, até ao prazo máximo de 6 meses.</v>
      </c>
      <c r="F311" s="3" t="str">
        <v>Entry into force 2025-09-17</v>
      </c>
      <c r="G311" s="20" t="d">
        <v>2026-09-17T00:00:00.000Z</v>
      </c>
      <c r="H311" s="20"/>
      <c r="I311" s="3" t="str">
        <v>2025-09-17 + 12 meses by calendar anniversary, end-of-month capped if necessary.</v>
      </c>
      <c r="J311" s="3" t="str">
        <v>https://diariodarepublica.pt/dr/detalhe/despacho/10918-2025-935495088</v>
      </c>
      <c r="K311" s="3" t="str">
        <v>No dated delivery evidence identified.</v>
      </c>
    </row>
    <row r="312" ht="90" customHeight="1">
      <c r="A312" s="3" t="str">
        <v>GT-2025-032-D07</v>
      </c>
      <c r="B312" s="3" t="str">
        <v>GT-2025-032</v>
      </c>
      <c r="C312" s="3" t="str">
        <v>a) No prazo máximo de 6 meses a contar da entrada em vigor do presente despacho, um relatório, com p</v>
      </c>
      <c r="D312" s="3" t="str">
        <v>Deliverable / duration</v>
      </c>
      <c r="E312" s="3" t="str">
        <v>a) No prazo máximo de 6 meses a contar da entrada em vigor do presente despacho, um relatório, com proposta de resposta às alíneas a) a c) do n.º 4 do presente despacho;</v>
      </c>
      <c r="F312" s="3" t="str">
        <v>Entry into force 2025-09-17</v>
      </c>
      <c r="G312" s="20" t="d">
        <v>2026-03-17T00:00:00.000Z</v>
      </c>
      <c r="H312" s="20"/>
      <c r="I312" s="3" t="str">
        <v>2025-09-17 + 6 meses by calendar anniversary, end-of-month capped if necessary.</v>
      </c>
      <c r="J312" s="3" t="str">
        <v>https://diariodarepublica.pt/dr/detalhe/despacho/10918-2025-935495088</v>
      </c>
      <c r="K312" s="3" t="str">
        <v>No dated delivery evidence identified.</v>
      </c>
    </row>
    <row r="313" ht="90" customHeight="1">
      <c r="A313" s="3" t="str">
        <v>GT-2025-032-D08</v>
      </c>
      <c r="B313" s="3" t="str">
        <v>GT-2025-032</v>
      </c>
      <c r="C313" s="3" t="str">
        <v>b) No prazo máximo de 12 meses, o relatório final referido na alínea d) do n.º 4 do presente despach</v>
      </c>
      <c r="D313" s="3" t="str">
        <v>Deliverable / duration</v>
      </c>
      <c r="E313" s="3" t="str">
        <v>b) No prazo máximo de 12 meses, o relatório final referido na alínea d) do n.º 4 do presente despacho.</v>
      </c>
      <c r="F313" s="3" t="str">
        <v>Entry into force 2025-09-17</v>
      </c>
      <c r="G313" s="20" t="d">
        <v>2026-09-17T00:00:00.000Z</v>
      </c>
      <c r="H313" s="20"/>
      <c r="I313" s="3" t="str">
        <v>2025-09-17 + 12 meses by calendar anniversary, end-of-month capped if necessary.</v>
      </c>
      <c r="J313" s="3" t="str">
        <v>https://diariodarepublica.pt/dr/detalhe/despacho/10918-2025-935495088</v>
      </c>
      <c r="K313" s="3" t="str">
        <v>No dated delivery evidence identified.</v>
      </c>
    </row>
    <row r="314" ht="90" customHeight="1">
      <c r="A314" s="3" t="str">
        <v>GT-2025-032-D09</v>
      </c>
      <c r="B314" s="3" t="str">
        <v>GT-2025-032</v>
      </c>
      <c r="C314" s="3" t="str">
        <v>Final report / last specified substantive output</v>
      </c>
      <c r="D314" s="3" t="str">
        <v>Status benchmark</v>
      </c>
      <c r="E314" s="3" t="str"/>
      <c r="F314" s="3" t="str"/>
      <c r="G314" s="20" t="d">
        <v>2026-09-17T00:00:00.000Z</v>
      </c>
      <c r="H314" s="20"/>
      <c r="I314" s="3" t="str">
        <v>effective 2025-09-17 + 12 calendar months (anniversary rule).</v>
      </c>
      <c r="J314" s="3" t="str">
        <v>https://diariodarepublica.pt/dr/detalhe/despacho/10918-2025-935495088</v>
      </c>
      <c r="K314" s="3" t="str">
        <v>Em atraso — Controlling benchmark has passed; no evidence of this output’s delivery identified in the reviewed acts and focused official-source outcome search.</v>
      </c>
    </row>
    <row r="315" ht="90" customHeight="1">
      <c r="A315" s="3" t="str">
        <v>GT-2025-033-D01</v>
      </c>
      <c r="B315" s="3" t="str">
        <v>GT-2025-033</v>
      </c>
      <c r="C315" s="3" t="str">
        <v>b) Definir objetivos estratégicos, iniciativas prioritárias e metas, até 2030, para potenciar o pape</v>
      </c>
      <c r="D315" s="3" t="str">
        <v>Deliverable / duration</v>
      </c>
      <c r="E315" s="3" t="str">
        <v>b) Definir objetivos estratégicos, iniciativas prioritárias e metas, até 2030, para potenciar o papel do digital e da inteligência artificial na educação;</v>
      </c>
      <c r="F315" s="3" t="str"/>
      <c r="G315" s="20"/>
      <c r="H315" s="20"/>
      <c r="I315" s="3" t="str">
        <v>No uniquely dated deadline derivable from this clause; cadence or trigger is preserved.</v>
      </c>
      <c r="J315" s="3" t="str">
        <v>https://diariodarepublica.pt/dr/detalhe/despacho/10945-2025-935495442</v>
      </c>
      <c r="K315" s="3" t="str">
        <v>No dated delivery evidence identified.</v>
      </c>
    </row>
    <row r="316" ht="90" customHeight="1">
      <c r="A316" s="3" t="str">
        <v>GT-2025-033-D02</v>
      </c>
      <c r="B316" s="3" t="str">
        <v>GT-2025-033</v>
      </c>
      <c r="C316" s="3" t="str">
        <v>2 - O Grupo de Trabalho deve apresentar o previsto na alínea a) do número anterior até ao final do m</v>
      </c>
      <c r="D316" s="3" t="str">
        <v>Deliverable / duration</v>
      </c>
      <c r="E316" s="3" t="str">
        <v>2 - O Grupo de Trabalho deve apresentar o previsto na alínea a) do número anterior até ao final do mês de novembro de 2025, o previsto na alínea b) até ao final do mês de março de 2026 e o previsto na alínea c) até ao final do mês de maio de 2026.</v>
      </c>
      <c r="F316" s="3" t="str"/>
      <c r="G316" s="20" t="d">
        <v>2025-11-30T00:00:00.000Z</v>
      </c>
      <c r="H316" s="20"/>
      <c r="I316" s="3" t="str">
        <v>Explicit month-end: 2025-11-30.</v>
      </c>
      <c r="J316" s="3" t="str">
        <v>https://diariodarepublica.pt/dr/detalhe/despacho/10945-2025-935495442</v>
      </c>
      <c r="K316" s="3" t="str">
        <v>No dated delivery evidence identified.</v>
      </c>
    </row>
    <row r="317" ht="90" customHeight="1">
      <c r="A317" s="3" t="str">
        <v>GT-2025-033-D03</v>
      </c>
      <c r="B317" s="3" t="str">
        <v>GT-2025-033</v>
      </c>
      <c r="C317" s="3" t="str">
        <v>2 - O Grupo de Trabalho deve apresentar o previsto na alínea a) do número anteri — additional dated phase</v>
      </c>
      <c r="D317" s="3" t="str">
        <v>Deliverable / duration</v>
      </c>
      <c r="E317" s="3" t="str">
        <v>2 - O Grupo de Trabalho deve apresentar o previsto na alínea a) do número anterior até ao final do mês de novembro de 2025, o previsto na alínea b) até ao final do mês de março de 2026 e o previsto na alínea c) até ao final do mês de maio de 2026.</v>
      </c>
      <c r="F317" s="3" t="str"/>
      <c r="G317" s="20" t="d">
        <v>2026-03-31T00:00:00.000Z</v>
      </c>
      <c r="H317" s="20"/>
      <c r="I317" s="3" t="str">
        <v>Explicit month-end: final do mês de março de 2026; last day of the stated window.</v>
      </c>
      <c r="J317" s="3" t="str">
        <v>https://diariodarepublica.pt/dr/detalhe/despacho/10945-2025-935495442</v>
      </c>
      <c r="K317" s="3" t="str">
        <v>No dated delivery evidence identified.</v>
      </c>
    </row>
    <row r="318" ht="90" customHeight="1">
      <c r="A318" s="3" t="str">
        <v>GT-2025-033-D04</v>
      </c>
      <c r="B318" s="3" t="str">
        <v>GT-2025-033</v>
      </c>
      <c r="C318" s="3" t="str">
        <v>2 - O Grupo de Trabalho deve apresentar o previsto na alínea a) do número anteri — additional dated phase</v>
      </c>
      <c r="D318" s="3" t="str">
        <v>Deliverable / duration</v>
      </c>
      <c r="E318" s="3" t="str">
        <v>2 - O Grupo de Trabalho deve apresentar o previsto na alínea a) do número anterior até ao final do mês de novembro de 2025, o previsto na alínea b) até ao final do mês de março de 2026 e o previsto na alínea c) até ao final do mês de maio de 2026.</v>
      </c>
      <c r="F318" s="3" t="str"/>
      <c r="G318" s="20" t="d">
        <v>2026-05-31T00:00:00.000Z</v>
      </c>
      <c r="H318" s="20"/>
      <c r="I318" s="3" t="str">
        <v>Explicit month-end: final do mês de maio de 2026; last day of the stated window.</v>
      </c>
      <c r="J318" s="3" t="str">
        <v>https://diariodarepublica.pt/dr/detalhe/despacho/10945-2025-935495442</v>
      </c>
      <c r="K318" s="3" t="str">
        <v>No dated delivery evidence identified.</v>
      </c>
    </row>
    <row r="319" ht="90" customHeight="1">
      <c r="A319" s="3" t="str">
        <v>GT-2025-033-D05</v>
      </c>
      <c r="B319" s="3" t="str">
        <v>GT-2025-033</v>
      </c>
      <c r="C319" s="3" t="str">
        <v>4 - Os representantes do Grupo de Trabalho são designados no prazo de 10 dias a contar da data da pu</v>
      </c>
      <c r="D319" s="3" t="str">
        <v>Appointments / planning</v>
      </c>
      <c r="E319" s="3" t="str">
        <v>4 - Os representantes do Grupo de Trabalho são designados no prazo de 10 dias a contar da data da publicação do presente despacho.</v>
      </c>
      <c r="F319" s="3" t="str">
        <v>Publication 2025-09-17</v>
      </c>
      <c r="G319" s="20" t="d">
        <v>2025-09-27T00:00:00.000Z</v>
      </c>
      <c r="H319" s="20" t="d">
        <v>2025-10-01T00:00:00.000Z</v>
      </c>
      <c r="I319" s="3" t="str">
        <v>2025-09-17 + 10 calendar days (monitoring convention). If CPA procedural counting applies: 2025-10-01.</v>
      </c>
      <c r="J319" s="3" t="str">
        <v>https://diariodarepublica.pt/dr/detalhe/despacho/10945-2025-935495442</v>
      </c>
      <c r="K319" s="3" t="str">
        <v>No dated delivery evidence identified.</v>
      </c>
    </row>
    <row r="320" ht="90" customHeight="1">
      <c r="A320" s="3" t="str">
        <v>GT-2025-033-D06</v>
      </c>
      <c r="B320" s="3" t="str">
        <v>GT-2025-033</v>
      </c>
      <c r="C320" s="3" t="str">
        <v>5 - O representante da DGEPA é designado no prazo de 10 dias a contar de 1 de outubro de 2025.</v>
      </c>
      <c r="D320" s="3" t="str">
        <v>Deliverable / duration</v>
      </c>
      <c r="E320" s="3" t="str">
        <v>5 - O representante da DGEPA é designado no prazo de 10 dias a contar de 1 de outubro de 2025.</v>
      </c>
      <c r="F320" s="3" t="str"/>
      <c r="G320" s="20" t="d">
        <v>2025-10-01T00:00:00.000Z</v>
      </c>
      <c r="H320" s="20"/>
      <c r="I320" s="3" t="str">
        <v>10 dias after trigger: anchor not expressly specified; exact date cannot be verified.</v>
      </c>
      <c r="J320" s="3" t="str">
        <v>https://diariodarepublica.pt/dr/detalhe/despacho/10945-2025-935495442</v>
      </c>
      <c r="K320" s="3" t="str">
        <v>No dated delivery evidence identified.</v>
      </c>
    </row>
    <row r="321" ht="90" customHeight="1">
      <c r="A321" s="3" t="str">
        <v>GT-2025-033-D07</v>
      </c>
      <c r="B321" s="3" t="str">
        <v>GT-2025-033</v>
      </c>
      <c r="C321" s="3" t="str">
        <v>13 - O Grupo de Trabalho tem duração até 31 de dezembro de 2026.</v>
      </c>
      <c r="D321" s="3" t="str">
        <v>Deliverable / duration</v>
      </c>
      <c r="E321" s="3" t="str">
        <v>13 - O Grupo de Trabalho tem duração até 31 de dezembro de 2026.</v>
      </c>
      <c r="F321" s="3" t="str"/>
      <c r="G321" s="20" t="d">
        <v>2026-12-31T00:00:00.000Z</v>
      </c>
      <c r="H321" s="20"/>
      <c r="I321" s="3" t="str">
        <v>Explicit calendar date in the act.</v>
      </c>
      <c r="J321" s="3" t="str">
        <v>https://diariodarepublica.pt/dr/detalhe/despacho/10945-2025-935495442</v>
      </c>
      <c r="K321" s="3" t="str">
        <v>No dated delivery evidence identified.</v>
      </c>
    </row>
    <row r="322" ht="90" customHeight="1">
      <c r="A322" s="3" t="str">
        <v>GT-2025-033-D08</v>
      </c>
      <c r="B322" s="3" t="str">
        <v>GT-2025-033</v>
      </c>
      <c r="C322" s="3" t="str">
        <v>Implementation proposals</v>
      </c>
      <c r="D322" s="3" t="str">
        <v>Status benchmark</v>
      </c>
      <c r="E322" s="3" t="str"/>
      <c r="F322" s="3" t="str"/>
      <c r="G322" s="20" t="d">
        <v>2026-05-31T00:00:00.000Z</v>
      </c>
      <c r="H322" s="20"/>
      <c r="I322" s="3" t="str">
        <v>Fixed date / explicit year-end in creating act.</v>
      </c>
      <c r="J322" s="3" t="str">
        <v>https://diariodarepublica.pt/dr/detalhe/despacho/10945-2025-935495442</v>
      </c>
      <c r="K322" s="3" t="str">
        <v>Em atraso — Controlling benchmark has passed; no evidence of this output’s delivery identified in the reviewed acts and focused official-source outcome search.</v>
      </c>
    </row>
    <row r="323" ht="90" customHeight="1">
      <c r="A323" s="3" t="str">
        <v>GT-2025-034-D01</v>
      </c>
      <c r="B323" s="3" t="str">
        <v>GT-2025-034</v>
      </c>
      <c r="C323" s="3" t="str">
        <v>5 - Os representantes das entidades referidas nos n.os 2 e 3 são designados no prazo máximo de cinco</v>
      </c>
      <c r="D323" s="3" t="str">
        <v>Appointments / planning</v>
      </c>
      <c r="E323" s="3" t="str">
        <v>5 - Os representantes das entidades referidas nos n.os 2 e 3 são designados no prazo máximo de cinco dias úteis, após a data da entrada em vigor do presente despacho.</v>
      </c>
      <c r="F323" s="3" t="str">
        <v>Entry into force 2025-09-26</v>
      </c>
      <c r="G323" s="20" t="d">
        <v>2025-10-03T00:00:00.000Z</v>
      </c>
      <c r="H323" s="20"/>
      <c r="I323" s="3" t="str">
        <v>2025-09-26 + 5 working days; anchor excluded, weekends and national statutory holidays excluded.</v>
      </c>
      <c r="J323" s="3" t="str">
        <v>https://diariodarepublica.pt/dr/detalhe/despacho/11297-2025-936527063</v>
      </c>
      <c r="K323" s="3" t="str">
        <v>No dated delivery evidence identified.</v>
      </c>
    </row>
    <row r="324" ht="90" customHeight="1">
      <c r="A324" s="3" t="str">
        <v>GT-2025-034-D02</v>
      </c>
      <c r="B324" s="3" t="str">
        <v>GT-2025-034</v>
      </c>
      <c r="C324" s="3" t="str">
        <v>8 - O grupo de trabalho deve apresentar um Relatório Preliminar, contendo as suas conclusões e propo</v>
      </c>
      <c r="D324" s="3" t="str">
        <v>Deliverable / duration</v>
      </c>
      <c r="E324" s="3" t="str">
        <v>8 - O grupo de trabalho deve apresentar um Relatório Preliminar, contendo as suas conclusões e propostas, até ao dia 6 de outubro de 2025.</v>
      </c>
      <c r="F324" s="3" t="str"/>
      <c r="G324" s="20" t="d">
        <v>2025-10-06T00:00:00.000Z</v>
      </c>
      <c r="H324" s="20"/>
      <c r="I324" s="3" t="str">
        <v>Explicit calendar date in the act.</v>
      </c>
      <c r="J324" s="3" t="str">
        <v>https://diariodarepublica.pt/dr/detalhe/despacho/11297-2025-936527063</v>
      </c>
      <c r="K324" s="3" t="str">
        <v>No dated delivery evidence identified.</v>
      </c>
    </row>
    <row r="325" ht="90" customHeight="1">
      <c r="A325" s="3" t="str">
        <v>GT-2025-034-D03</v>
      </c>
      <c r="B325" s="3" t="str">
        <v>GT-2025-034</v>
      </c>
      <c r="C325" s="3" t="str">
        <v>Mandate end</v>
      </c>
      <c r="D325" s="3" t="str">
        <v>Status benchmark</v>
      </c>
      <c r="E325" s="3" t="str"/>
      <c r="F325" s="3" t="str"/>
      <c r="G325" s="20" t="d">
        <v>2025-12-31T00:00:00.000Z</v>
      </c>
      <c r="H325" s="20"/>
      <c r="I325" s="3" t="str">
        <v>Fixed date / explicit year-end in creating act.</v>
      </c>
      <c r="J325" s="3" t="str">
        <v>https://diariodarepublica.pt/dr/detalhe/despacho/11297-2025-936527063</v>
      </c>
      <c r="K325" s="3" t="str">
        <v>Em atraso — Controlling benchmark has passed; no evidence of this output’s delivery identified in the reviewed acts and focused official-source outcome search.</v>
      </c>
    </row>
    <row r="326" ht="90" customHeight="1">
      <c r="A326" s="3" t="str">
        <v>GT-2025-035-D01</v>
      </c>
      <c r="B326" s="3" t="str">
        <v>GT-2025-035</v>
      </c>
      <c r="C326" s="3" t="str">
        <v>b) Avaliar os atuais mecanismos de governação, reconhecimento, avaliação e financiamento aplicáveis </v>
      </c>
      <c r="D326" s="3" t="str">
        <v>Deliverable / duration</v>
      </c>
      <c r="E326" s="3" t="str">
        <v>b) Avaliar os atuais mecanismos de governação, reconhecimento, avaliação e financiamento aplicáveis das entidades do sistema, propondo um novo modelo integrado que promova a sua diferenciação positiva, modernização, e assegure a sua viabilidade económico-financeira a médio e longo prazo e adaptabilidade face aos desafios que se lhes colocam;</v>
      </c>
      <c r="F326" s="3" t="str"/>
      <c r="G326" s="20"/>
      <c r="H326" s="20"/>
      <c r="I326" s="3" t="str">
        <v>No uniquely dated deadline derivable from this clause; cadence or trigger is preserved.</v>
      </c>
      <c r="J326" s="3" t="str">
        <v>https://diariodarepublica.pt/dr/detalhe/despacho/11412-a-2025-937049215</v>
      </c>
      <c r="K326" s="3" t="str">
        <v>No dated delivery evidence identified.</v>
      </c>
    </row>
    <row r="327" ht="90" customHeight="1">
      <c r="A327" s="3" t="str">
        <v>GT-2025-035-D02</v>
      </c>
      <c r="B327" s="3" t="str">
        <v>GT-2025-035</v>
      </c>
      <c r="C327" s="3" t="str">
        <v>O grupo de trabalho deverá produzir um relatório até ao dia 31 de janeiro de 2026.</v>
      </c>
      <c r="D327" s="3" t="str">
        <v>Deliverable / duration</v>
      </c>
      <c r="E327" s="3" t="str">
        <v>O grupo de trabalho deverá produzir um relatório até ao dia 31 de janeiro de 2026.</v>
      </c>
      <c r="F327" s="3" t="str"/>
      <c r="G327" s="20" t="d">
        <v>2026-01-31T00:00:00.000Z</v>
      </c>
      <c r="H327" s="20"/>
      <c r="I327" s="3" t="str">
        <v>Explicit calendar date in the act.</v>
      </c>
      <c r="J327" s="3" t="str">
        <v>https://diariodarepublica.pt/dr/detalhe/despacho/11412-a-2025-937049215</v>
      </c>
      <c r="K327" s="3" t="str">
        <v>No dated delivery evidence identified.</v>
      </c>
    </row>
    <row r="328" ht="90" customHeight="1">
      <c r="A328" s="3" t="str">
        <v>GT-2025-035-D03</v>
      </c>
      <c r="B328" s="3" t="str">
        <v>GT-2025-035</v>
      </c>
      <c r="C328" s="3" t="str">
        <v>5 - As entidades referidas no número anterior devem indicar os respetivos representantes aos membros</v>
      </c>
      <c r="D328" s="3" t="str">
        <v>Appointments / planning</v>
      </c>
      <c r="E328" s="3" t="str">
        <v>5 - As entidades referidas no número anterior devem indicar os respetivos representantes aos membros do governo responsáveis pelas áreas da economia e coesão territorial e da educação, ciência e inovação, no prazo de sete dias após a entrada em vigor do presente despacho.</v>
      </c>
      <c r="F328" s="3" t="str">
        <v>Entry into force 2025-09-27</v>
      </c>
      <c r="G328" s="20" t="d">
        <v>2025-10-04T00:00:00.000Z</v>
      </c>
      <c r="H328" s="20" t="d">
        <v>2025-10-07T00:00:00.000Z</v>
      </c>
      <c r="I328" s="3" t="str">
        <v>2025-09-27 + 7 calendar days (monitoring convention). If CPA procedural counting applies: 2025-10-07.</v>
      </c>
      <c r="J328" s="3" t="str">
        <v>https://diariodarepublica.pt/dr/detalhe/despacho/11412-a-2025-937049215</v>
      </c>
      <c r="K328" s="3" t="str">
        <v>No dated delivery evidence identified.</v>
      </c>
    </row>
    <row r="329" ht="90" customHeight="1">
      <c r="A329" s="3" t="str">
        <v>GT-2025-035-D04</v>
      </c>
      <c r="B329" s="3" t="str">
        <v>GT-2025-035</v>
      </c>
      <c r="C329" s="3" t="str">
        <v>9 - O grupo de trabalho deve apresentar um relatório final até ao dia 28 de fevereiro de 2026.</v>
      </c>
      <c r="D329" s="3" t="str">
        <v>Deliverable / duration</v>
      </c>
      <c r="E329" s="3" t="str">
        <v>9 - O grupo de trabalho deve apresentar um relatório final até ao dia 28 de fevereiro de 2026.</v>
      </c>
      <c r="F329" s="3" t="str"/>
      <c r="G329" s="20" t="d">
        <v>2026-02-28T00:00:00.000Z</v>
      </c>
      <c r="H329" s="20"/>
      <c r="I329" s="3" t="str">
        <v>Explicit calendar date in the act.</v>
      </c>
      <c r="J329" s="3" t="str">
        <v>https://diariodarepublica.pt/dr/detalhe/despacho/11412-a-2025-937049215</v>
      </c>
      <c r="K329" s="3" t="str">
        <v>No dated delivery evidence identified.</v>
      </c>
    </row>
    <row r="330" ht="90" customHeight="1">
      <c r="A330" s="3" t="str">
        <v>GT-2025-035-D05</v>
      </c>
      <c r="B330" s="3" t="str">
        <v>GT-2025-035</v>
      </c>
      <c r="C330" s="3" t="str">
        <v>Final report / last specified substantive output</v>
      </c>
      <c r="D330" s="3" t="str">
        <v>Status benchmark</v>
      </c>
      <c r="E330" s="3" t="str"/>
      <c r="F330" s="3" t="str"/>
      <c r="G330" s="20" t="d">
        <v>2026-02-28T00:00:00.000Z</v>
      </c>
      <c r="H330" s="20"/>
      <c r="I330" s="3" t="str">
        <v>Fixed date / explicit year-end in creating act.</v>
      </c>
      <c r="J330" s="3" t="str">
        <v>https://diariodarepublica.pt/dr/detalhe/despacho/11412-a-2025-937049215</v>
      </c>
      <c r="K330" s="3" t="str">
        <v>Em atraso — Controlling benchmark has passed; no evidence of this output’s delivery identified in the reviewed acts and focused official-source outcome search.</v>
      </c>
    </row>
    <row r="331" ht="90" customHeight="1">
      <c r="A331" s="3" t="str">
        <v>GT-2025-036-D01</v>
      </c>
      <c r="B331" s="3" t="str">
        <v>GT-2025-036</v>
      </c>
      <c r="C331" s="3" t="str">
        <v>3 - Os representantes das entidades que integram o grupo de trabalho são designados, e comunicada es</v>
      </c>
      <c r="D331" s="3" t="str">
        <v>Appointments / planning</v>
      </c>
      <c r="E331" s="3" t="str">
        <v>3 - Os representantes das entidades que integram o grupo de trabalho são designados, e comunicada essa designação ao meu Gabinete, no prazo máximo de cinco dias úteis, a contar da data da entrada em vigor do presente despacho, para as entidades identificadas nas alíneas a) a k), e no prazo máximo de cinco dias úteis a contar da notificação às associações de doentes referidas na alínea l).</v>
      </c>
      <c r="F331" s="3" t="str">
        <v>Entry into force 2025-10-04</v>
      </c>
      <c r="G331" s="20" t="d">
        <v>2025-10-10T00:00:00.000Z</v>
      </c>
      <c r="H331" s="20"/>
      <c r="I331" s="3" t="str">
        <v>2025-10-04 + 5 working days; anchor excluded, weekends and national statutory holidays excluded.</v>
      </c>
      <c r="J331" s="3" t="str">
        <v>https://diariodarepublica.pt/dr/detalhe/despacho/11649-2025-937675961</v>
      </c>
      <c r="K331" s="3" t="str">
        <v>No dated delivery evidence identified.</v>
      </c>
    </row>
    <row r="332" ht="90" customHeight="1">
      <c r="A332" s="3" t="str">
        <v>GT-2025-036-D02</v>
      </c>
      <c r="B332" s="3" t="str">
        <v>GT-2025-036</v>
      </c>
      <c r="C332" s="3" t="str">
        <v>5 - O grupo de trabalho constituído pelo presente despacho deve, no cumprimento dos seus objetivos, </v>
      </c>
      <c r="D332" s="3" t="str">
        <v>Deliverable / duration</v>
      </c>
      <c r="E332" s="3" t="str">
        <v>5 - O grupo de trabalho constituído pelo presente despacho deve, no cumprimento dos seus objetivos, e no prazo de 120 dias a contar da data de entrada em vigor do presente despacho, remeter ao meu Gabinete o relatório previsto na alínea d) do n.º 1.</v>
      </c>
      <c r="F332" s="3" t="str">
        <v>Entry into force 2025-10-04</v>
      </c>
      <c r="G332" s="20" t="d">
        <v>2026-02-01T00:00:00.000Z</v>
      </c>
      <c r="H332" s="20" t="d">
        <v>2026-03-26T00:00:00.000Z</v>
      </c>
      <c r="I332" s="3" t="str">
        <v>2025-10-04 + 120 calendar days (monitoring convention). If CPA procedural counting applies: 2026-03-26.</v>
      </c>
      <c r="J332" s="3" t="str">
        <v>https://diariodarepublica.pt/dr/detalhe/despacho/11649-2025-937675961</v>
      </c>
      <c r="K332" s="3" t="str">
        <v>No dated delivery evidence identified.</v>
      </c>
    </row>
    <row r="333" ht="90" customHeight="1">
      <c r="A333" s="3" t="str">
        <v>GT-2025-036-D03</v>
      </c>
      <c r="B333" s="3" t="str">
        <v>GT-2025-036</v>
      </c>
      <c r="C333" s="3" t="str">
        <v>Final report / last specified substantive output</v>
      </c>
      <c r="D333" s="3" t="str">
        <v>Status benchmark</v>
      </c>
      <c r="E333" s="3" t="str"/>
      <c r="F333" s="3" t="str"/>
      <c r="G333" s="20" t="d">
        <v>2026-02-01T00:00:00.000Z</v>
      </c>
      <c r="H333" s="20" t="d">
        <v>2026-03-26T00:00:00.000Z</v>
      </c>
      <c r="I333" s="3" t="str">
        <v>effective 2025-10-04 + 120 calendar days; plain “dias” benchmark. Alternative working-day date: 2026-03-26.</v>
      </c>
      <c r="J333" s="3" t="str">
        <v>https://diariodarepublica.pt/dr/detalhe/despacho/11649-2025-937675961</v>
      </c>
      <c r="K333" s="3" t="str">
        <v>Em atraso — Controlling benchmark has passed; no evidence of this output’s delivery identified in the reviewed acts and focused official-source outcome search.</v>
      </c>
    </row>
    <row r="334" ht="90" customHeight="1">
      <c r="A334" s="3" t="str">
        <v>GT-2025-037-D01</v>
      </c>
      <c r="B334" s="3" t="str">
        <v>GT-2025-037</v>
      </c>
      <c r="C334" s="3" t="str">
        <v>a) Até 30 de novembro de 2025:</v>
      </c>
      <c r="D334" s="3" t="str">
        <v>Deliverable / duration</v>
      </c>
      <c r="E334" s="3" t="str">
        <v>a) Até 30 de novembro de 2025:</v>
      </c>
      <c r="F334" s="3" t="str"/>
      <c r="G334" s="20" t="d">
        <v>2025-11-30T00:00:00.000Z</v>
      </c>
      <c r="H334" s="20"/>
      <c r="I334" s="3" t="str">
        <v>Explicit calendar date in the act.</v>
      </c>
      <c r="J334" s="3" t="str">
        <v>https://diariodarepublica.pt/dr/detalhe/despacho/11843-2025-938604558</v>
      </c>
      <c r="K334" s="3" t="str">
        <v>No dated delivery evidence identified.</v>
      </c>
    </row>
    <row r="335" ht="90" customHeight="1">
      <c r="A335" s="3" t="str">
        <v>GT-2025-037-D02</v>
      </c>
      <c r="B335" s="3" t="str">
        <v>GT-2025-037</v>
      </c>
      <c r="C335" s="3" t="str">
        <v>b) Até 5 de março de 2026:</v>
      </c>
      <c r="D335" s="3" t="str">
        <v>Deliverable / duration</v>
      </c>
      <c r="E335" s="3" t="str">
        <v>b) Até 5 de março de 2026:</v>
      </c>
      <c r="F335" s="3" t="str"/>
      <c r="G335" s="20" t="d">
        <v>2026-03-05T00:00:00.000Z</v>
      </c>
      <c r="H335" s="20"/>
      <c r="I335" s="3" t="str">
        <v>Explicit calendar date in the act.</v>
      </c>
      <c r="J335" s="3" t="str">
        <v>https://diariodarepublica.pt/dr/detalhe/despacho/11843-2025-938604558</v>
      </c>
      <c r="K335" s="3" t="str">
        <v>No dated delivery evidence identified.</v>
      </c>
    </row>
    <row r="336" ht="90" customHeight="1">
      <c r="A336" s="3" t="str">
        <v>GT-2025-037-D03</v>
      </c>
      <c r="B336" s="3" t="str">
        <v>GT-2025-037</v>
      </c>
      <c r="C336" s="3" t="str">
        <v>c) Até 5 de junho de 2026:</v>
      </c>
      <c r="D336" s="3" t="str">
        <v>Deliverable / duration</v>
      </c>
      <c r="E336" s="3" t="str">
        <v>c) Até 5 de junho de 2026:</v>
      </c>
      <c r="F336" s="3" t="str"/>
      <c r="G336" s="20" t="d">
        <v>2026-06-05T00:00:00.000Z</v>
      </c>
      <c r="H336" s="20"/>
      <c r="I336" s="3" t="str">
        <v>Explicit calendar date in the act.</v>
      </c>
      <c r="J336" s="3" t="str">
        <v>https://diariodarepublica.pt/dr/detalhe/despacho/11843-2025-938604558</v>
      </c>
      <c r="K336" s="3" t="str">
        <v>No dated delivery evidence identified.</v>
      </c>
    </row>
    <row r="337" ht="90" customHeight="1">
      <c r="A337" s="3" t="str">
        <v>GT-2025-037-D04</v>
      </c>
      <c r="B337" s="3" t="str">
        <v>GT-2025-037</v>
      </c>
      <c r="C337" s="3" t="str">
        <v>6 - O grupo de trabalho deve reunir com uma periodicidade mínima mensal.</v>
      </c>
      <c r="D337" s="3" t="str">
        <v>Periodic / conditional</v>
      </c>
      <c r="E337" s="3" t="str">
        <v>6 - O grupo de trabalho deve reunir com uma periodicidade mínima mensal.</v>
      </c>
      <c r="F337" s="3" t="str"/>
      <c r="G337" s="20"/>
      <c r="H337" s="20"/>
      <c r="I337" s="3" t="str">
        <v>No uniquely dated deadline derivable from this clause; cadence or trigger is preserved.</v>
      </c>
      <c r="J337" s="3" t="str">
        <v>https://diariodarepublica.pt/dr/detalhe/despacho/11843-2025-938604558</v>
      </c>
      <c r="K337" s="3" t="str">
        <v>No dated delivery evidence identified.</v>
      </c>
    </row>
    <row r="338" ht="90" customHeight="1">
      <c r="A338" s="3" t="str">
        <v>GT-2025-037-D05</v>
      </c>
      <c r="B338" s="3" t="str">
        <v>GT-2025-037</v>
      </c>
      <c r="C338" s="3" t="str">
        <v>8 - As entidades referidas no n.º 3 devem indicar os respetivos representantes ao Gabinete do Secret</v>
      </c>
      <c r="D338" s="3" t="str">
        <v>Appointments / planning</v>
      </c>
      <c r="E338" s="3" t="str">
        <v>8 - As entidades referidas no n.º 3 devem indicar os respetivos representantes ao Gabinete do Secretário de Estado Adjunto e da Energia no prazo de cinco dias úteis após a data da entrada em vigor do presente despacho.</v>
      </c>
      <c r="F338" s="3" t="str">
        <v>Entry into force 2025-10-09</v>
      </c>
      <c r="G338" s="20" t="d">
        <v>2025-10-16T00:00:00.000Z</v>
      </c>
      <c r="H338" s="20"/>
      <c r="I338" s="3" t="str">
        <v>2025-10-09 + 5 working days; anchor excluded, weekends and national statutory holidays excluded.</v>
      </c>
      <c r="J338" s="3" t="str">
        <v>https://diariodarepublica.pt/dr/detalhe/despacho/11843-2025-938604558</v>
      </c>
      <c r="K338" s="3" t="str">
        <v>No dated delivery evidence identified.</v>
      </c>
    </row>
    <row r="339" ht="90" customHeight="1">
      <c r="A339" s="3" t="str">
        <v>GT-2025-038-D01</v>
      </c>
      <c r="B339" s="3" t="str">
        <v>GT-2025-038</v>
      </c>
      <c r="C339" s="3" t="str">
        <v>2 - Estabelecer que, no prazo de 15 dias, é constituído um grupo técnico de trabalho, nos termos da </v>
      </c>
      <c r="D339" s="3" t="str">
        <v>Deliverable / duration</v>
      </c>
      <c r="E339" s="3" t="str">
        <v>2 - Estabelecer que, no prazo de 15 dias, é constituído um grupo técnico de trabalho, nos termos da alínea g) do n.º 7 da Resolução do Conselho de Ministros n.º 94/2024, de 25 de julho, com a responsabilidade de assegurar a implementação do Programa.</v>
      </c>
      <c r="F339" s="3" t="str"/>
      <c r="G339" s="20"/>
      <c r="H339" s="20"/>
      <c r="I339" s="3" t="str">
        <v>15 dias after trigger: anchor not expressly specified; exact date cannot be verified.</v>
      </c>
      <c r="J339" s="3" t="str">
        <v>https://diariodarepublica.pt/dr/detalhe/resolucao-conselho-ministros/175-2025-945116919</v>
      </c>
      <c r="K339" s="3" t="str">
        <v>No dated delivery evidence identified.</v>
      </c>
    </row>
    <row r="340" ht="90" customHeight="1">
      <c r="A340" s="3" t="str">
        <v>GT-2025-038-D02</v>
      </c>
      <c r="B340" s="3" t="str">
        <v>GT-2025-038</v>
      </c>
      <c r="C340" s="3" t="str">
        <v>3 - Sem prejuízo do disposto no n.º 12 da referida resolução, o grupo técnico de trabalho referido n</v>
      </c>
      <c r="D340" s="3" t="str">
        <v>Deliverable / duration</v>
      </c>
      <c r="E340" s="3" t="str">
        <v>3 - Sem prejuízo do disposto no n.º 12 da referida resolução, o grupo técnico de trabalho referido no número anterior é constituído por um período de 6 meses e tem a seguinte composição:</v>
      </c>
      <c r="F340" s="3" t="str"/>
      <c r="G340" s="20"/>
      <c r="H340" s="20"/>
      <c r="I340" s="3" t="str">
        <v>6 meses after trigger: anchor not expressly specified; exact date cannot be verified.</v>
      </c>
      <c r="J340" s="3" t="str">
        <v>https://diariodarepublica.pt/dr/detalhe/resolucao-conselho-ministros/175-2025-945116919</v>
      </c>
      <c r="K340" s="3" t="str">
        <v>No dated delivery evidence identified.</v>
      </c>
    </row>
    <row r="341" ht="90" customHeight="1">
      <c r="A341" s="3" t="str">
        <v>GT-2025-038-D03</v>
      </c>
      <c r="B341" s="3" t="str">
        <v>GT-2025-038</v>
      </c>
      <c r="C341" s="3" t="str">
        <v>4 - Determinar que, findo o prazo de 6 meses previsto no número anterior, o grupo técnico de trabalh</v>
      </c>
      <c r="D341" s="3" t="str">
        <v>Deliverable / duration</v>
      </c>
      <c r="E341" s="3" t="str">
        <v>4 - Determinar que, findo o prazo de 6 meses previsto no número anterior, o grupo técnico de trabalho apresenta aos membros do Governo responsáveis pelas áreas da igualdade, da digitalização, da educação, do trabalho e da defesa, um relatório dos trabalhos realizados.</v>
      </c>
      <c r="F341" s="3" t="str"/>
      <c r="G341" s="20"/>
      <c r="H341" s="20"/>
      <c r="I341" s="3" t="str">
        <v>6 meses after trigger: anchor not expressly specified; exact date cannot be verified.</v>
      </c>
      <c r="J341" s="3" t="str">
        <v>https://diariodarepublica.pt/dr/detalhe/resolucao-conselho-ministros/175-2025-945116919</v>
      </c>
      <c r="K341" s="3" t="str">
        <v>No dated delivery evidence identified.</v>
      </c>
    </row>
    <row r="342" ht="90" customHeight="1">
      <c r="A342" s="3" t="str">
        <v>GT-2025-038-D04</v>
      </c>
      <c r="B342" s="3" t="str">
        <v>GT-2025-038</v>
      </c>
      <c r="C342" s="3" t="str">
        <v>Programme annex action window: 1.º semestre 2026</v>
      </c>
      <c r="D342" s="3" t="str">
        <v>Policy implementation window</v>
      </c>
      <c r="E342" s="3" t="str">
        <v>1.º semestre 2026</v>
      </c>
      <c r="F342" s="3" t="str"/>
      <c r="G342" s="20" t="d">
        <v>2026-06-30T00:00:00.000Z</v>
      </c>
      <c r="H342" s="20"/>
      <c r="I342" s="3" t="str">
        <v>Annex action windows; end of half-year is an explicit window boundary. These concern the wider programme, not the six-month technical group.</v>
      </c>
      <c r="J342" s="3" t="str">
        <v>https://diariodarepublica.pt/dr/detalhe/resolucao-conselho-ministros/175-2025-945116919</v>
      </c>
      <c r="K342" s="3" t="str">
        <v>No dated delivery evidence identified.</v>
      </c>
    </row>
    <row r="343" ht="90" customHeight="1">
      <c r="A343" s="3" t="str">
        <v>GT-2025-038-D05</v>
      </c>
      <c r="B343" s="3" t="str">
        <v>GT-2025-038</v>
      </c>
      <c r="C343" s="3" t="str">
        <v>Programme annex action window: 2.º semestre 2026</v>
      </c>
      <c r="D343" s="3" t="str">
        <v>Policy implementation window</v>
      </c>
      <c r="E343" s="3" t="str">
        <v>2.º semestre 2026</v>
      </c>
      <c r="F343" s="3" t="str"/>
      <c r="G343" s="20" t="d">
        <v>2026-12-31T00:00:00.000Z</v>
      </c>
      <c r="H343" s="20"/>
      <c r="I343" s="3" t="str">
        <v>Annex action windows; end of half-year is an explicit window boundary. These concern the wider programme, not the six-month technical group.</v>
      </c>
      <c r="J343" s="3" t="str">
        <v>https://diariodarepublica.pt/dr/detalhe/resolucao-conselho-ministros/175-2025-945116919</v>
      </c>
      <c r="K343" s="3" t="str">
        <v>No dated delivery evidence identified.</v>
      </c>
    </row>
    <row r="344" ht="90" customHeight="1">
      <c r="A344" s="3" t="str">
        <v>GT-2025-038-D06</v>
      </c>
      <c r="B344" s="3" t="str">
        <v>GT-2025-038</v>
      </c>
      <c r="C344" s="3" t="str">
        <v>Programme annex action window: 2.º semestre 2029</v>
      </c>
      <c r="D344" s="3" t="str">
        <v>Policy implementation window</v>
      </c>
      <c r="E344" s="3" t="str">
        <v>2.º semestre 2029</v>
      </c>
      <c r="F344" s="3" t="str"/>
      <c r="G344" s="20" t="d">
        <v>2029-12-31T00:00:00.000Z</v>
      </c>
      <c r="H344" s="20"/>
      <c r="I344" s="3" t="str">
        <v>Annex action windows; end of half-year is an explicit window boundary. These concern the wider programme, not the six-month technical group.</v>
      </c>
      <c r="J344" s="3" t="str">
        <v>https://diariodarepublica.pt/dr/detalhe/resolucao-conselho-ministros/175-2025-945116919</v>
      </c>
      <c r="K344" s="3" t="str">
        <v>No dated delivery evidence identified.</v>
      </c>
    </row>
    <row r="345" ht="90" customHeight="1">
      <c r="A345" s="3" t="str">
        <v>GT-2025-040-D01</v>
      </c>
      <c r="B345" s="3" t="str">
        <v>GT-2025-040</v>
      </c>
      <c r="C345" s="3" t="str">
        <v>4 - As entidades que integram o GT apresentam o relatório final no prazo de 4 meses após o início do</v>
      </c>
      <c r="D345" s="3" t="str">
        <v>Deliverable / duration</v>
      </c>
      <c r="E345" s="3" t="str">
        <v>4 - As entidades que integram o GT apresentam o relatório final no prazo de 4 meses após o início dos trabalhos.</v>
      </c>
      <c r="F345" s="3" t="str">
        <v>Actual constitution / start date not independently public.</v>
      </c>
      <c r="G345" s="20"/>
      <c r="H345" s="20"/>
      <c r="I345" s="3" t="str">
        <v>4 meses after trigger: Actual constitution / start date not independently public.; exact date cannot be verified.</v>
      </c>
      <c r="J345" s="3" t="str">
        <v>https://diariodarepublica.pt/dr/detalhe/despacho/14492-2025-962955481</v>
      </c>
      <c r="K345" s="3" t="str">
        <v>No dated delivery evidence identified.</v>
      </c>
    </row>
    <row r="346" ht="90" customHeight="1">
      <c r="A346" s="3" t="str">
        <v>GT-2025-040-D02</v>
      </c>
      <c r="B346" s="3" t="str">
        <v>GT-2025-040</v>
      </c>
      <c r="C346" s="3" t="str">
        <v>7 - As entidades identificadas no ponto 3 supra, no prazo de 10 dias após a entrada em vigor do pres</v>
      </c>
      <c r="D346" s="3" t="str">
        <v>Appointments / planning</v>
      </c>
      <c r="E346" s="3" t="str">
        <v>7 - As entidades identificadas no ponto 3 supra, no prazo de 10 dias após a entrada em vigor do presente despacho, identificam os respetivos representantes ao membro do Governo que tutela o serviço.</v>
      </c>
      <c r="F346" s="3" t="str">
        <v>Entry into force 2025-12-05</v>
      </c>
      <c r="G346" s="20" t="d">
        <v>2025-12-15T00:00:00.000Z</v>
      </c>
      <c r="H346" s="20" t="d">
        <v>2025-12-22T00:00:00.000Z</v>
      </c>
      <c r="I346" s="3" t="str">
        <v>2025-12-05 + 10 calendar days (monitoring convention). If CPA procedural counting applies: 2025-12-22.</v>
      </c>
      <c r="J346" s="3" t="str">
        <v>https://diariodarepublica.pt/dr/detalhe/despacho/14492-2025-962955481</v>
      </c>
      <c r="K346" s="3" t="str">
        <v>No dated delivery evidence identified.</v>
      </c>
    </row>
    <row r="347" ht="90" customHeight="1">
      <c r="A347" s="3" t="str">
        <v>GT-2025-041-D01</v>
      </c>
      <c r="B347" s="3" t="str">
        <v>GT-2025-041</v>
      </c>
      <c r="C347" s="3" t="str">
        <v>2 - No prazo de cinco dias a contar da entrada em vigor do presente despacho:</v>
      </c>
      <c r="D347" s="3" t="str">
        <v>Deliverable / duration</v>
      </c>
      <c r="E347" s="3" t="str">
        <v>2 - No prazo de cinco dias a contar da entrada em vigor do presente despacho:</v>
      </c>
      <c r="F347" s="3" t="str">
        <v>Entry into force 2025-12-06</v>
      </c>
      <c r="G347" s="20" t="d">
        <v>2025-12-11T00:00:00.000Z</v>
      </c>
      <c r="H347" s="20" t="d">
        <v>2025-12-15T00:00:00.000Z</v>
      </c>
      <c r="I347" s="3" t="str">
        <v>2025-12-06 + 5 calendar days (monitoring convention). If CPA procedural counting applies: 2025-12-15.</v>
      </c>
      <c r="J347" s="3" t="str">
        <v>https://diariodarepublica.pt/dr/detalhe/despacho/14507-2025-962955516</v>
      </c>
      <c r="K347" s="3" t="str">
        <v>No dated delivery evidence identified.</v>
      </c>
    </row>
    <row r="348" ht="90" customHeight="1">
      <c r="A348" s="3" t="str">
        <v>GT-2025-041-D02</v>
      </c>
      <c r="B348" s="3" t="str">
        <v>GT-2025-041</v>
      </c>
      <c r="C348" s="3" t="str">
        <v>a) Preparar e submeter a consulta pública até 31 de dezembro de 2025 um projeto de PANUSPF revisto q</v>
      </c>
      <c r="D348" s="3" t="str">
        <v>Deliverable / duration</v>
      </c>
      <c r="E348" s="3" t="str">
        <v>a) Preparar e submeter a consulta pública até 31 de dezembro de 2025 um projeto de PANUSPF revisto que inclua as correções, melhorias e recomendações derivadas da análise objetiva da execução do Plano decorrente da avaliação efetuada pela DGAV, na qualidade de entidade coordenadora dos PAN;</v>
      </c>
      <c r="F348" s="3" t="str"/>
      <c r="G348" s="20" t="d">
        <v>2025-12-31T00:00:00.000Z</v>
      </c>
      <c r="H348" s="20"/>
      <c r="I348" s="3" t="str">
        <v>Explicit calendar date in the act.</v>
      </c>
      <c r="J348" s="3" t="str">
        <v>https://diariodarepublica.pt/dr/detalhe/despacho/14507-2025-962955516</v>
      </c>
      <c r="K348" s="3" t="str">
        <v>No dated delivery evidence identified.</v>
      </c>
    </row>
    <row r="349" ht="90" customHeight="1">
      <c r="A349" s="3" t="str">
        <v>GT-2025-041-D03</v>
      </c>
      <c r="B349" s="3" t="str">
        <v>GT-2025-041</v>
      </c>
      <c r="C349" s="3" t="str">
        <v>b) Proceder, no prazo de um mês após o termo do prazo da consulta pública do projeto do PANUSPF revi</v>
      </c>
      <c r="D349" s="3" t="str">
        <v>Deliverable / duration</v>
      </c>
      <c r="E349" s="3" t="str">
        <v>b) Proceder, no prazo de um mês após o termo do prazo da consulta pública do projeto do PANUSPF revisto, à entrega da versão final para aprovação pelos membros do Governo responsáveis pelas áreas do ambiente e da agricultura.</v>
      </c>
      <c r="F349" s="3" t="str"/>
      <c r="G349" s="20"/>
      <c r="H349" s="20"/>
      <c r="I349" s="3" t="str">
        <v>1 mês after trigger: anchor not expressly specified; exact date cannot be verified.</v>
      </c>
      <c r="J349" s="3" t="str">
        <v>https://diariodarepublica.pt/dr/detalhe/despacho/14507-2025-962955516</v>
      </c>
      <c r="K349" s="3" t="str">
        <v>No dated delivery evidence identified.</v>
      </c>
    </row>
    <row r="350" ht="90" customHeight="1">
      <c r="A350" s="3" t="str">
        <v>GT-2025-041-D04</v>
      </c>
      <c r="B350" s="3" t="str">
        <v>GT-2025-041</v>
      </c>
      <c r="C350" s="3" t="str">
        <v>5 - O Grupo de Trabalho reúne com a periodicidade necessária à boa prossecução dos trabalhos.</v>
      </c>
      <c r="D350" s="3" t="str">
        <v>Periodic / conditional</v>
      </c>
      <c r="E350" s="3" t="str">
        <v>5 - O Grupo de Trabalho reúne com a periodicidade necessária à boa prossecução dos trabalhos.</v>
      </c>
      <c r="F350" s="3" t="str"/>
      <c r="G350" s="20"/>
      <c r="H350" s="20"/>
      <c r="I350" s="3" t="str">
        <v>No uniquely dated deadline derivable from this clause; cadence or trigger is preserved.</v>
      </c>
      <c r="J350" s="3" t="str">
        <v>https://diariodarepublica.pt/dr/detalhe/despacho/14507-2025-962955516</v>
      </c>
      <c r="K350" s="3" t="str">
        <v>No dated delivery evidence identified.</v>
      </c>
    </row>
    <row r="351" ht="90" customHeight="1">
      <c r="A351" s="3" t="str">
        <v>GT-2025-041-D05</v>
      </c>
      <c r="B351" s="3" t="str">
        <v>GT-2025-041</v>
      </c>
      <c r="C351" s="3" t="str">
        <v>7 - A impossibilidade de participação nas reuniões agendadas não desobriga os membros do grupo de tr</v>
      </c>
      <c r="D351" s="3" t="str">
        <v>Periodic / conditional</v>
      </c>
      <c r="E351" s="3" t="str">
        <v>7 - A impossibilidade de participação nas reuniões agendadas não desobriga os membros do grupo de trabalho de apresentarem, no prazo que lhes for determinado pelo Grupo de Trabalho, os contributos para a prossecução da missão para o qual foi criado.</v>
      </c>
      <c r="F351" s="3" t="str"/>
      <c r="G351" s="20"/>
      <c r="H351" s="20"/>
      <c r="I351" s="3" t="str">
        <v>No uniquely dated deadline derivable from this clause; cadence or trigger is preserved.</v>
      </c>
      <c r="J351" s="3" t="str">
        <v>https://diariodarepublica.pt/dr/detalhe/despacho/14507-2025-962955516</v>
      </c>
      <c r="K351" s="3" t="str">
        <v>No dated delivery evidence identified.</v>
      </c>
    </row>
    <row r="352" ht="90" customHeight="1">
      <c r="A352" s="3" t="str">
        <v>GT-2025-041-D06</v>
      </c>
      <c r="B352" s="3" t="str">
        <v>GT-2025-041</v>
      </c>
      <c r="C352" s="3" t="str">
        <v>Final report / last specified substantive output</v>
      </c>
      <c r="D352" s="3" t="str">
        <v>Status benchmark</v>
      </c>
      <c r="E352" s="3" t="str"/>
      <c r="F352" s="3" t="str"/>
      <c r="G352" s="20" t="d">
        <v>2025-12-31T00:00:00.000Z</v>
      </c>
      <c r="H352" s="20"/>
      <c r="I352" s="3" t="str">
        <v>Fixed date / explicit year-end in creating act.</v>
      </c>
      <c r="J352" s="3" t="str">
        <v>https://diariodarepublica.pt/dr/detalhe/despacho/14507-2025-962955516</v>
      </c>
      <c r="K352" s="3" t="str">
        <v>Sem informação pública — Delivery is officially confirmed, but the handover date is not public; timeliness cannot be classified.</v>
      </c>
    </row>
    <row r="353" ht="90" customHeight="1">
      <c r="A353" s="3" t="str">
        <v>GT-2025-041-D07</v>
      </c>
      <c r="B353" s="3" t="str">
        <v>GT-2025-041</v>
      </c>
      <c r="C353" s="3" t="str">
        <v>Illustrative consultation close</v>
      </c>
      <c r="D353" s="3" t="str">
        <v>Conditional illustration</v>
      </c>
      <c r="E353" s="3" t="str"/>
      <c r="F353" s="3" t="str"/>
      <c r="G353" s="20" t="d">
        <v>2026-01-08T00:00:00.000Z</v>
      </c>
      <c r="H353" s="20"/>
      <c r="I353" s="3" t="str">
        <v>Official notice: consultation starts 9 December 2025 for 30 days; calendar monitoring convention. Actual procedural close must be checked.</v>
      </c>
      <c r="J353" s="3" t="str">
        <v>https://www.dgav.pt/destaques/noticias/abertura-de-consulta-publica-plano-de-acao-nacional-para-o-uso-sustentavel-de-produtos-fitofarmaceuticos-2025-2030-2-a-revisao/</v>
      </c>
      <c r="K353" s="3" t="str">
        <v>No dated delivery evidence identified.</v>
      </c>
    </row>
    <row r="354" ht="90" customHeight="1">
      <c r="A354" s="3" t="str">
        <v>GT-2025-041-D08</v>
      </c>
      <c r="B354" s="3" t="str">
        <v>GT-2025-041</v>
      </c>
      <c r="C354" s="3" t="str">
        <v>Illustrative final version</v>
      </c>
      <c r="D354" s="3" t="str">
        <v>Conditional illustration</v>
      </c>
      <c r="E354" s="3" t="str"/>
      <c r="F354" s="3" t="str"/>
      <c r="G354" s="20" t="d">
        <v>2026-02-08T00:00:00.000Z</v>
      </c>
      <c r="H354" s="20"/>
      <c r="I354" s="3" t="str">
        <v>Illustrative 8 January close + one calendar month; actual closure/receipt date unverified.</v>
      </c>
      <c r="J354" s="3" t="str">
        <v>https://diariodarepublica.pt/dr/detalhe/despacho/14507-2025-962955516</v>
      </c>
      <c r="K354" s="3" t="str">
        <v>No dated delivery evidence identified.</v>
      </c>
    </row>
    <row r="355" ht="90" customHeight="1">
      <c r="A355" s="3" t="str">
        <v>GT-2025-042-D01</v>
      </c>
      <c r="B355" s="3" t="str">
        <v>GT-2025-042</v>
      </c>
      <c r="C355" s="3" t="str">
        <v>2 - O referido Plano Estratégico deve ser apresentado pelo presente Grupo de Trabalho, sob a forma d</v>
      </c>
      <c r="D355" s="3" t="str">
        <v>Deliverable / duration</v>
      </c>
      <c r="E355" s="3" t="str">
        <v>2 - O referido Plano Estratégico deve ser apresentado pelo presente Grupo de Trabalho, sob a forma de relatório, até ao dia 31 de maio de 2026;</v>
      </c>
      <c r="F355" s="3" t="str"/>
      <c r="G355" s="20" t="d">
        <v>2026-05-31T00:00:00.000Z</v>
      </c>
      <c r="H355" s="20"/>
      <c r="I355" s="3" t="str">
        <v>Explicit calendar date in the act.</v>
      </c>
      <c r="J355" s="3" t="str">
        <v>https://diariodarepublica.pt/dr/detalhe/despacho/15275-2025-992393997</v>
      </c>
      <c r="K355" s="3" t="str">
        <v>No dated delivery evidence identified.</v>
      </c>
    </row>
    <row r="356" ht="90" customHeight="1">
      <c r="A356" s="3" t="str">
        <v>GT-2025-042-D02</v>
      </c>
      <c r="B356" s="3" t="str">
        <v>GT-2025-042</v>
      </c>
      <c r="C356" s="3" t="str">
        <v>12 - Na primeira reunião, o conselho diretivo do IGFEJ propõe ao Grupo de trabalho, para decisão, a </v>
      </c>
      <c r="D356" s="3" t="str">
        <v>Deliverable / duration</v>
      </c>
      <c r="E356" s="3" t="str">
        <v>12 - Na primeira reunião, o conselho diretivo do IGFEJ propõe ao Grupo de trabalho, para decisão, a calendarização das matérias a ser analisadas em cada reunião.</v>
      </c>
      <c r="F356" s="3" t="str"/>
      <c r="G356" s="20"/>
      <c r="H356" s="20"/>
      <c r="I356" s="3" t="str">
        <v>No uniquely dated deadline derivable from this clause; cadence or trigger is preserved.</v>
      </c>
      <c r="J356" s="3" t="str">
        <v>https://diariodarepublica.pt/dr/detalhe/despacho/15275-2025-992393997</v>
      </c>
      <c r="K356" s="3" t="str">
        <v>No dated delivery evidence identified.</v>
      </c>
    </row>
    <row r="357" ht="90" customHeight="1">
      <c r="A357" s="3" t="str">
        <v>GT-2025-042-D03</v>
      </c>
      <c r="B357" s="3" t="str">
        <v>GT-2025-042</v>
      </c>
      <c r="C357" s="3" t="str">
        <v>Final report / last specified substantive output</v>
      </c>
      <c r="D357" s="3" t="str">
        <v>Status benchmark</v>
      </c>
      <c r="E357" s="3" t="str"/>
      <c r="F357" s="3" t="str"/>
      <c r="G357" s="20" t="d">
        <v>2026-05-31T00:00:00.000Z</v>
      </c>
      <c r="H357" s="20"/>
      <c r="I357" s="3" t="str">
        <v>Fixed date / explicit year-end in creating act.</v>
      </c>
      <c r="J357" s="3" t="str">
        <v>https://diariodarepublica.pt/dr/detalhe/despacho/15275-2025-992393997</v>
      </c>
      <c r="K357" s="3" t="str">
        <v>Em atraso — Controlling benchmark has passed; no evidence of this output’s delivery identified in the reviewed acts and focused official-source outcome search.</v>
      </c>
    </row>
    <row r="358" ht="90" customHeight="1">
      <c r="A358" s="3" t="str">
        <v>GT-2025-043-D01</v>
      </c>
      <c r="B358" s="3" t="str">
        <v>GT-2025-043</v>
      </c>
      <c r="C358" s="3" t="str">
        <v>g) Biovigilância, notificação de incidente e reações adversos graves, desde a seleção do dador até a</v>
      </c>
      <c r="D358" s="3" t="str">
        <v>Deliverable / duration</v>
      </c>
      <c r="E358" s="3" t="str">
        <v>g) Biovigilância, notificação de incidente e reações adversos graves, desde a seleção do dador até ao follow-up do recetor;</v>
      </c>
      <c r="F358" s="3" t="str"/>
      <c r="G358" s="20"/>
      <c r="H358" s="20"/>
      <c r="I358" s="3" t="str">
        <v>No uniquely dated deadline derivable from this clause; cadence or trigger is preserved.</v>
      </c>
      <c r="J358" s="3" t="str">
        <v>https://diariodarepublica.pt/dr/detalhe/despacho/15438-2025-992877961</v>
      </c>
      <c r="K358" s="3" t="str">
        <v>No dated delivery evidence identified.</v>
      </c>
    </row>
    <row r="359" ht="90" customHeight="1">
      <c r="A359" s="3" t="str">
        <v>GT-2025-043-D02</v>
      </c>
      <c r="B359" s="3" t="str">
        <v>GT-2025-043</v>
      </c>
      <c r="C359" s="3" t="str">
        <v>6 - Incumbe ao Grupo de Trabalho, constituído pelo presente despacho, elaborar, no prazo de 120 dias</v>
      </c>
      <c r="D359" s="3" t="str">
        <v>Deliverable / duration</v>
      </c>
      <c r="E359" s="3" t="str">
        <v>6 - Incumbe ao Grupo de Trabalho, constituído pelo presente despacho, elaborar, no prazo de 120 dias contados da data da sua entrada em vigor, um relatório final que contenha a análise desenvolvida, as conclusões alcançadas e as propostas concretas previstas no número anterior.</v>
      </c>
      <c r="F359" s="3" t="str">
        <v>Entry into force 2025-12-30</v>
      </c>
      <c r="G359" s="20" t="d">
        <v>2026-04-29T00:00:00.000Z</v>
      </c>
      <c r="H359" s="20" t="d">
        <v>2026-06-23T00:00:00.000Z</v>
      </c>
      <c r="I359" s="3" t="str">
        <v>2025-12-30 + 120 calendar days (monitoring convention). If CPA procedural counting applies: 2026-06-23.</v>
      </c>
      <c r="J359" s="3" t="str">
        <v>https://diariodarepublica.pt/dr/detalhe/despacho/15438-2025-992877961</v>
      </c>
      <c r="K359" s="3" t="str">
        <v>No dated delivery evidence identified.</v>
      </c>
    </row>
    <row r="360" ht="90" customHeight="1">
      <c r="A360" s="3" t="str">
        <v>GT-2025-043-D03</v>
      </c>
      <c r="B360" s="3" t="str">
        <v>GT-2025-043</v>
      </c>
      <c r="C360" s="3" t="str">
        <v>Final report / last specified substantive output</v>
      </c>
      <c r="D360" s="3" t="str">
        <v>Status benchmark</v>
      </c>
      <c r="E360" s="3" t="str"/>
      <c r="F360" s="3" t="str"/>
      <c r="G360" s="20" t="d">
        <v>2026-04-29T00:00:00.000Z</v>
      </c>
      <c r="H360" s="20" t="d">
        <v>2026-06-23T00:00:00.000Z</v>
      </c>
      <c r="I360" s="3" t="str">
        <v>effective 2025-12-30 + 120 calendar days; plain “dias” benchmark. Alternative working-day date: 2026-06-23.</v>
      </c>
      <c r="J360" s="3" t="str">
        <v>https://diariodarepublica.pt/dr/detalhe/despacho/15438-2025-992877961</v>
      </c>
      <c r="K360" s="3" t="str">
        <v>Em atraso — Controlling benchmark has passed; no evidence of this output’s delivery identified in the reviewed acts and focused official-source outcome search.</v>
      </c>
    </row>
    <row r="361" ht="90" customHeight="1">
      <c r="A361" s="3" t="str">
        <v>GT-2026-001-D01</v>
      </c>
      <c r="B361" s="3" t="str">
        <v>GT-2026-001</v>
      </c>
      <c r="C361" s="3" t="str">
        <v>3 - Determinar que as entidades referidas no número anterior comunicam à DGAPDN os seus representant</v>
      </c>
      <c r="D361" s="3" t="str">
        <v>Appointments / planning</v>
      </c>
      <c r="E361" s="3" t="str">
        <v>3 - Determinar que as entidades referidas no número anterior comunicam à DGAPDN os seus representantes no GT-MEAP/CV, no prazo de 5 dias úteis após assinatura do presente despacho.</v>
      </c>
      <c r="F361" s="3" t="str">
        <v>Latest signature 2026-01-14</v>
      </c>
      <c r="G361" s="20" t="d">
        <v>2026-01-21T00:00:00.000Z</v>
      </c>
      <c r="H361" s="20"/>
      <c r="I361" s="3" t="str">
        <v>2026-01-14 + 5 working days; anchor excluded, weekends and national statutory holidays excluded.</v>
      </c>
      <c r="J361" s="3" t="str">
        <v>https://diariodarepublica.pt/dr/detalhe/despacho/661-2026-1016752446</v>
      </c>
      <c r="K361" s="3" t="str">
        <v>No dated delivery evidence identified.</v>
      </c>
    </row>
    <row r="362" ht="90" customHeight="1">
      <c r="A362" s="3" t="str">
        <v>GT-2026-002-D01</v>
      </c>
      <c r="B362" s="3" t="str">
        <v>GT-2026-002</v>
      </c>
      <c r="C362" s="3" t="str">
        <v>8 - O Grupo de Trabalho apresenta um relatório final com propostas e recomendações de intervenção le</v>
      </c>
      <c r="D362" s="3" t="str">
        <v>Deliverable / duration</v>
      </c>
      <c r="E362" s="3" t="str">
        <v>8 - O Grupo de Trabalho apresenta um relatório final com propostas e recomendações de intervenção legislativa ou outras, no prazo de deis meses a contar da data de entrada em vigor do presente despacho.</v>
      </c>
      <c r="F362" s="3" t="str">
        <v>Entry into force </v>
      </c>
      <c r="G362" s="20"/>
      <c r="H362" s="20"/>
      <c r="I362" s="3" t="str">
        <v>No uniquely dated deadline derivable from this clause; cadence or trigger is preserved.</v>
      </c>
      <c r="J362" s="3" t="str">
        <v>https://diariodarepublica.pt/dr/detalhe/despacho/831-2026-1022554176</v>
      </c>
      <c r="K362" s="3" t="str">
        <v>No dated delivery evidence identified.</v>
      </c>
    </row>
    <row r="363" ht="90" customHeight="1">
      <c r="A363" s="3" t="str">
        <v>GT-2026-002-D02</v>
      </c>
      <c r="B363" s="3" t="str">
        <v>GT-2026-002</v>
      </c>
      <c r="C363" s="3" t="str">
        <v>9 - O Grupo de Trabalho tem natureza temporária e vigora até à apresentação do relatório referido no</v>
      </c>
      <c r="D363" s="3" t="str">
        <v>Deliverable / duration</v>
      </c>
      <c r="E363" s="3" t="str">
        <v>9 - O Grupo de Trabalho tem natureza temporária e vigora até à apresentação do relatório referido no número anterior, salvo se o prazo da sua vigência for prorrogado.</v>
      </c>
      <c r="F363" s="3" t="str"/>
      <c r="G363" s="20"/>
      <c r="H363" s="20"/>
      <c r="I363" s="3" t="str">
        <v>No uniquely dated deadline derivable from this clause; cadence or trigger is preserved.</v>
      </c>
      <c r="J363" s="3" t="str">
        <v>https://diariodarepublica.pt/dr/detalhe/despacho/831-2026-1022554176</v>
      </c>
      <c r="K363" s="3" t="str">
        <v>No dated delivery evidence identified.</v>
      </c>
    </row>
    <row r="364" ht="90" customHeight="1">
      <c r="A364" s="3" t="str">
        <v>GT-2026-002-D03</v>
      </c>
      <c r="B364" s="3" t="str">
        <v>GT-2026-002</v>
      </c>
      <c r="C364" s="3" t="str">
        <v>11 - Os representantes das entidades referidas no n.º 5 são designados no prazo máximo de 10 dias ap</v>
      </c>
      <c r="D364" s="3" t="str">
        <v>Appointments / planning</v>
      </c>
      <c r="E364" s="3" t="str">
        <v>11 - Os representantes das entidades referidas no n.º 5 são designados no prazo máximo de 10 dias após a data de entrada em vigor do presente despacho.</v>
      </c>
      <c r="F364" s="3" t="str">
        <v>Entry into force </v>
      </c>
      <c r="G364" s="20"/>
      <c r="H364" s="20"/>
      <c r="I364" s="3" t="str">
        <v>10 dias after trigger: Entry into force ; exact date cannot be verified.</v>
      </c>
      <c r="J364" s="3" t="str">
        <v>https://diariodarepublica.pt/dr/detalhe/despacho/831-2026-1022554176</v>
      </c>
      <c r="K364" s="3" t="str">
        <v>No dated delivery evidence identified.</v>
      </c>
    </row>
    <row r="365" ht="90" customHeight="1">
      <c r="A365" s="3" t="str">
        <v>GT-2026-002-D04</v>
      </c>
      <c r="B365" s="3" t="str">
        <v>GT-2026-002</v>
      </c>
      <c r="C365" s="3" t="str">
        <v>Extended final report: 6 months from entry into force</v>
      </c>
      <c r="D365" s="3" t="str">
        <v>Formal extension</v>
      </c>
      <c r="E365" s="3" t="str">
        <v>Despacho n.º 9701/2026, de 3 de agosto
Emitente:Trabalho, Solidariedade e Segurança Social e Cultura, Juventude e Desporto - Gabinete da Ministra do Trabalho, Solidariedade e Segurança Social e Gabinete da Ministra da Cultura, Juventude e Desporto
Informação da publicação
Publicação:Diário da República n.º 148/2026, Série II de 2026-08-03
Data de Publicação:2026-08-03
SUMÁRIO
Designação dos representantes do Grupo de Trabalho para a Valorização dos Calceteiros e da Calçada Portuguesa, e prorrogação do prazo de vigência.
TEXTO
Despacho n.º 9701/2026
O Despacho n.º 831/2026, de 26 de janeiro, criou o Grupo de Trabalho para a Valorização dos Calceteiros e da Calçada Portuguesa que tem por missão analisar, propor e articular medidas de salvaguarda, valorização e sustentabilidade da profissão de calceteiro e da Calçada Portuguesa, assegurando uma abordagem integrada e coordenada entre as diferentes áreas governativas.
Assim, dando cumprimento ao Despacho n.º 831/2026, de 26 de janeiro, que no seu n.º 5 determina que o mesmo é composto por representantes designados pelo membro do Governo com a tutela de cada uma das áreas governativas, e nos termos dos artigos 24.º e 26.º do Decreto-Lei n.º 87-A/2025, de 25 de julho, que aprova o regime de organização e funcionamento do XXV Governo Constitucional, designa-se:
a) Rui João Silva Marques, representante do Ministério da Cultura, Juventude e Desporto, que preside;
b) Beatriz Pinheiro Franco, representante do Ministério da Cultura, Juventude e Desporto;
c) Sónia Martins, representante do Ministério do Trabalho, Solidariedade e Segurança Social;
d) Francisca Simões, representante do Ministério do Trabalho, Solidariedade e Segurança Social.
Nos termos do n.º 9 do Despacho n.º 831/2026, de 26 de janeiro, prorroga-se o prazo de vigência do Grupo de Trabalho que apresenta relatório final com propostas e recomendações de intervenção legislativa ou outras, no prazo de seis meses a contar da data de entrada em vigor do presente despacho.
A participação no Grupo de Trabalho não confere aos respetivos membros nem a quem com ele colabora o direito a qualquer prestação ao pagamento de qualquer remuneração, independentemente da respetiva natureza, designadamente a título de remuneração, compensação, subsídio, senhas de presença ou ajudas de custo, nem dá lugar à assunção de qualquer encargo adicional.
27 de julho de 2026. - A Minist</v>
      </c>
      <c r="F365" s="3" t="str"/>
      <c r="G365" s="20"/>
      <c r="H365" s="20"/>
      <c r="I365" s="3" t="str">
        <v>Six months from extension’s entry into force, which is not specified in Despacho 9701/2026. No exact date inferred.</v>
      </c>
      <c r="J365" s="3" t="str">
        <v>https://diariodarepublica.pt/dr/detalhe/despacho/9701-2026-1153917423</v>
      </c>
      <c r="K365" s="3" t="str">
        <v>No dated delivery evidence identified.</v>
      </c>
    </row>
    <row r="366" ht="90" customHeight="1">
      <c r="A366" s="3" t="str">
        <v>GT-2026-003-D01</v>
      </c>
      <c r="B366" s="3" t="str">
        <v>GT-2026-003</v>
      </c>
      <c r="C366" s="3" t="str">
        <v>5 - O grupo de trabalho, até ao dia 24 de fevereiro, produz e apresenta às áreas governativas da Eco</v>
      </c>
      <c r="D366" s="3" t="str">
        <v>Deliverable / duration</v>
      </c>
      <c r="E366" s="3" t="str">
        <v>5 - O grupo de trabalho, até ao dia 24 de fevereiro, produz e apresenta às áreas governativas da Economia e da Coesão Territorial, e da Educação, Ciência e Inovação, um relatório final técnico, estruturado de forma coerente e com uma descrição dos trabalhos desenvolvidos, com os temas-chave para o planeamento da AI².</v>
      </c>
      <c r="F366" s="3" t="str"/>
      <c r="G366" s="20"/>
      <c r="H366" s="20"/>
      <c r="I366" s="3" t="str">
        <v>No uniquely dated deadline derivable from this clause; cadence or trigger is preserved.</v>
      </c>
      <c r="J366" s="3" t="str">
        <v>https://diariodarepublica.pt/dr/detalhe/despacho/1994-2026-1051076689</v>
      </c>
      <c r="K366" s="3" t="str">
        <v>No dated delivery evidence identified.</v>
      </c>
    </row>
    <row r="367" ht="90" customHeight="1">
      <c r="A367" s="3" t="str">
        <v>GT-2026-003-D02</v>
      </c>
      <c r="B367" s="3" t="str">
        <v>GT-2026-003</v>
      </c>
      <c r="C367" s="3" t="str">
        <v>Final report / last specified substantive output</v>
      </c>
      <c r="D367" s="3" t="str">
        <v>Status benchmark</v>
      </c>
      <c r="E367" s="3" t="str"/>
      <c r="F367" s="3" t="str"/>
      <c r="G367" s="20" t="d">
        <v>2026-02-24T00:00:00.000Z</v>
      </c>
      <c r="H367" s="20"/>
      <c r="I367" s="3" t="str">
        <v>Fixed date / explicit year-end in creating act.</v>
      </c>
      <c r="J367" s="3" t="str">
        <v>https://diariodarepublica.pt/dr/detalhe/despacho/1994-2026-1051076689</v>
      </c>
      <c r="K367" s="3" t="str">
        <v>Sem informação pública — Delivery is officially confirmed, but the handover date is not public; timeliness cannot be classified.</v>
      </c>
    </row>
    <row r="368" ht="90" customHeight="1">
      <c r="A368" s="3" t="str">
        <v>GT-2026-004-D01</v>
      </c>
      <c r="B368" s="3" t="str">
        <v>GT-2026-004</v>
      </c>
      <c r="C368" s="3" t="str">
        <v>7 - O grupo de trabalho reúne com a periodicidade necessária ao cumprimento das suas funções, por in</v>
      </c>
      <c r="D368" s="3" t="str">
        <v>Periodic / conditional</v>
      </c>
      <c r="E368" s="3" t="str">
        <v>7 - O grupo de trabalho reúne com a periodicidade necessária ao cumprimento das suas funções, por iniciativa do respetivo coordenador.</v>
      </c>
      <c r="F368" s="3" t="str"/>
      <c r="G368" s="20"/>
      <c r="H368" s="20"/>
      <c r="I368" s="3" t="str">
        <v>No uniquely dated deadline derivable from this clause; cadence or trigger is preserved.</v>
      </c>
      <c r="J368" s="3" t="str">
        <v>https://diariodarepublica.pt/dr/detalhe/despacho/3089-2026-1070724105</v>
      </c>
      <c r="K368" s="3" t="str">
        <v>No dated delivery evidence identified.</v>
      </c>
    </row>
    <row r="369" ht="90" customHeight="1">
      <c r="A369" s="3" t="str">
        <v>GT-2026-004-D02</v>
      </c>
      <c r="B369" s="3" t="str">
        <v>GT-2026-004</v>
      </c>
      <c r="C369" s="3" t="str">
        <v>10 - As entidades referidas no n.º 4 devem indicar à Agência, I. P., até 5 dias após a publicação do</v>
      </c>
      <c r="D369" s="3" t="str">
        <v>Appointments / planning</v>
      </c>
      <c r="E369" s="3" t="str">
        <v>10 - As entidades referidas no n.º 4 devem indicar à Agência, I. P., até 5 dias após a publicação do presente despacho, o respetivo representante para o grupo de trabalho.</v>
      </c>
      <c r="F369" s="3" t="str">
        <v>Publication 2026-03-11</v>
      </c>
      <c r="G369" s="20" t="d">
        <v>2026-03-16T00:00:00.000Z</v>
      </c>
      <c r="H369" s="20" t="d">
        <v>2026-03-18T00:00:00.000Z</v>
      </c>
      <c r="I369" s="3" t="str">
        <v>2026-03-11 + 5 calendar days (monitoring convention). If CPA procedural counting applies: 2026-03-18.</v>
      </c>
      <c r="J369" s="3" t="str">
        <v>https://diariodarepublica.pt/dr/detalhe/despacho/3089-2026-1070724105</v>
      </c>
      <c r="K369" s="3" t="str">
        <v>No dated delivery evidence identified.</v>
      </c>
    </row>
    <row r="370" ht="90" customHeight="1">
      <c r="A370" s="3" t="str">
        <v>GT-2026-004-D03</v>
      </c>
      <c r="B370" s="3" t="str">
        <v>GT-2026-004</v>
      </c>
      <c r="C370" s="3" t="str">
        <v>Mandate end</v>
      </c>
      <c r="D370" s="3" t="str">
        <v>Status benchmark</v>
      </c>
      <c r="E370" s="3" t="str"/>
      <c r="F370" s="3" t="str"/>
      <c r="G370" s="20" t="d">
        <v>2030-12-31T00:00:00.000Z</v>
      </c>
      <c r="H370" s="20"/>
      <c r="I370" s="3" t="str">
        <v>Fixed date / explicit year-end in creating act.</v>
      </c>
      <c r="J370" s="3" t="str">
        <v>https://diariodarepublica.pt/dr/detalhe/despacho/3089-2026-1070724105</v>
      </c>
      <c r="K370" s="3" t="str">
        <v>Em curso – dentro do prazo — Current controlling deadline has not passed; delivery not independently verified.</v>
      </c>
    </row>
    <row r="371" ht="90" customHeight="1">
      <c r="A371" s="3" t="str">
        <v>GT-2026-005-D01</v>
      </c>
      <c r="B371" s="3" t="str">
        <v>GT-2026-005</v>
      </c>
      <c r="C371" s="3" t="str">
        <v>4 - Os representantes referidos no número anterior são designados no prazo de dois dias, a contar da</v>
      </c>
      <c r="D371" s="3" t="str">
        <v>Appointments / planning</v>
      </c>
      <c r="E371" s="3" t="str">
        <v>4 - Os representantes referidos no número anterior são designados no prazo de dois dias, a contar da data da publicação do presente despacho, mediante comunicação ao Gabinete do Secretário de Estado Adjunto e da Educação.</v>
      </c>
      <c r="F371" s="3" t="str">
        <v>Publication 2026-03-13</v>
      </c>
      <c r="G371" s="20" t="d">
        <v>2026-03-15T00:00:00.000Z</v>
      </c>
      <c r="H371" s="20" t="d">
        <v>2026-03-17T00:00:00.000Z</v>
      </c>
      <c r="I371" s="3" t="str">
        <v>2026-03-13 + 2 calendar days (monitoring convention). If CPA procedural counting applies: 2026-03-17.</v>
      </c>
      <c r="J371" s="3" t="str">
        <v>https://diariodarepublica.pt/dr/detalhe/despacho/3317-2026-1071481467</v>
      </c>
      <c r="K371" s="3" t="str">
        <v>No dated delivery evidence identified.</v>
      </c>
    </row>
    <row r="372" ht="90" customHeight="1">
      <c r="A372" s="3" t="str">
        <v>GT-2026-006-D01</v>
      </c>
      <c r="B372" s="3" t="str">
        <v>GT-2026-006</v>
      </c>
      <c r="C372" s="3" t="str">
        <v>6 - Os representantes das entidades referidas no n.º 4 são designados no prazo de 10 dias a contar d</v>
      </c>
      <c r="D372" s="3" t="str">
        <v>Appointments / planning</v>
      </c>
      <c r="E372" s="3" t="str">
        <v>6 - Os representantes das entidades referidas no n.º 4 são designados no prazo de 10 dias a contar da data da entrada em vigor do presente despacho.</v>
      </c>
      <c r="F372" s="3" t="str">
        <v>Entry into force 2026-03-25</v>
      </c>
      <c r="G372" s="20" t="d">
        <v>2026-04-04T00:00:00.000Z</v>
      </c>
      <c r="H372" s="20" t="d">
        <v>2026-04-09T00:00:00.000Z</v>
      </c>
      <c r="I372" s="3" t="str">
        <v>2026-03-25 + 10 calendar days (monitoring convention). If CPA procedural counting applies: 2026-04-09.</v>
      </c>
      <c r="J372" s="3" t="str">
        <v>https://diariodarepublica.pt/dr/detalhe/despacho/3808-2026-1075988859</v>
      </c>
      <c r="K372" s="3" t="str">
        <v>No dated delivery evidence identified.</v>
      </c>
    </row>
    <row r="373" ht="90" customHeight="1">
      <c r="A373" s="3" t="str">
        <v>GT-2026-006-D02</v>
      </c>
      <c r="B373" s="3" t="str">
        <v>GT-2026-006</v>
      </c>
      <c r="C373" s="3" t="str">
        <v>7 - O grupo de trabalho apresenta um relatório final com diagnóstico nacional das situações das amas</v>
      </c>
      <c r="D373" s="3" t="str">
        <v>Deliverable / duration</v>
      </c>
      <c r="E373" s="3" t="str">
        <v>7 - O grupo de trabalho apresenta um relatório final com diagnóstico nacional das situações das amas e das creches familiares, recomendações e propostas concretas para a implementação do programa de redefinição da creche familiar, bem como a qualificação profissional necessária e a simplificação nos procedimentos e requisitos para o acesso à profissão de ama, no prazo de 90 dias após a entrada em vigor do presente despacho.</v>
      </c>
      <c r="F373" s="3" t="str">
        <v>Entry into force 2026-03-25</v>
      </c>
      <c r="G373" s="20" t="d">
        <v>2026-06-23T00:00:00.000Z</v>
      </c>
      <c r="H373" s="20" t="d">
        <v>2026-08-04T00:00:00.000Z</v>
      </c>
      <c r="I373" s="3" t="str">
        <v>2026-03-25 + 90 calendar days (monitoring convention). If CPA procedural counting applies: 2026-08-04.</v>
      </c>
      <c r="J373" s="3" t="str">
        <v>https://diariodarepublica.pt/dr/detalhe/despacho/3808-2026-1075988859</v>
      </c>
      <c r="K373" s="3" t="str">
        <v>No dated delivery evidence identified.</v>
      </c>
    </row>
    <row r="374" ht="90" customHeight="1">
      <c r="A374" s="3" t="str">
        <v>GT-2026-006-D03</v>
      </c>
      <c r="B374" s="3" t="str">
        <v>GT-2026-006</v>
      </c>
      <c r="C374" s="3" t="str">
        <v>Final report / last specified substantive output</v>
      </c>
      <c r="D374" s="3" t="str">
        <v>Status benchmark</v>
      </c>
      <c r="E374" s="3" t="str"/>
      <c r="F374" s="3" t="str"/>
      <c r="G374" s="20" t="d">
        <v>2026-06-23T00:00:00.000Z</v>
      </c>
      <c r="H374" s="20" t="d">
        <v>2026-08-04T00:00:00.000Z</v>
      </c>
      <c r="I374" s="3" t="str">
        <v>effective 2026-03-25 + 90 calendar days; plain “dias” benchmark. Alternative working-day date: 2026-08-04.</v>
      </c>
      <c r="J374" s="3" t="str">
        <v>https://diariodarepublica.pt/dr/detalhe/despacho/3808-2026-1075988859</v>
      </c>
      <c r="K374" s="3" t="str">
        <v>Em atraso — Controlling benchmark has passed; no evidence of this output’s delivery identified in the reviewed acts and focused official-source outcome search.</v>
      </c>
    </row>
    <row r="375" ht="90" customHeight="1">
      <c r="A375" s="3" t="str">
        <v>GT-2026-007-D01</v>
      </c>
      <c r="B375" s="3" t="str">
        <v>GT-2026-007</v>
      </c>
      <c r="C375" s="3" t="str">
        <v>7 - O grupo de trabalho reúne com a periodicidade necessária ao cumprimento das suas funções, por in</v>
      </c>
      <c r="D375" s="3" t="str">
        <v>Periodic / conditional</v>
      </c>
      <c r="E375" s="3" t="str">
        <v>7 - O grupo de trabalho reúne com a periodicidade necessária ao cumprimento das suas funções, por iniciativa do respetivo coordenador.</v>
      </c>
      <c r="F375" s="3" t="str"/>
      <c r="G375" s="20"/>
      <c r="H375" s="20"/>
      <c r="I375" s="3" t="str">
        <v>No uniquely dated deadline derivable from this clause; cadence or trigger is preserved.</v>
      </c>
      <c r="J375" s="3" t="str">
        <v>https://diariodarepublica.pt/dr/detalhe/despacho/3965-2026-1077349638</v>
      </c>
      <c r="K375" s="3" t="str">
        <v>No dated delivery evidence identified.</v>
      </c>
    </row>
    <row r="376" ht="90" customHeight="1">
      <c r="A376" s="3" t="str">
        <v>GT-2026-007-D02</v>
      </c>
      <c r="B376" s="3" t="str">
        <v>GT-2026-007</v>
      </c>
      <c r="C376" s="3" t="str">
        <v>Mandate end</v>
      </c>
      <c r="D376" s="3" t="str">
        <v>Status benchmark</v>
      </c>
      <c r="E376" s="3" t="str"/>
      <c r="F376" s="3" t="str"/>
      <c r="G376" s="20" t="d">
        <v>2030-12-31T00:00:00.000Z</v>
      </c>
      <c r="H376" s="20"/>
      <c r="I376" s="3" t="str">
        <v>Fixed date / explicit year-end in creating act.</v>
      </c>
      <c r="J376" s="3" t="str">
        <v>https://diariodarepublica.pt/dr/detalhe/despacho/3965-2026-1077349638</v>
      </c>
      <c r="K376" s="3" t="str">
        <v>Em curso – dentro do prazo — Current controlling deadline has not passed; delivery not independently verified.</v>
      </c>
    </row>
    <row r="377" ht="90" customHeight="1">
      <c r="A377" s="3" t="str">
        <v>GT-2026-008-D01</v>
      </c>
      <c r="B377" s="3" t="str">
        <v>GT-2026-008</v>
      </c>
      <c r="C377" s="3" t="str">
        <v>5 - A Direção-Geral da Economia indica os seus representantes ao gabinete do membro do Governo respo</v>
      </c>
      <c r="D377" s="3" t="str">
        <v>Appointments / planning</v>
      </c>
      <c r="E377" s="3" t="str">
        <v>5 - A Direção-Geral da Economia indica os seus representantes ao gabinete do membro do Governo responsável pela área da Economia e da Coesão Territorial no prazo de oito dias após a entrada em vigor do presente despacho.</v>
      </c>
      <c r="F377" s="3" t="str">
        <v>Entry into force 2026-04-02</v>
      </c>
      <c r="G377" s="20" t="d">
        <v>2026-04-10T00:00:00.000Z</v>
      </c>
      <c r="H377" s="20" t="d">
        <v>2026-04-15T00:00:00.000Z</v>
      </c>
      <c r="I377" s="3" t="str">
        <v>2026-04-02 + 8 calendar days (monitoring convention). If CPA procedural counting applies: 2026-04-15.</v>
      </c>
      <c r="J377" s="3" t="str">
        <v>https://diariodarepublica.pt/dr/detalhe/despacho/4319-2026-1080930313</v>
      </c>
      <c r="K377" s="3" t="str">
        <v>No dated delivery evidence identified.</v>
      </c>
    </row>
    <row r="378" ht="90" customHeight="1">
      <c r="A378" s="3" t="str">
        <v>GT-2026-008-D02</v>
      </c>
      <c r="B378" s="3" t="str">
        <v>GT-2026-008</v>
      </c>
      <c r="C378" s="3" t="str">
        <v>6 - O Grupo de Trabalho reúne ordinariamente com periodicidade mensal e extraordinariamente sempre q</v>
      </c>
      <c r="D378" s="3" t="str">
        <v>Periodic / conditional</v>
      </c>
      <c r="E378" s="3" t="str">
        <v>6 - O Grupo de Trabalho reúne ordinariamente com periodicidade mensal e extraordinariamente sempre que convocado pelo Coordenador.</v>
      </c>
      <c r="F378" s="3" t="str"/>
      <c r="G378" s="20"/>
      <c r="H378" s="20"/>
      <c r="I378" s="3" t="str">
        <v>No uniquely dated deadline derivable from this clause; cadence or trigger is preserved.</v>
      </c>
      <c r="J378" s="3" t="str">
        <v>https://diariodarepublica.pt/dr/detalhe/despacho/4319-2026-1080930313</v>
      </c>
      <c r="K378" s="3" t="str">
        <v>No dated delivery evidence identified.</v>
      </c>
    </row>
    <row r="379" ht="90" customHeight="1">
      <c r="A379" s="3" t="str">
        <v>GT-2026-008-D03</v>
      </c>
      <c r="B379" s="3" t="str">
        <v>GT-2026-008</v>
      </c>
      <c r="C379" s="3" t="str">
        <v>8 - O Grupo de Trabalho elabora um relatório de progresso semestral, contendo a avaliação do estado </v>
      </c>
      <c r="D379" s="3" t="str">
        <v>Periodic / conditional</v>
      </c>
      <c r="E379" s="3" t="str">
        <v>8 - O Grupo de Trabalho elabora um relatório de progresso semestral, contendo a avaliação do estado de implementação das medidas e iniciativas propostas no âmbito do Fórum Estratégico Luso-Espanhol para uma Maior Competitividade, as dificuldades identificadas e as recomendações para os períodos subsequentes.</v>
      </c>
      <c r="F379" s="3" t="str"/>
      <c r="G379" s="20"/>
      <c r="H379" s="20"/>
      <c r="I379" s="3" t="str">
        <v>No uniquely dated deadline derivable from this clause; cadence or trigger is preserved.</v>
      </c>
      <c r="J379" s="3" t="str">
        <v>https://diariodarepublica.pt/dr/detalhe/despacho/4319-2026-1080930313</v>
      </c>
      <c r="K379" s="3" t="str">
        <v>No dated delivery evidence identified.</v>
      </c>
    </row>
    <row r="380" ht="90" customHeight="1">
      <c r="A380" s="3" t="str">
        <v>GT-2026-008-D04</v>
      </c>
      <c r="B380" s="3" t="str">
        <v>GT-2026-008</v>
      </c>
      <c r="C380" s="3" t="str">
        <v>9 - O relatório referido no número anterior deve ser apresentado ao membro do Governo responsável pe</v>
      </c>
      <c r="D380" s="3" t="str">
        <v>Deliverable / duration</v>
      </c>
      <c r="E380" s="3" t="str">
        <v>9 - O relatório referido no número anterior deve ser apresentado ao membro do Governo responsável pela área da Economia e da Coesão Territorial com, pelo menos, 30 dias de antecedência relativamente às reuniões ministeriais do Fórum Estratégico Luso-Espanhol para uma Maior Competitividade.</v>
      </c>
      <c r="F380" s="3" t="str"/>
      <c r="G380" s="20"/>
      <c r="H380" s="20"/>
      <c r="I380" s="3" t="str">
        <v>30 dias after trigger: anchor not expressly specified; exact date cannot be verified.</v>
      </c>
      <c r="J380" s="3" t="str">
        <v>https://diariodarepublica.pt/dr/detalhe/despacho/4319-2026-1080930313</v>
      </c>
      <c r="K380" s="3" t="str">
        <v>No dated delivery evidence identified.</v>
      </c>
    </row>
    <row r="381" ht="90" customHeight="1">
      <c r="A381" s="3" t="str">
        <v>GT-2026-008-D05</v>
      </c>
      <c r="B381" s="3" t="str">
        <v>GT-2026-008</v>
      </c>
      <c r="C381" s="3" t="str">
        <v>10 - O Grupo de Trabalho articula-se, na componente bilateral e sempre que necessário, com o seu con</v>
      </c>
      <c r="D381" s="3" t="str">
        <v>Periodic / conditional</v>
      </c>
      <c r="E381" s="3" t="str">
        <v>10 - O Grupo de Trabalho articula-se, na componente bilateral e sempre que necessário, com o seu congénere espanhol, podendo realizar reuniões conjuntas com a periodicidade acordada entre ambas as partes.</v>
      </c>
      <c r="F381" s="3" t="str"/>
      <c r="G381" s="20"/>
      <c r="H381" s="20"/>
      <c r="I381" s="3" t="str">
        <v>No uniquely dated deadline derivable from this clause; cadence or trigger is preserved.</v>
      </c>
      <c r="J381" s="3" t="str">
        <v>https://diariodarepublica.pt/dr/detalhe/despacho/4319-2026-1080930313</v>
      </c>
      <c r="K381" s="3" t="str">
        <v>No dated delivery evidence identified.</v>
      </c>
    </row>
    <row r="382" ht="90" customHeight="1">
      <c r="A382" s="3" t="str">
        <v>GT-2026-008-D06</v>
      </c>
      <c r="B382" s="3" t="str">
        <v>GT-2026-008</v>
      </c>
      <c r="C382" s="3" t="str">
        <v>14 - O relatório referido no número anterior deve ser apresentado a 31 de dezembro de 2028, sendo es</v>
      </c>
      <c r="D382" s="3" t="str">
        <v>Deliverable / duration</v>
      </c>
      <c r="E382" s="3" t="str">
        <v>14 - O relatório referido no número anterior deve ser apresentado a 31 de dezembro de 2028, sendo este prazo passível de prorrogação, mediante justificação fundamentada, por períodos adicionais de um ano.</v>
      </c>
      <c r="F382" s="3" t="str"/>
      <c r="G382" s="20" t="d">
        <v>2028-12-31T00:00:00.000Z</v>
      </c>
      <c r="H382" s="20"/>
      <c r="I382" s="3" t="str">
        <v>1 ano after trigger: anchor not expressly specified; exact date cannot be verified.</v>
      </c>
      <c r="J382" s="3" t="str">
        <v>https://diariodarepublica.pt/dr/detalhe/despacho/4319-2026-1080930313</v>
      </c>
      <c r="K382" s="3" t="str">
        <v>No dated delivery evidence identified.</v>
      </c>
    </row>
    <row r="383" ht="90" customHeight="1">
      <c r="A383" s="3" t="str">
        <v>GT-2026-008-D07</v>
      </c>
      <c r="B383" s="3" t="str">
        <v>GT-2026-008</v>
      </c>
      <c r="C383" s="3" t="str">
        <v>Mandate end</v>
      </c>
      <c r="D383" s="3" t="str">
        <v>Status benchmark</v>
      </c>
      <c r="E383" s="3" t="str"/>
      <c r="F383" s="3" t="str"/>
      <c r="G383" s="20" t="d">
        <v>2028-12-31T00:00:00.000Z</v>
      </c>
      <c r="H383" s="20"/>
      <c r="I383" s="3" t="str">
        <v>Fixed date / explicit year-end in creating act.</v>
      </c>
      <c r="J383" s="3" t="str">
        <v>https://diariodarepublica.pt/dr/detalhe/despacho/4319-2026-1080930313</v>
      </c>
      <c r="K383" s="3" t="str">
        <v>Em curso – dentro do prazo — Current controlling deadline has not passed; delivery not independently verified.</v>
      </c>
    </row>
    <row r="384" ht="90" customHeight="1">
      <c r="A384" s="3" t="str">
        <v>GT-2026-009-D01</v>
      </c>
      <c r="B384" s="3" t="str">
        <v>GT-2026-009</v>
      </c>
      <c r="C384" s="3" t="str">
        <v>11 - O Grupo de Trabalho apresenta ao Conselho de Ministros um relatório anual com a descrição dos t</v>
      </c>
      <c r="D384" s="3" t="str">
        <v>Periodic / conditional</v>
      </c>
      <c r="E384" s="3" t="str">
        <v>11 - O Grupo de Trabalho apresenta ao Conselho de Ministros um relatório anual com a descrição dos trabalhos desenvolvidos e submete um relatório final com o trabalho produzido, antes do término do seu mandato.</v>
      </c>
      <c r="F384" s="3" t="str"/>
      <c r="G384" s="20"/>
      <c r="H384" s="20"/>
      <c r="I384" s="3" t="str">
        <v>No uniquely dated deadline derivable from this clause; cadence or trigger is preserved.</v>
      </c>
      <c r="J384" s="3" t="str">
        <v>https://diariodarepublica.pt/dr/detalhe/despacho/4643-2026-1082906758</v>
      </c>
      <c r="K384" s="3" t="str">
        <v>No dated delivery evidence identified.</v>
      </c>
    </row>
    <row r="385" ht="90" customHeight="1">
      <c r="A385" s="3" t="str">
        <v>GT-2026-009-D02</v>
      </c>
      <c r="B385" s="3" t="str">
        <v>GT-2026-009</v>
      </c>
      <c r="C385" s="3" t="str">
        <v>13 - As minutas das reuniões, nas quais constarão os pontos de ação acordados, a indicação de respet</v>
      </c>
      <c r="D385" s="3" t="str">
        <v>Appointments / planning</v>
      </c>
      <c r="E385" s="3" t="str">
        <v>13 - As minutas das reuniões, nas quais constarão os pontos de ação acordados, a indicação de respetivos responsáveis e os prazos de resposta, são circuladas pelos elementos do Grupo de Trabalho dentro de cinco dias úteis após realização da reunião a que dizem respeito.</v>
      </c>
      <c r="F385" s="3" t="str"/>
      <c r="G385" s="20"/>
      <c r="H385" s="20"/>
      <c r="I385" s="3" t="str">
        <v>5 dias úteis after trigger: anchor not expressly specified; exact date cannot be verified.</v>
      </c>
      <c r="J385" s="3" t="str">
        <v>https://diariodarepublica.pt/dr/detalhe/despacho/4643-2026-1082906758</v>
      </c>
      <c r="K385" s="3" t="str">
        <v>No dated delivery evidence identified.</v>
      </c>
    </row>
    <row r="386" ht="90" customHeight="1">
      <c r="A386" s="3" t="str">
        <v>GT-2026-009-D03</v>
      </c>
      <c r="B386" s="3" t="str">
        <v>GT-2026-009</v>
      </c>
      <c r="C386" s="3" t="str">
        <v>14 - O Grupo de Trabalho tem duração até 31 de dezembro de 2028.</v>
      </c>
      <c r="D386" s="3" t="str">
        <v>Deliverable / duration</v>
      </c>
      <c r="E386" s="3" t="str">
        <v>14 - O Grupo de Trabalho tem duração até 31 de dezembro de 2028.</v>
      </c>
      <c r="F386" s="3" t="str"/>
      <c r="G386" s="20" t="d">
        <v>2028-12-31T00:00:00.000Z</v>
      </c>
      <c r="H386" s="20"/>
      <c r="I386" s="3" t="str">
        <v>Explicit calendar date in the act.</v>
      </c>
      <c r="J386" s="3" t="str">
        <v>https://diariodarepublica.pt/dr/detalhe/despacho/4643-2026-1082906758</v>
      </c>
      <c r="K386" s="3" t="str">
        <v>No dated delivery evidence identified.</v>
      </c>
    </row>
    <row r="387" ht="90" customHeight="1">
      <c r="A387" s="3" t="str">
        <v>GT-2026-009-D04</v>
      </c>
      <c r="B387" s="3" t="str">
        <v>GT-2026-009</v>
      </c>
      <c r="C387" s="3" t="str">
        <v>Mandate end</v>
      </c>
      <c r="D387" s="3" t="str">
        <v>Status benchmark</v>
      </c>
      <c r="E387" s="3" t="str"/>
      <c r="F387" s="3" t="str"/>
      <c r="G387" s="20" t="d">
        <v>2028-12-31T00:00:00.000Z</v>
      </c>
      <c r="H387" s="20"/>
      <c r="I387" s="3" t="str">
        <v>Fixed date / explicit year-end in creating act.</v>
      </c>
      <c r="J387" s="3" t="str">
        <v>https://diariodarepublica.pt/dr/detalhe/despacho/4643-2026-1082906758</v>
      </c>
      <c r="K387" s="3" t="str">
        <v>Em curso – dentro do prazo — Current controlling deadline has not passed; delivery not independently verified.</v>
      </c>
    </row>
    <row r="388" ht="90" customHeight="1">
      <c r="A388" s="3" t="str">
        <v>GT-2026-010-D01</v>
      </c>
      <c r="B388" s="3" t="str">
        <v>GT-2026-010</v>
      </c>
      <c r="C388" s="3" t="str">
        <v>6 - O Grupo de Trabalho apresenta ao Governo um projeto de alterações legislativas, acompanhado de u</v>
      </c>
      <c r="D388" s="3" t="str">
        <v>Deliverable / duration</v>
      </c>
      <c r="E388" s="3" t="str">
        <v>6 - O Grupo de Trabalho apresenta ao Governo um projeto de alterações legislativas, acompanhado de um relatório justificativo das alterações propostas, até ao final de 2026.</v>
      </c>
      <c r="F388" s="3" t="str"/>
      <c r="G388" s="20" t="d">
        <v>2026-12-31T00:00:00.000Z</v>
      </c>
      <c r="H388" s="20"/>
      <c r="I388" s="3" t="str">
        <v>Explicit year-end: 31 December 2026.</v>
      </c>
      <c r="J388" s="3" t="str">
        <v>https://diariodarepublica.pt/dr/detalhe/despacho/4749-2026-1084035715</v>
      </c>
      <c r="K388" s="3" t="str">
        <v>No dated delivery evidence identified.</v>
      </c>
    </row>
    <row r="389" ht="90" customHeight="1">
      <c r="A389" s="3" t="str">
        <v>GT-2026-010-D02</v>
      </c>
      <c r="B389" s="3" t="str">
        <v>GT-2026-010</v>
      </c>
      <c r="C389" s="3" t="str">
        <v>Final report / last specified substantive output</v>
      </c>
      <c r="D389" s="3" t="str">
        <v>Status benchmark</v>
      </c>
      <c r="E389" s="3" t="str"/>
      <c r="F389" s="3" t="str"/>
      <c r="G389" s="20" t="d">
        <v>2026-12-31T00:00:00.000Z</v>
      </c>
      <c r="H389" s="20"/>
      <c r="I389" s="3" t="str">
        <v>Fixed date / explicit year-end in creating act.</v>
      </c>
      <c r="J389" s="3" t="str">
        <v>https://diariodarepublica.pt/dr/detalhe/despacho/4749-2026-1084035715</v>
      </c>
      <c r="K389" s="3" t="str">
        <v>Em curso – dentro do prazo — Current controlling deadline has not passed; delivery not independently verified.</v>
      </c>
    </row>
    <row r="390" ht="90" customHeight="1">
      <c r="A390" s="3" t="str">
        <v>GT-2026-011-D01</v>
      </c>
      <c r="B390" s="3" t="str">
        <v>GT-2026-011</v>
      </c>
      <c r="C390" s="3" t="str">
        <v>6 - Deve o grupo de trabalho determinar a necessidade de sujeição da estratégia a avaliação ambienta</v>
      </c>
      <c r="D390" s="3" t="str">
        <v>Deliverable / duration</v>
      </c>
      <c r="E390" s="3" t="str">
        <v>6 - Deve o grupo de trabalho determinar a necessidade de sujeição da estratégia a avaliação ambiental, nos termos da alínea g) do n.º 1 do artigo 46.º do Decreto-Lei n.º 80/2015, de 14 de maio.</v>
      </c>
      <c r="F390" s="3" t="str"/>
      <c r="G390" s="20"/>
      <c r="H390" s="20"/>
      <c r="I390" s="3" t="str">
        <v>No uniquely dated deadline derivable from this clause; cadence or trigger is preserved.</v>
      </c>
      <c r="J390" s="3" t="str">
        <v>https://diariodarepublica.pt/dr/detalhe/despacho/5146-2026-1086825315</v>
      </c>
      <c r="K390" s="3" t="str">
        <v>No dated delivery evidence identified.</v>
      </c>
    </row>
    <row r="391" ht="90" customHeight="1">
      <c r="A391" s="3" t="str">
        <v>GT-2026-011-D02</v>
      </c>
      <c r="B391" s="3" t="str">
        <v>GT-2026-011</v>
      </c>
      <c r="C391" s="3" t="str">
        <v>7 - A proposta de estratégia deverá ser entregue no prazo de 120 dias, após a produção de efeitos do</v>
      </c>
      <c r="D391" s="3" t="str">
        <v>Deliverable / duration</v>
      </c>
      <c r="E391" s="3" t="str">
        <v>7 - A proposta de estratégia deverá ser entregue no prazo de 120 dias, após a produção de efeitos do presente despacho.</v>
      </c>
      <c r="F391" s="3" t="str"/>
      <c r="G391" s="20"/>
      <c r="H391" s="20"/>
      <c r="I391" s="3" t="str">
        <v>120 dias after trigger: anchor not expressly specified; exact date cannot be verified.</v>
      </c>
      <c r="J391" s="3" t="str">
        <v>https://diariodarepublica.pt/dr/detalhe/despacho/5146-2026-1086825315</v>
      </c>
      <c r="K391" s="3" t="str">
        <v>No dated delivery evidence identified.</v>
      </c>
    </row>
    <row r="392" ht="90" customHeight="1">
      <c r="A392" s="3" t="str">
        <v>GT-2026-011-D03</v>
      </c>
      <c r="B392" s="3" t="str">
        <v>GT-2026-011</v>
      </c>
      <c r="C392" s="3" t="str">
        <v>8 - A proposta de estratégia deverá ser posteriormente sujeita a consulta pública, por um período de</v>
      </c>
      <c r="D392" s="3" t="str">
        <v>Deliverable / duration</v>
      </c>
      <c r="E392" s="3" t="str">
        <v>8 - A proposta de estratégia deverá ser posteriormente sujeita a consulta pública, por um período de 30 dias.</v>
      </c>
      <c r="F392" s="3" t="str"/>
      <c r="G392" s="20"/>
      <c r="H392" s="20"/>
      <c r="I392" s="3" t="str">
        <v>30 dias after trigger: anchor not expressly specified; exact date cannot be verified.</v>
      </c>
      <c r="J392" s="3" t="str">
        <v>https://diariodarepublica.pt/dr/detalhe/despacho/5146-2026-1086825315</v>
      </c>
      <c r="K392" s="3" t="str">
        <v>No dated delivery evidence identified.</v>
      </c>
    </row>
    <row r="393" ht="90" customHeight="1">
      <c r="A393" s="3" t="str">
        <v>GT-2026-011-D04</v>
      </c>
      <c r="B393" s="3" t="str">
        <v>GT-2026-011</v>
      </c>
      <c r="C393" s="3" t="str">
        <v>Final report / last specified substantive output</v>
      </c>
      <c r="D393" s="3" t="str">
        <v>Status benchmark</v>
      </c>
      <c r="E393" s="3" t="str"/>
      <c r="F393" s="3" t="str"/>
      <c r="G393" s="20" t="d">
        <v>2026-08-04T00:00:00.000Z</v>
      </c>
      <c r="H393" s="20" t="d">
        <v>2026-09-24T00:00:00.000Z</v>
      </c>
      <c r="I393" s="3" t="str">
        <v>signed 2026-04-06 + 120 calendar days; plain “dias” benchmark. Alternative working-day date: 2026-09-24.</v>
      </c>
      <c r="J393" s="3" t="str">
        <v>https://diariodarepublica.pt/dr/detalhe/despacho/5146-2026-1086825315</v>
      </c>
      <c r="K393" s="3" t="str">
        <v>Em atraso — Controlling benchmark has passed; no evidence of this output’s delivery identified in the reviewed acts and focused official-source outcome search.</v>
      </c>
    </row>
    <row r="394" ht="90" customHeight="1">
      <c r="A394" s="3" t="str">
        <v>GT-2026-012-D01</v>
      </c>
      <c r="B394" s="3" t="str">
        <v>GT-2026-012</v>
      </c>
      <c r="C394" s="3" t="str">
        <v>3 - O grupo de trabalho deverá apresentar, no prazo de 90 dias, propostas de redes de referenciação </v>
      </c>
      <c r="D394" s="3" t="str">
        <v>Deliverable / duration</v>
      </c>
      <c r="E394" s="3" t="str">
        <v>3 - O grupo de trabalho deverá apresentar, no prazo de 90 dias, propostas de redes de referenciação hospitalar de cardiologia, de cirurgia cardíaca e de cirurgia torácica, incluindo as redes de serviços de urgência, consistente com os recursos disponíveis e o programa do XXV Governo.</v>
      </c>
      <c r="F394" s="3" t="str"/>
      <c r="G394" s="20"/>
      <c r="H394" s="20"/>
      <c r="I394" s="3" t="str">
        <v>90 dias after trigger: anchor not expressly specified; exact date cannot be verified.</v>
      </c>
      <c r="J394" s="3" t="str">
        <v>https://diariodarepublica.pt/dr/detalhe/despacho/5900-2026-1114075412</v>
      </c>
      <c r="K394" s="3" t="str">
        <v>No dated delivery evidence identified.</v>
      </c>
    </row>
    <row r="395" ht="90" customHeight="1">
      <c r="A395" s="3" t="str">
        <v>GT-2026-012-D02</v>
      </c>
      <c r="B395" s="3" t="str">
        <v>GT-2026-012</v>
      </c>
      <c r="C395" s="3" t="str">
        <v>Final report / last specified substantive output</v>
      </c>
      <c r="D395" s="3" t="str">
        <v>Status benchmark</v>
      </c>
      <c r="E395" s="3" t="str"/>
      <c r="F395" s="3" t="str"/>
      <c r="G395" s="20" t="d">
        <v>2026-08-06T00:00:00.000Z</v>
      </c>
      <c r="H395" s="20" t="d">
        <v>2026-09-15T00:00:00.000Z</v>
      </c>
      <c r="I395" s="3" t="str">
        <v>published 2026-05-08 + 90 calendar days; plain “dias” benchmark. Alternative working-day date: 2026-09-15.</v>
      </c>
      <c r="J395" s="3" t="str">
        <v>https://diariodarepublica.pt/dr/detalhe/despacho/5900-2026-1114075412</v>
      </c>
      <c r="K395" s="3" t="str">
        <v>Em atraso — Controlling benchmark has passed; no evidence of this output’s delivery identified in the reviewed acts and focused official-source outcome search.</v>
      </c>
    </row>
    <row r="396" ht="90" customHeight="1">
      <c r="A396" s="3" t="str">
        <v>GT-2026-013-D01</v>
      </c>
      <c r="B396" s="3" t="str">
        <v>GT-2026-013</v>
      </c>
      <c r="C396" s="3" t="str">
        <v>Final report / last specified substantive output</v>
      </c>
      <c r="D396" s="3" t="str">
        <v>Status benchmark</v>
      </c>
      <c r="E396" s="3" t="str"/>
      <c r="F396" s="3" t="str"/>
      <c r="G396" s="20" t="d">
        <v>2026-07-31T00:00:00.000Z</v>
      </c>
      <c r="H396" s="20"/>
      <c r="I396" s="3" t="str">
        <v>Fixed date / explicit year-end in creating act.</v>
      </c>
      <c r="J396" s="3" t="str">
        <v>https://diariodarepublica.pt/dr/detalhe/despacho/6859-2026-1127910940</v>
      </c>
      <c r="K396" s="3" t="str">
        <v>Em atraso — Controlling benchmark has passed; no evidence of this output’s delivery identified in the reviewed acts and focused official-source outcome search.</v>
      </c>
    </row>
    <row r="397" ht="90" customHeight="1">
      <c r="A397" s="3" t="str">
        <v>GT-2026-014-D01</v>
      </c>
      <c r="B397" s="3" t="str">
        <v>GT-2026-014</v>
      </c>
      <c r="C397" s="3" t="str">
        <v>a) O diagnóstico do atual modelo de acesso à RESP para projetos de produção, armazenamento e consumo</v>
      </c>
      <c r="D397" s="3" t="str">
        <v>Deliverable / duration</v>
      </c>
      <c r="E397" s="3" t="str">
        <v>a) O diagnóstico do atual modelo de acesso à RESP para projetos de produção, armazenamento e consumo de energia, incluindo também o dimensionamento e caracterização dos atuais pedidos e perspetivas de evolução futura num horizonte temporal de longo-prazo (e. g., 10 anos);</v>
      </c>
      <c r="F397" s="3" t="str"/>
      <c r="G397" s="20"/>
      <c r="H397" s="20"/>
      <c r="I397" s="3" t="str">
        <v>10 anos after trigger: anchor not expressly specified; exact date cannot be verified.</v>
      </c>
      <c r="J397" s="3" t="str">
        <v>https://diariodarepublica.pt/dr/detalhe/despacho/6941-2026-1128499274</v>
      </c>
      <c r="K397" s="3" t="str">
        <v>No dated delivery evidence identified.</v>
      </c>
    </row>
    <row r="398" ht="90" customHeight="1">
      <c r="A398" s="3" t="str">
        <v>GT-2026-014-D02</v>
      </c>
      <c r="B398" s="3" t="str">
        <v>GT-2026-014</v>
      </c>
      <c r="C398" s="3" t="str">
        <v>e) A conceção detalhada do novo modelo de acesso à RESP, que estabeleça, pelo menos, as modalidades </v>
      </c>
      <c r="D398" s="3" t="str">
        <v>Deliverable / duration</v>
      </c>
      <c r="E398" s="3" t="str">
        <v>e) A conceção detalhada do novo modelo de acesso à RESP, que estabeleça, pelo menos, as modalidades de acesso, regras e etapas aplicáveis a cada modalidade, articulação com outros regimes jurídicos, entidades envolvidas, documentação instrutória, plataformas de suporte, critérios de análise e priorização e prazos aplicáveis, considerando as dimensões de produção, armazenamento e consumo;</v>
      </c>
      <c r="F398" s="3" t="str"/>
      <c r="G398" s="20"/>
      <c r="H398" s="20"/>
      <c r="I398" s="3" t="str">
        <v>No uniquely dated deadline derivable from this clause; cadence or trigger is preserved.</v>
      </c>
      <c r="J398" s="3" t="str">
        <v>https://diariodarepublica.pt/dr/detalhe/despacho/6941-2026-1128499274</v>
      </c>
      <c r="K398" s="3" t="str">
        <v>No dated delivery evidence identified.</v>
      </c>
    </row>
    <row r="399" ht="90" customHeight="1">
      <c r="A399" s="3" t="str">
        <v>GT-2026-014-D03</v>
      </c>
      <c r="B399" s="3" t="str">
        <v>GT-2026-014</v>
      </c>
      <c r="C399" s="3" t="str">
        <v>7 - O GT-Acesso-RESP deve reunir com periodicidade mínima quinzenal, para assegurar o acompanhamento</v>
      </c>
      <c r="D399" s="3" t="str">
        <v>Periodic / conditional</v>
      </c>
      <c r="E399" s="3" t="str">
        <v>7 - O GT-Acesso-RESP deve reunir com periodicidade mínima quinzenal, para assegurar o acompanhamento regular dos trabalhos e a articulação entre as entidades participantes.</v>
      </c>
      <c r="F399" s="3" t="str"/>
      <c r="G399" s="20"/>
      <c r="H399" s="20"/>
      <c r="I399" s="3" t="str">
        <v>No uniquely dated deadline derivable from this clause; cadence or trigger is preserved.</v>
      </c>
      <c r="J399" s="3" t="str">
        <v>https://diariodarepublica.pt/dr/detalhe/despacho/6941-2026-1128499274</v>
      </c>
      <c r="K399" s="3" t="str">
        <v>No dated delivery evidence identified.</v>
      </c>
    </row>
    <row r="400" ht="90" customHeight="1">
      <c r="A400" s="3" t="str">
        <v>GT-2026-014-D04</v>
      </c>
      <c r="B400" s="3" t="str">
        <v>GT-2026-014</v>
      </c>
      <c r="C400" s="3" t="str">
        <v>a) No prazo de 20 dias a contar da entrada em vigor do presente despacho, a DGEG deverá assegurar a </v>
      </c>
      <c r="D400" s="3" t="str">
        <v>Deliverable / duration</v>
      </c>
      <c r="E400" s="3" t="str">
        <v>a) No prazo de 20 dias a contar da entrada em vigor do presente despacho, a DGEG deverá assegurar a constituição do GT-Acesso-RESP, promovendo as diligências necessárias para o efeito;</v>
      </c>
      <c r="F400" s="3" t="str">
        <v>Entry into force 2026-06-02</v>
      </c>
      <c r="G400" s="20" t="d">
        <v>2026-06-22T00:00:00.000Z</v>
      </c>
      <c r="H400" s="20" t="d">
        <v>2026-07-02T00:00:00.000Z</v>
      </c>
      <c r="I400" s="3" t="str">
        <v>2026-06-02 + 20 calendar days (monitoring convention). If CPA procedural counting applies: 2026-07-02.</v>
      </c>
      <c r="J400" s="3" t="str">
        <v>https://diariodarepublica.pt/dr/detalhe/despacho/6941-2026-1128499274</v>
      </c>
      <c r="K400" s="3" t="str">
        <v>No dated delivery evidence identified.</v>
      </c>
    </row>
    <row r="401" ht="90" customHeight="1">
      <c r="A401" s="3" t="str">
        <v>GT-2026-014-D05</v>
      </c>
      <c r="B401" s="3" t="str">
        <v>GT-2026-014</v>
      </c>
      <c r="C401" s="3" t="str">
        <v>b) No prazo de 10 dias após a constituição do GT-Acesso-RESP, é realizada a reunião de formalização </v>
      </c>
      <c r="D401" s="3" t="str">
        <v>Deliverable / duration</v>
      </c>
      <c r="E401" s="3" t="str">
        <v>b) No prazo de 10 dias após a constituição do GT-Acesso-RESP, é realizada a reunião de formalização do arranque dos trabalhos, que aprova a metodologia de trabalho e organização interna;</v>
      </c>
      <c r="F401" s="3" t="str">
        <v>Actual constitution / start date not independently public.</v>
      </c>
      <c r="G401" s="20"/>
      <c r="H401" s="20"/>
      <c r="I401" s="3" t="str">
        <v>10 dias after trigger: Actual constitution / start date not independently public.; exact date cannot be verified.</v>
      </c>
      <c r="J401" s="3" t="str">
        <v>https://diariodarepublica.pt/dr/detalhe/despacho/6941-2026-1128499274</v>
      </c>
      <c r="K401" s="3" t="str">
        <v>No dated delivery evidence identified.</v>
      </c>
    </row>
    <row r="402" ht="90" customHeight="1">
      <c r="A402" s="3" t="str">
        <v>GT-2026-014-D06</v>
      </c>
      <c r="B402" s="3" t="str">
        <v>GT-2026-014</v>
      </c>
      <c r="C402" s="3" t="str">
        <v>c) No prazo de 60 dias a contar da entrada em vigor do presente despacho, é entregue um primeiro rel</v>
      </c>
      <c r="D402" s="3" t="str">
        <v>Deliverable / duration</v>
      </c>
      <c r="E402" s="3" t="str">
        <v>c) No prazo de 60 dias a contar da entrada em vigor do presente despacho, é entregue um primeiro relatório intercalar que aborde as matérias referidas nas alíneas a) a c) do n.º 2 do presente despacho;</v>
      </c>
      <c r="F402" s="3" t="str">
        <v>Entry into force 2026-06-02</v>
      </c>
      <c r="G402" s="20" t="d">
        <v>2026-08-01T00:00:00.000Z</v>
      </c>
      <c r="H402" s="20" t="d">
        <v>2026-08-27T00:00:00.000Z</v>
      </c>
      <c r="I402" s="3" t="str">
        <v>2026-06-02 + 60 calendar days (monitoring convention). If CPA procedural counting applies: 2026-08-27.</v>
      </c>
      <c r="J402" s="3" t="str">
        <v>https://diariodarepublica.pt/dr/detalhe/despacho/6941-2026-1128499274</v>
      </c>
      <c r="K402" s="3" t="str">
        <v>No dated delivery evidence identified.</v>
      </c>
    </row>
    <row r="403" ht="90" customHeight="1">
      <c r="A403" s="3" t="str">
        <v>GT-2026-014-D07</v>
      </c>
      <c r="B403" s="3" t="str">
        <v>GT-2026-014</v>
      </c>
      <c r="C403" s="3" t="str">
        <v>d) No prazo de 20 dias após a apresentação do primeiro relatório intercalar, é entregue um segundo r</v>
      </c>
      <c r="D403" s="3" t="str">
        <v>Deliverable / duration</v>
      </c>
      <c r="E403" s="3" t="str">
        <v>d) No prazo de 20 dias após a apresentação do primeiro relatório intercalar, é entregue um segundo relatório intercalar contendo os princípios orientadores da reforma do modelo de acesso à RESP, em linha com a alínea d) do n.º 2 do presente despacho;</v>
      </c>
      <c r="F403" s="3" t="str">
        <v>Actual constitution / start date not independently public.</v>
      </c>
      <c r="G403" s="20"/>
      <c r="H403" s="20"/>
      <c r="I403" s="3" t="str">
        <v>20 dias after trigger: Actual constitution / start date not independently public.; exact date cannot be verified.</v>
      </c>
      <c r="J403" s="3" t="str">
        <v>https://diariodarepublica.pt/dr/detalhe/despacho/6941-2026-1128499274</v>
      </c>
      <c r="K403" s="3" t="str">
        <v>No dated delivery evidence identified.</v>
      </c>
    </row>
    <row r="404" ht="90" customHeight="1">
      <c r="A404" s="3" t="str">
        <v>GT-2026-014-D08</v>
      </c>
      <c r="B404" s="3" t="str">
        <v>GT-2026-014</v>
      </c>
      <c r="C404" s="3" t="str">
        <v>e) No prazo de 60 dias após a apresentação do segundo relatório intercalar, é entregue o relatório f</v>
      </c>
      <c r="D404" s="3" t="str">
        <v>Deliverable / duration</v>
      </c>
      <c r="E404" s="3" t="str">
        <v>e) No prazo de 60 dias após a apresentação do segundo relatório intercalar, é entregue o relatório final, que contém a conceção detalhada do novo modelo de acesso à RESP e as propostas de alterações legislativas e regulamentares necessárias à concretização do novo modelo de acesso à RESP, em linha com as alíneas e) e f) do n.º 2 do presente despacho.</v>
      </c>
      <c r="F404" s="3" t="str">
        <v>Actual constitution / start date not independently public.</v>
      </c>
      <c r="G404" s="20"/>
      <c r="H404" s="20"/>
      <c r="I404" s="3" t="str">
        <v>60 dias after trigger: Actual constitution / start date not independently public.; exact date cannot be verified.</v>
      </c>
      <c r="J404" s="3" t="str">
        <v>https://diariodarepublica.pt/dr/detalhe/despacho/6941-2026-1128499274</v>
      </c>
      <c r="K404" s="3" t="str">
        <v>No dated delivery evidence identified.</v>
      </c>
    </row>
    <row r="405" ht="90" customHeight="1">
      <c r="A405" s="3" t="str">
        <v>GT-2026-014-D09</v>
      </c>
      <c r="B405" s="3" t="str">
        <v>GT-2026-014</v>
      </c>
      <c r="C405" s="3" t="str">
        <v>11 - O GT-Acesso-RESP mantém-se em atividade pelo prazo de um ano a contar da data de entrada em vig</v>
      </c>
      <c r="D405" s="3" t="str">
        <v>Deliverable / duration</v>
      </c>
      <c r="E405" s="3" t="str">
        <v>11 - O GT-Acesso-RESP mantém-se em atividade pelo prazo de um ano a contar da data de entrada em vigor do presente despacho, até à publicação no Diário da República das propostas de alterações legislativas e regulamentares necessárias à concretização da reforma do novo modelo de acesso à RESP, consoante o que se verifique primeiro.</v>
      </c>
      <c r="F405" s="3" t="str">
        <v>Publication 2026-06-01</v>
      </c>
      <c r="G405" s="20" t="d">
        <v>2027-06-01T00:00:00.000Z</v>
      </c>
      <c r="H405" s="20"/>
      <c r="I405" s="3" t="str">
        <v>2026-06-01 + 1 ano by calendar anniversary, end-of-month capped if necessary.</v>
      </c>
      <c r="J405" s="3" t="str">
        <v>https://diariodarepublica.pt/dr/detalhe/despacho/6941-2026-1128499274</v>
      </c>
      <c r="K405" s="3" t="str">
        <v>No dated delivery evidence identified.</v>
      </c>
    </row>
    <row r="406" ht="90" customHeight="1">
      <c r="A406" s="3" t="str">
        <v>GT-2026-014-D10</v>
      </c>
      <c r="B406" s="3" t="str">
        <v>GT-2026-014</v>
      </c>
      <c r="C406" s="3" t="str">
        <v>Final report / last specified substantive output</v>
      </c>
      <c r="D406" s="3" t="str">
        <v>Status benchmark</v>
      </c>
      <c r="E406" s="3" t="str"/>
      <c r="F406" s="3" t="str"/>
      <c r="G406" s="20" t="d">
        <v>2026-08-01T00:00:00.000Z</v>
      </c>
      <c r="H406" s="20" t="d">
        <v>2026-08-27T00:00:00.000Z</v>
      </c>
      <c r="I406" s="3" t="str">
        <v>effective 2026-06-02 + 60 calendar days; plain “dias” benchmark. Alternative working-day date: 2026-08-27.</v>
      </c>
      <c r="J406" s="3" t="str">
        <v>https://diariodarepublica.pt/dr/detalhe/despacho/6941-2026-1128499274</v>
      </c>
      <c r="K406" s="3" t="str">
        <v>Em atraso — Controlling benchmark has passed; no evidence of this output’s delivery identified in the reviewed acts and focused official-source outcome search.</v>
      </c>
    </row>
    <row r="407" ht="90" customHeight="1">
      <c r="A407" s="3" t="str">
        <v>GT-2026-015-D01</v>
      </c>
      <c r="B407" s="3" t="str">
        <v>GT-2026-015</v>
      </c>
      <c r="C407" s="3" t="str">
        <v>6 - O grupo de trabalho reúne com uma regularidade adequada à conclusão dos trabalhos no prazo defin</v>
      </c>
      <c r="D407" s="3" t="str">
        <v>Deliverable / duration</v>
      </c>
      <c r="E407" s="3" t="str">
        <v>6 - O grupo de trabalho reúne com uma regularidade adequada à conclusão dos trabalhos no prazo definido no calendário, previsto no número anterior, para apresentação de uma proposta de uma LGSST, sem prejuízo de eventual prorrogação.</v>
      </c>
      <c r="F407" s="3" t="str"/>
      <c r="G407" s="20"/>
      <c r="H407" s="20"/>
      <c r="I407" s="3" t="str">
        <v>No uniquely dated deadline derivable from this clause; cadence or trigger is preserved.</v>
      </c>
      <c r="J407" s="3" t="str">
        <v>https://diariodarepublica.pt/dr/detalhe/despacho/7229-2026-1130120993</v>
      </c>
      <c r="K407" s="3" t="str">
        <v>No dated delivery evidence identified.</v>
      </c>
    </row>
    <row r="408" ht="90" customHeight="1">
      <c r="A408" s="3" t="str">
        <v>GT-2026-015-D02</v>
      </c>
      <c r="B408" s="3" t="str">
        <v>GT-2026-015</v>
      </c>
      <c r="C408" s="3" t="str">
        <v>7 - A ACT, na qualidade de entidade coordenadora, convoca a primeira reunião no prazo máximo de 10 d</v>
      </c>
      <c r="D408" s="3" t="str">
        <v>Deliverable / duration</v>
      </c>
      <c r="E408" s="3" t="str">
        <v>7 - A ACT, na qualidade de entidade coordenadora, convoca a primeira reunião no prazo máximo de 10 dias após a data da entrada em vigor do presente despacho.</v>
      </c>
      <c r="F408" s="3" t="str">
        <v>Entry into force 2026-05-29</v>
      </c>
      <c r="G408" s="20" t="d">
        <v>2026-06-08T00:00:00.000Z</v>
      </c>
      <c r="H408" s="20" t="d">
        <v>2026-06-16T00:00:00.000Z</v>
      </c>
      <c r="I408" s="3" t="str">
        <v>2026-05-29 + 10 calendar days (monitoring convention). If CPA procedural counting applies: 2026-06-16.</v>
      </c>
      <c r="J408" s="3" t="str">
        <v>https://diariodarepublica.pt/dr/detalhe/despacho/7229-2026-1130120993</v>
      </c>
      <c r="K408" s="3" t="str">
        <v>No dated delivery evidence identified.</v>
      </c>
    </row>
    <row r="409" ht="90" customHeight="1">
      <c r="A409" s="3" t="str">
        <v>GT-2026-016-D01</v>
      </c>
      <c r="B409" s="3" t="str">
        <v>GT-2026-016</v>
      </c>
      <c r="C409" s="3" t="str">
        <v>7 - As propostas do Grupo de Trabalho devem ser apresentadas até ao final do ano de 2026.</v>
      </c>
      <c r="D409" s="3" t="str">
        <v>Deliverable / duration</v>
      </c>
      <c r="E409" s="3" t="str">
        <v>7 - As propostas do Grupo de Trabalho devem ser apresentadas até ao final do ano de 2026.</v>
      </c>
      <c r="F409" s="3" t="str"/>
      <c r="G409" s="20" t="d">
        <v>2026-12-31T00:00:00.000Z</v>
      </c>
      <c r="H409" s="20"/>
      <c r="I409" s="3" t="str">
        <v>Explicit year-end: 31 December 2026.</v>
      </c>
      <c r="J409" s="3" t="str">
        <v>https://diariodarepublica.pt/dr/detalhe/despacho/7381-2026-1131612628</v>
      </c>
      <c r="K409" s="3" t="str">
        <v>No dated delivery evidence identified.</v>
      </c>
    </row>
    <row r="410" ht="90" customHeight="1">
      <c r="A410" s="3" t="str">
        <v>GT-2026-017-D01</v>
      </c>
      <c r="B410" s="3" t="str">
        <v>GT-2026-017</v>
      </c>
      <c r="C410" s="3" t="str">
        <v>1 - Deve proceder-se à elaboração de proposta da Rede de Referenciação Hospitalar de Ortopedia, incl</v>
      </c>
      <c r="D410" s="3" t="str">
        <v>Deliverable / duration</v>
      </c>
      <c r="E410" s="3" t="str">
        <v>1 - Deve proceder-se à elaboração de proposta da Rede de Referenciação Hospitalar de Ortopedia, incluindo uma rede de serviços de urgência, consistente com os recursos disponíveis e o Programa do XXV Governo Constitucional, no prazo de 90 dias.</v>
      </c>
      <c r="F410" s="3" t="str"/>
      <c r="G410" s="20"/>
      <c r="H410" s="20"/>
      <c r="I410" s="3" t="str">
        <v>90 dias after trigger: anchor not expressly specified; exact date cannot be verified.</v>
      </c>
      <c r="J410" s="3" t="str">
        <v>https://diariodarepublica.pt/dr/detalhe/despacho/7541-2026-1132818510</v>
      </c>
      <c r="K410" s="3" t="str">
        <v>No dated delivery evidence identified.</v>
      </c>
    </row>
    <row r="411" ht="90" customHeight="1">
      <c r="A411" s="3" t="str">
        <v>GT-2026-017-D02</v>
      </c>
      <c r="B411" s="3" t="str">
        <v>GT-2026-017</v>
      </c>
      <c r="C411" s="3" t="str">
        <v>Final report / last specified substantive output</v>
      </c>
      <c r="D411" s="3" t="str">
        <v>Status benchmark</v>
      </c>
      <c r="E411" s="3" t="str"/>
      <c r="F411" s="3" t="str"/>
      <c r="G411" s="20" t="d">
        <v>2026-09-15T00:00:00.000Z</v>
      </c>
      <c r="H411" s="20" t="d">
        <v>2026-10-22T00:00:00.000Z</v>
      </c>
      <c r="I411" s="3" t="str">
        <v>published 2026-06-17 + 90 calendar days; plain “dias” benchmark. Alternative working-day date: 2026-10-22.</v>
      </c>
      <c r="J411" s="3" t="str">
        <v>https://diariodarepublica.pt/dr/detalhe/despacho/7541-2026-1132818510</v>
      </c>
      <c r="K411" s="3" t="str">
        <v>Sem informação pública — No dated delivery evidence; an unspecified anchor or plausible alternative counting rule prevents a firm overdue assessment.</v>
      </c>
    </row>
    <row r="412" ht="90" customHeight="1">
      <c r="A412" s="3" t="str">
        <v>GT-2026-018-D01</v>
      </c>
      <c r="B412" s="3" t="str">
        <v>GT-2026-018</v>
      </c>
      <c r="C412" s="3" t="str">
        <v>7 - É definido o mandato de um ano contado a partir da data de produção de efeitos do presente despa</v>
      </c>
      <c r="D412" s="3" t="str">
        <v>Deliverable / duration</v>
      </c>
      <c r="E412" s="3" t="str">
        <v>7 - É definido o mandato de um ano contado a partir da data de produção de efeitos do presente despacho, ressalvando o respeitante às Urgências Centralizadas, que deve ser objeto de proposta até 27 de novembro de 2026.</v>
      </c>
      <c r="F412" s="3" t="str"/>
      <c r="G412" s="20" t="d">
        <v>2026-11-27T00:00:00.000Z</v>
      </c>
      <c r="H412" s="20"/>
      <c r="I412" s="3" t="str">
        <v>1 ano after trigger: anchor not expressly specified; exact date cannot be verified.</v>
      </c>
      <c r="J412" s="3" t="str">
        <v>https://diariodarepublica.pt/dr/detalhe/despacho/7542-2026-1132818511</v>
      </c>
      <c r="K412" s="3" t="str">
        <v>No dated delivery evidence identified.</v>
      </c>
    </row>
    <row r="413" ht="90" customHeight="1">
      <c r="A413" s="3" t="str">
        <v>GT-2026-018-D02</v>
      </c>
      <c r="B413" s="3" t="str">
        <v>GT-2026-018</v>
      </c>
      <c r="C413" s="3" t="str">
        <v>Final report / last specified substantive output</v>
      </c>
      <c r="D413" s="3" t="str">
        <v>Status benchmark</v>
      </c>
      <c r="E413" s="3" t="str"/>
      <c r="F413" s="3" t="str"/>
      <c r="G413" s="20" t="d">
        <v>2026-09-15T00:00:00.000Z</v>
      </c>
      <c r="H413" s="20" t="d">
        <v>2026-10-22T00:00:00.000Z</v>
      </c>
      <c r="I413" s="3" t="str">
        <v>published 2026-06-17 + 90 calendar days; plain “dias” benchmark. Alternative working-day date: 2026-10-22.</v>
      </c>
      <c r="J413" s="3" t="str">
        <v>https://diariodarepublica.pt/dr/detalhe/despacho/7542-2026-1132818511</v>
      </c>
      <c r="K413" s="3" t="str">
        <v>Sem informação pública — No dated delivery evidence; an unspecified anchor or plausible alternative counting rule prevents a firm overdue assessment.</v>
      </c>
    </row>
    <row r="414" ht="90" customHeight="1">
      <c r="A414" s="3" t="str">
        <v>GT-2026-019-D01</v>
      </c>
      <c r="B414" s="3" t="str">
        <v>GT-2026-019</v>
      </c>
      <c r="C414" s="3" t="str">
        <v>1 - Deve proceder-se à elaboração de proposta da Rede de Referenciação Hospitalar de Imunoalergologi</v>
      </c>
      <c r="D414" s="3" t="str">
        <v>Deliverable / duration</v>
      </c>
      <c r="E414" s="3" t="str">
        <v>1 - Deve proceder-se à elaboração de proposta da Rede de Referenciação Hospitalar de Imunoalergologia, consistente com os recursos disponíveis e o Programa do XXV Governo Constitucional, no prazo de 90 dias.</v>
      </c>
      <c r="F414" s="3" t="str"/>
      <c r="G414" s="20"/>
      <c r="H414" s="20"/>
      <c r="I414" s="3" t="str">
        <v>90 dias after trigger: anchor not expressly specified; exact date cannot be verified.</v>
      </c>
      <c r="J414" s="3" t="str">
        <v>https://diariodarepublica.pt/dr/detalhe/despacho/7543-2026-1132818512</v>
      </c>
      <c r="K414" s="3" t="str">
        <v>No dated delivery evidence identified.</v>
      </c>
    </row>
    <row r="415" ht="90" customHeight="1">
      <c r="A415" s="3" t="str">
        <v>GT-2026-019-D02</v>
      </c>
      <c r="B415" s="3" t="str">
        <v>GT-2026-019</v>
      </c>
      <c r="C415" s="3" t="str">
        <v>Final report / last specified substantive output</v>
      </c>
      <c r="D415" s="3" t="str">
        <v>Status benchmark</v>
      </c>
      <c r="E415" s="3" t="str"/>
      <c r="F415" s="3" t="str"/>
      <c r="G415" s="20" t="d">
        <v>2026-09-15T00:00:00.000Z</v>
      </c>
      <c r="H415" s="20" t="d">
        <v>2026-10-22T00:00:00.000Z</v>
      </c>
      <c r="I415" s="3" t="str">
        <v>published 2026-06-17 + 90 calendar days; plain “dias” benchmark. Alternative working-day date: 2026-10-22.</v>
      </c>
      <c r="J415" s="3" t="str">
        <v>https://diariodarepublica.pt/dr/detalhe/despacho/7543-2026-1132818512</v>
      </c>
      <c r="K415" s="3" t="str">
        <v>Sem informação pública — No dated delivery evidence; an unspecified anchor or plausible alternative counting rule prevents a firm overdue assessment.</v>
      </c>
    </row>
    <row r="416" ht="90" customHeight="1">
      <c r="A416" s="3" t="str">
        <v>GT-2026-020-D01</v>
      </c>
      <c r="B416" s="3" t="str">
        <v>GT-2026-020</v>
      </c>
      <c r="C416" s="3" t="str">
        <v>3 - O grupo de trabalho deverá apresentar, no prazo de 90 dias, a proposta de rede de referenciação </v>
      </c>
      <c r="D416" s="3" t="str">
        <v>Deliverable / duration</v>
      </c>
      <c r="E416" s="3" t="str">
        <v>3 - O grupo de trabalho deverá apresentar, no prazo de 90 dias, a proposta de rede de referenciação hospitalar de neurorradiologia de intervenção, consistente com os recursos disponíveis e o Programa do XXV Governo Constitucional.</v>
      </c>
      <c r="F416" s="3" t="str"/>
      <c r="G416" s="20"/>
      <c r="H416" s="20"/>
      <c r="I416" s="3" t="str">
        <v>90 dias after trigger: anchor not expressly specified; exact date cannot be verified.</v>
      </c>
      <c r="J416" s="3" t="str">
        <v>https://diariodarepublica.pt/dr/detalhe/despacho/7650-2026-1133910824</v>
      </c>
      <c r="K416" s="3" t="str">
        <v>No dated delivery evidence identified.</v>
      </c>
    </row>
    <row r="417" ht="90" customHeight="1">
      <c r="A417" s="3" t="str">
        <v>GT-2026-020-D02</v>
      </c>
      <c r="B417" s="3" t="str">
        <v>GT-2026-020</v>
      </c>
      <c r="C417" s="3" t="str">
        <v>Final report / last specified substantive output</v>
      </c>
      <c r="D417" s="3" t="str">
        <v>Status benchmark</v>
      </c>
      <c r="E417" s="3" t="str"/>
      <c r="F417" s="3" t="str"/>
      <c r="G417" s="20" t="d">
        <v>2026-09-16T00:00:00.000Z</v>
      </c>
      <c r="H417" s="20" t="d">
        <v>2026-10-23T00:00:00.000Z</v>
      </c>
      <c r="I417" s="3" t="str">
        <v>published 2026-06-18 + 90 calendar days; plain “dias” benchmark. Alternative working-day date: 2026-10-23.</v>
      </c>
      <c r="J417" s="3" t="str">
        <v>https://diariodarepublica.pt/dr/detalhe/despacho/7650-2026-1133910824</v>
      </c>
      <c r="K417" s="3" t="str">
        <v>Sem informação pública — No dated delivery evidence; an unspecified anchor or plausible alternative counting rule prevents a firm overdue assessment.</v>
      </c>
    </row>
    <row r="418" ht="90" customHeight="1">
      <c r="A418" s="3" t="str">
        <v>GT-2026-021-D01</v>
      </c>
      <c r="B418" s="3" t="str">
        <v>GT-2026-021</v>
      </c>
      <c r="C418" s="3" t="str">
        <v>4 - No prazo de cinco dias a contar da data da entrada em vigor do presente despacho, as três entida</v>
      </c>
      <c r="D418" s="3" t="str">
        <v>Appointments / planning</v>
      </c>
      <c r="E418" s="3" t="str">
        <v>4 - No prazo de cinco dias a contar da data da entrada em vigor do presente despacho, as três entidades que integram o Grupo de Trabalho comunicam os seus representantes à respetiva presidente.</v>
      </c>
      <c r="F418" s="3" t="str">
        <v>Entry into force 2026-06-20</v>
      </c>
      <c r="G418" s="20" t="d">
        <v>2026-06-25T00:00:00.000Z</v>
      </c>
      <c r="H418" s="20" t="d">
        <v>2026-06-26T00:00:00.000Z</v>
      </c>
      <c r="I418" s="3" t="str">
        <v>2026-06-20 + 5 calendar days (monitoring convention). If CPA procedural counting applies: 2026-06-26.</v>
      </c>
      <c r="J418" s="3" t="str">
        <v>https://diariodarepublica.pt/dr/detalhe/despacho/7971-2026-1138363947</v>
      </c>
      <c r="K418" s="3" t="str">
        <v>No dated delivery evidence identified.</v>
      </c>
    </row>
    <row r="419" ht="90" customHeight="1">
      <c r="A419" s="3" t="str">
        <v>GT-2026-021-D02</v>
      </c>
      <c r="B419" s="3" t="str">
        <v>GT-2026-021</v>
      </c>
      <c r="C419" s="3" t="str">
        <v>8 - O Grupo de Trabalho funcionará pelo período de 12 meses a contar da data da entrada em vigor do </v>
      </c>
      <c r="D419" s="3" t="str">
        <v>Deliverable / duration</v>
      </c>
      <c r="E419" s="3" t="str">
        <v>8 - O Grupo de Trabalho funcionará pelo período de 12 meses a contar da data da entrada em vigor do presente despacho, devendo apresentar ao Ministro de Estado e das Finanças:</v>
      </c>
      <c r="F419" s="3" t="str">
        <v>Entry into force 2026-06-20</v>
      </c>
      <c r="G419" s="20" t="d">
        <v>2027-06-20T00:00:00.000Z</v>
      </c>
      <c r="H419" s="20"/>
      <c r="I419" s="3" t="str">
        <v>2026-06-20 + 12 meses by calendar anniversary, end-of-month capped if necessary.</v>
      </c>
      <c r="J419" s="3" t="str">
        <v>https://diariodarepublica.pt/dr/detalhe/despacho/7971-2026-1138363947</v>
      </c>
      <c r="K419" s="3" t="str">
        <v>No dated delivery evidence identified.</v>
      </c>
    </row>
    <row r="420" ht="90" customHeight="1">
      <c r="A420" s="3" t="str">
        <v>GT-2026-021-D03</v>
      </c>
      <c r="B420" s="3" t="str">
        <v>GT-2026-021</v>
      </c>
      <c r="C420" s="3" t="str">
        <v>a) No prazo de 6 meses a contar da data da entrada em vigor do presente despacho, um relatório que r</v>
      </c>
      <c r="D420" s="3" t="str">
        <v>Deliverable / duration</v>
      </c>
      <c r="E420" s="3" t="str">
        <v>a) No prazo de 6 meses a contar da data da entrada em vigor do presente despacho, um relatório que responda aos objetivos indicados nas alíneas a) a e) do n.º 2;</v>
      </c>
      <c r="F420" s="3" t="str">
        <v>Entry into force 2026-06-20</v>
      </c>
      <c r="G420" s="20" t="d">
        <v>2026-12-20T00:00:00.000Z</v>
      </c>
      <c r="H420" s="20"/>
      <c r="I420" s="3" t="str">
        <v>2026-06-20 + 6 meses by calendar anniversary, end-of-month capped if necessary.</v>
      </c>
      <c r="J420" s="3" t="str">
        <v>https://diariodarepublica.pt/dr/detalhe/despacho/7971-2026-1138363947</v>
      </c>
      <c r="K420" s="3" t="str">
        <v>No dated delivery evidence identified.</v>
      </c>
    </row>
    <row r="421" ht="90" customHeight="1">
      <c r="A421" s="3" t="str">
        <v>GT-2026-021-D04</v>
      </c>
      <c r="B421" s="3" t="str">
        <v>GT-2026-021</v>
      </c>
      <c r="C421" s="3" t="str">
        <v>b) No prazo de 12 meses a contar da data da entrada em vigor do presente despacho, as propostas indi</v>
      </c>
      <c r="D421" s="3" t="str">
        <v>Deliverable / duration</v>
      </c>
      <c r="E421" s="3" t="str">
        <v>b) No prazo de 12 meses a contar da data da entrada em vigor do presente despacho, as propostas indicadas na alínea f) do n.º 2;</v>
      </c>
      <c r="F421" s="3" t="str">
        <v>Entry into force 2026-06-20</v>
      </c>
      <c r="G421" s="20" t="d">
        <v>2027-06-20T00:00:00.000Z</v>
      </c>
      <c r="H421" s="20"/>
      <c r="I421" s="3" t="str">
        <v>2026-06-20 + 12 meses by calendar anniversary, end-of-month capped if necessary.</v>
      </c>
      <c r="J421" s="3" t="str">
        <v>https://diariodarepublica.pt/dr/detalhe/despacho/7971-2026-1138363947</v>
      </c>
      <c r="K421" s="3" t="str">
        <v>No dated delivery evidence identified.</v>
      </c>
    </row>
    <row r="422" ht="90" customHeight="1">
      <c r="A422" s="3" t="str">
        <v>GT-2026-021-D05</v>
      </c>
      <c r="B422" s="3" t="str">
        <v>GT-2026-021</v>
      </c>
      <c r="C422" s="3" t="str">
        <v>10 - A coordenação do Grupo de Trabalho é assegurada pela presidente, competindo-lhe propor o agenda</v>
      </c>
      <c r="D422" s="3" t="str">
        <v>Periodic / conditional</v>
      </c>
      <c r="E422" s="3" t="str">
        <v>10 - A coordenação do Grupo de Trabalho é assegurada pela presidente, competindo-lhe propor o agendamento das reuniões e estabelecer a respetiva periodicidade, em articulação com os demais membros do Grupo de Trabalho.</v>
      </c>
      <c r="F422" s="3" t="str"/>
      <c r="G422" s="20"/>
      <c r="H422" s="20"/>
      <c r="I422" s="3" t="str">
        <v>No uniquely dated deadline derivable from this clause; cadence or trigger is preserved.</v>
      </c>
      <c r="J422" s="3" t="str">
        <v>https://diariodarepublica.pt/dr/detalhe/despacho/7971-2026-1138363947</v>
      </c>
      <c r="K422" s="3" t="str">
        <v>No dated delivery evidence identified.</v>
      </c>
    </row>
    <row r="423" ht="90" customHeight="1">
      <c r="A423" s="3" t="str">
        <v>GT-2026-021-D06</v>
      </c>
      <c r="B423" s="3" t="str">
        <v>GT-2026-021</v>
      </c>
      <c r="C423" s="3" t="str">
        <v>Final report / last specified substantive output</v>
      </c>
      <c r="D423" s="3" t="str">
        <v>Status benchmark</v>
      </c>
      <c r="E423" s="3" t="str"/>
      <c r="F423" s="3" t="str"/>
      <c r="G423" s="20" t="d">
        <v>2027-06-20T00:00:00.000Z</v>
      </c>
      <c r="H423" s="20"/>
      <c r="I423" s="3" t="str">
        <v>effective 2026-06-20 + 12 calendar months (anniversary rule).</v>
      </c>
      <c r="J423" s="3" t="str">
        <v>https://diariodarepublica.pt/dr/detalhe/despacho/7971-2026-1138363947</v>
      </c>
      <c r="K423" s="3" t="str">
        <v>Em curso – dentro do prazo — Current controlling deadline has not passed; delivery not independently verified.</v>
      </c>
    </row>
    <row r="424" ht="90" customHeight="1">
      <c r="A424" s="3" t="str">
        <v>GT-2026-022-D01</v>
      </c>
      <c r="B424" s="3" t="str">
        <v>GT-2026-022</v>
      </c>
      <c r="C424" s="3" t="str">
        <v>7 - Estabelecer que, até 31 de dezembro de 2027, o grupo de trabalho apresenta ao Governo um relatór</v>
      </c>
      <c r="D424" s="3" t="str">
        <v>Deliverable / duration</v>
      </c>
      <c r="E424" s="3" t="str">
        <v>7 - Estabelecer que, até 31 de dezembro de 2027, o grupo de trabalho apresenta ao Governo um relatório final, contendo, designadamente, os resultados do diagnóstico realizado, a explicitação das soluções de revisão identificadas como aptas a suprir as necessidades identificadas e a formulação das correspondentes propostas de revisão legislativa.</v>
      </c>
      <c r="F424" s="3" t="str"/>
      <c r="G424" s="20" t="d">
        <v>2027-12-31T00:00:00.000Z</v>
      </c>
      <c r="H424" s="20"/>
      <c r="I424" s="3" t="str">
        <v>Explicit calendar date in the act.</v>
      </c>
      <c r="J424" s="3" t="str">
        <v>https://diariodarepublica.pt/dr/detalhe/resolucao-conselho-ministros/144-2026-1147043702</v>
      </c>
      <c r="K424" s="3" t="str">
        <v>No dated delivery evidence identified.</v>
      </c>
    </row>
    <row r="425" ht="90" customHeight="1">
      <c r="A425" s="3" t="str">
        <v>GT-2026-022-D02</v>
      </c>
      <c r="B425" s="3" t="str">
        <v>GT-2026-022</v>
      </c>
      <c r="C425" s="3" t="str">
        <v>Mandate end</v>
      </c>
      <c r="D425" s="3" t="str">
        <v>Status benchmark</v>
      </c>
      <c r="E425" s="3" t="str"/>
      <c r="F425" s="3" t="str"/>
      <c r="G425" s="20" t="d">
        <v>2027-12-31T00:00:00.000Z</v>
      </c>
      <c r="H425" s="20"/>
      <c r="I425" s="3" t="str">
        <v>Fixed date / explicit year-end in creating act.</v>
      </c>
      <c r="J425" s="3" t="str">
        <v>https://diariodarepublica.pt/dr/detalhe/resolucao-conselho-ministros/144-2026-1147043702</v>
      </c>
      <c r="K425" s="3" t="str">
        <v>Em curso – dentro do prazo — Current controlling deadline has not passed; delivery not independently verified.</v>
      </c>
    </row>
    <row r="426" ht="90" customHeight="1">
      <c r="A426" s="3" t="str">
        <v>GT-2026-023-D01</v>
      </c>
      <c r="B426" s="3" t="str">
        <v>GT-2026-023</v>
      </c>
      <c r="C426" s="3" t="str">
        <v>8 - Os membros do Grupo de Trabalho são designados no prazo de 20 dias úteis a contar da data da pub</v>
      </c>
      <c r="D426" s="3" t="str">
        <v>Appointments / planning</v>
      </c>
      <c r="E426" s="3" t="str">
        <v>8 - Os membros do Grupo de Trabalho são designados no prazo de 20 dias úteis a contar da data da publicação do presente despacho, mediante comunicação à área governativa da cidadania e igualdade.</v>
      </c>
      <c r="F426" s="3" t="str">
        <v>Publication 2026-07-16</v>
      </c>
      <c r="G426" s="20" t="d">
        <v>2026-08-13T00:00:00.000Z</v>
      </c>
      <c r="H426" s="20"/>
      <c r="I426" s="3" t="str">
        <v>2026-07-16 + 20 working days; anchor excluded, weekends and national statutory holidays excluded.</v>
      </c>
      <c r="J426" s="3" t="str">
        <v>https://diariodarepublica.pt/dr/detalhe/despacho/8971-2026-1148259710</v>
      </c>
      <c r="K426" s="3" t="str">
        <v>No dated delivery evidence identified.</v>
      </c>
    </row>
    <row r="427" ht="90" customHeight="1">
      <c r="A427" s="3" t="str">
        <v>GT-2026-023-D02</v>
      </c>
      <c r="B427" s="3" t="str">
        <v>GT-2026-023</v>
      </c>
      <c r="C427" s="3" t="str">
        <v>11 - O Grupo de Trabalho apresenta à tutela coordenadora uma proposta de regime jurídico aplicável à</v>
      </c>
      <c r="D427" s="3" t="str">
        <v>Deliverable / duration</v>
      </c>
      <c r="E427" s="3" t="str">
        <v>11 - O Grupo de Trabalho apresenta à tutela coordenadora uma proposta de regime jurídico aplicável à proteção e à assistência das vítimas do crime de tráfico de seres humanos, no prazo de 150 dias, sem prejuízo de eventual prorrogação devidamente fundamentada.</v>
      </c>
      <c r="F427" s="3" t="str"/>
      <c r="G427" s="20"/>
      <c r="H427" s="20"/>
      <c r="I427" s="3" t="str">
        <v>150 dias after trigger: anchor not expressly specified; exact date cannot be verified.</v>
      </c>
      <c r="J427" s="3" t="str">
        <v>https://diariodarepublica.pt/dr/detalhe/despacho/8971-2026-1148259710</v>
      </c>
      <c r="K427" s="3" t="str">
        <v>No dated delivery evidence identified.</v>
      </c>
    </row>
    <row r="428" ht="90" customHeight="1">
      <c r="A428" s="3" t="str">
        <v>GT-2026-023-D03</v>
      </c>
      <c r="B428" s="3" t="str">
        <v>GT-2026-023</v>
      </c>
      <c r="C428" s="3" t="str">
        <v>Final report / last specified substantive output</v>
      </c>
      <c r="D428" s="3" t="str">
        <v>Status benchmark</v>
      </c>
      <c r="E428" s="3" t="str"/>
      <c r="F428" s="3" t="str"/>
      <c r="G428" s="20" t="d">
        <v>2026-12-14T00:00:00.000Z</v>
      </c>
      <c r="H428" s="20" t="d">
        <v>2027-02-19T00:00:00.000Z</v>
      </c>
      <c r="I428" s="3" t="str">
        <v>effective 2026-07-17 + 150 calendar days; plain “dias” benchmark. Alternative working-day date: 2027-02-19. The act gives 150 days without expressly naming the anchor; effective date is an assumption.</v>
      </c>
      <c r="J428" s="3" t="str">
        <v>https://diariodarepublica.pt/dr/detalhe/despacho/8971-2026-1148259710</v>
      </c>
      <c r="K428" s="3" t="str">
        <v>Em curso – dentro do prazo — Current controlling deadline has not passed; delivery not independently verified.</v>
      </c>
    </row>
    <row r="429" ht="90" customHeight="1">
      <c r="A429" s="3" t="str">
        <v>GT-2026-024-D01</v>
      </c>
      <c r="B429" s="3" t="str">
        <v>GT-2026-024</v>
      </c>
      <c r="C429" s="3" t="str">
        <v>c) Definição de processos de acompanhamento, monitorização e fiscalização - elaboração de um manual </v>
      </c>
      <c r="D429" s="3" t="str">
        <v>Periodic / conditional</v>
      </c>
      <c r="E429" s="3" t="str">
        <v>c) Definição de processos de acompanhamento, monitorização e fiscalização - elaboração de um manual de procedimentos/norma de orientação conjunto/a entre as entidades competentes que defina competências e responsabilidades institucionais.</v>
      </c>
      <c r="F429" s="3" t="str"/>
      <c r="G429" s="20"/>
      <c r="H429" s="20"/>
      <c r="I429" s="3" t="str">
        <v>No uniquely dated deadline derivable from this clause; cadence or trigger is preserved.</v>
      </c>
      <c r="J429" s="3" t="str">
        <v>https://diariodarepublica.pt/dr/detalhe/despacho/9999-2026-1155101848</v>
      </c>
      <c r="K429" s="3" t="str">
        <v>No dated delivery evidence identified.</v>
      </c>
    </row>
    <row r="430" ht="90" customHeight="1">
      <c r="A430" s="3" t="str">
        <v>GT-2026-024-D02</v>
      </c>
      <c r="B430" s="3" t="str">
        <v>GT-2026-024</v>
      </c>
      <c r="C430" s="3" t="str">
        <v>6 - Os representantes das entidades referidas no n.º 4 são designados no prazo de 10 dias a contar d</v>
      </c>
      <c r="D430" s="3" t="str">
        <v>Appointments / planning</v>
      </c>
      <c r="E430" s="3" t="str">
        <v>6 - Os representantes das entidades referidas no n.º 4 são designados no prazo de 10 dias a contar da data da entrada em vigor do presente despacho.</v>
      </c>
      <c r="F430" s="3" t="str">
        <v>Entry into force 2026-08-11</v>
      </c>
      <c r="G430" s="20" t="d">
        <v>2026-08-21T00:00:00.000Z</v>
      </c>
      <c r="H430" s="20" t="d">
        <v>2026-08-25T00:00:00.000Z</v>
      </c>
      <c r="I430" s="3" t="str">
        <v>2026-08-11 + 10 calendar days (monitoring convention). If CPA procedural counting applies: 2026-08-25.</v>
      </c>
      <c r="J430" s="3" t="str">
        <v>https://diariodarepublica.pt/dr/detalhe/despacho/9999-2026-1155101848</v>
      </c>
      <c r="K430" s="3" t="str">
        <v>No dated delivery evidence identified.</v>
      </c>
    </row>
    <row r="431" ht="90" customHeight="1">
      <c r="A431" s="3" t="str">
        <v>GT-2026-024-D03</v>
      </c>
      <c r="B431" s="3" t="str">
        <v>GT-2026-024</v>
      </c>
      <c r="C431" s="3" t="str">
        <v>7 - O grupo de trabalho apresenta, no prazo de 90 dias, um relatório final contendo o diagnóstico ef</v>
      </c>
      <c r="D431" s="3" t="str">
        <v>Deliverable / duration</v>
      </c>
      <c r="E431" s="3" t="str">
        <v>7 - O grupo de trabalho apresenta, no prazo de 90 dias, um relatório final contendo o diagnóstico efetuado e a formulação de recomendações, de acordo com o previsto no n.º 2.</v>
      </c>
      <c r="F431" s="3" t="str"/>
      <c r="G431" s="20"/>
      <c r="H431" s="20"/>
      <c r="I431" s="3" t="str">
        <v>90 dias after trigger: anchor not expressly specified; exact date cannot be verified.</v>
      </c>
      <c r="J431" s="3" t="str">
        <v>https://diariodarepublica.pt/dr/detalhe/despacho/9999-2026-1155101848</v>
      </c>
      <c r="K431" s="3" t="str">
        <v>No dated delivery evidence identified.</v>
      </c>
    </row>
    <row r="432" ht="90" customHeight="1">
      <c r="A432" s="3" t="str">
        <v>GT-2026-024-D04</v>
      </c>
      <c r="B432" s="3" t="str">
        <v>GT-2026-024</v>
      </c>
      <c r="C432" s="3" t="str">
        <v>Final report / last specified substantive output</v>
      </c>
      <c r="D432" s="3" t="str">
        <v>Status benchmark</v>
      </c>
      <c r="E432" s="3" t="str"/>
      <c r="F432" s="3" t="str"/>
      <c r="G432" s="20" t="d">
        <v>2026-11-09T00:00:00.000Z</v>
      </c>
      <c r="H432" s="20" t="d">
        <v>2026-12-18T00:00:00.000Z</v>
      </c>
      <c r="I432" s="3" t="str">
        <v>effective 2026-08-11 + 90 calendar days; plain “dias” benchmark. Alternative working-day date: 2026-12-18.</v>
      </c>
      <c r="J432" s="3" t="str">
        <v>https://diariodarepublica.pt/dr/detalhe/despacho/9999-2026-1155101848</v>
      </c>
      <c r="K432" s="3" t="str">
        <v>Em curso – dentro do prazo — Current controlling deadline has not passed; delivery not independently verified.</v>
      </c>
    </row>
    <row r="433" ht="90" customHeight="1">
      <c r="A433" s="3" t="str">
        <v>GT-2026-025-D01</v>
      </c>
      <c r="B433" s="3" t="str">
        <v>GT-2026-025</v>
      </c>
      <c r="C433" s="3" t="str">
        <v>7 - O Grupo de Trabalho tem natureza temporária e deve apresentar o seu relatório final no prazo de </v>
      </c>
      <c r="D433" s="3" t="str">
        <v>Deliverable / duration</v>
      </c>
      <c r="E433" s="3" t="str">
        <v>7 - O Grupo de Trabalho tem natureza temporária e deve apresentar o seu relatório final no prazo de seis meses a contar da data da publicação do presente despacho, cessando o seu mandato nessa data.</v>
      </c>
      <c r="F433" s="3" t="str">
        <v>Publication 2026-08-13</v>
      </c>
      <c r="G433" s="20" t="d">
        <v>2027-02-13T00:00:00.000Z</v>
      </c>
      <c r="H433" s="20"/>
      <c r="I433" s="3" t="str">
        <v>2026-08-13 + 6 meses by calendar anniversary, end-of-month capped if necessary.</v>
      </c>
      <c r="J433" s="3" t="str">
        <v>https://diariodarepublica.pt/dr/detalhe/despacho/10174-2026-1156689146</v>
      </c>
      <c r="K433" s="3" t="str">
        <v>No dated delivery evidence identified.</v>
      </c>
    </row>
    <row r="434" ht="90" customHeight="1">
      <c r="A434" s="3" t="str">
        <v>GT-2026-025-D02</v>
      </c>
      <c r="B434" s="3" t="str">
        <v>GT-2026-025</v>
      </c>
      <c r="C434" s="3" t="str">
        <v>Final report / last specified substantive output</v>
      </c>
      <c r="D434" s="3" t="str">
        <v>Status benchmark</v>
      </c>
      <c r="E434" s="3" t="str"/>
      <c r="F434" s="3" t="str"/>
      <c r="G434" s="20" t="d">
        <v>2027-02-13T00:00:00.000Z</v>
      </c>
      <c r="H434" s="20"/>
      <c r="I434" s="3" t="str">
        <v>published 2026-08-13 + 6 calendar months (anniversary rule).</v>
      </c>
      <c r="J434" s="3" t="str">
        <v>https://diariodarepublica.pt/dr/detalhe/despacho/10174-2026-1156689146</v>
      </c>
      <c r="K434" s="3" t="str">
        <v>Em curso – dentro do prazo — Current controlling deadline has not passed; delivery not independently verified.</v>
      </c>
    </row>
    <row r="435" ht="90" customHeight="1">
      <c r="A435" s="3" t="str">
        <v>GT-2026-026-D01</v>
      </c>
      <c r="B435" s="3" t="str">
        <v>GT-2026-026</v>
      </c>
      <c r="C435" s="3" t="str">
        <v>8 - Os membros do Grupo de Trabalho são designados no prazo de 10 dias consecutivos a contar da data</v>
      </c>
      <c r="D435" s="3" t="str">
        <v>Appointments / planning</v>
      </c>
      <c r="E435" s="3" t="str">
        <v>8 - Os membros do Grupo de Trabalho são designados no prazo de 10 dias consecutivos a contar da data de publicação do presente despacho, mediante comunicação à Comissão para a Cidadania e a Igualdade de Género (CIG), enquanto entidade coordenadora.</v>
      </c>
      <c r="F435" s="3" t="str">
        <v>Publication 2026-09-09</v>
      </c>
      <c r="G435" s="20" t="d">
        <v>2026-09-19T00:00:00.000Z</v>
      </c>
      <c r="H435" s="20"/>
      <c r="I435" s="3" t="str">
        <v>2026-09-09 + 10 calendar days (monitoring convention).</v>
      </c>
      <c r="J435" s="3" t="str">
        <v>https://diariodarepublica.pt/dr/detalhe/despacho/11130-2026-1168075404</v>
      </c>
      <c r="K435" s="3" t="str">
        <v>No dated delivery evidence identified.</v>
      </c>
    </row>
    <row r="436" ht="90" customHeight="1">
      <c r="A436" s="3" t="str">
        <v>GT-2026-026-D02</v>
      </c>
      <c r="B436" s="3" t="str">
        <v>GT-2026-026</v>
      </c>
      <c r="C436" s="3" t="str">
        <v>9 - O Grupo de Trabalho tem natureza temporária, com duração de 182 dias a contar da data de publica</v>
      </c>
      <c r="D436" s="3" t="str">
        <v>Deliverable / duration</v>
      </c>
      <c r="E436" s="3" t="str">
        <v>9 - O Grupo de Trabalho tem natureza temporária, com duração de 182 dias a contar da data de publicação do presente despacho.</v>
      </c>
      <c r="F436" s="3" t="str">
        <v>Publication 2026-09-09</v>
      </c>
      <c r="G436" s="20" t="d">
        <v>2027-03-10T00:00:00.000Z</v>
      </c>
      <c r="H436" s="20"/>
      <c r="I436" s="3" t="str">
        <v>2026-09-09 + 182 calendar days (monitoring convention).</v>
      </c>
      <c r="J436" s="3" t="str">
        <v>https://diariodarepublica.pt/dr/detalhe/despacho/11130-2026-1168075404</v>
      </c>
      <c r="K436" s="3" t="str">
        <v>No dated delivery evidence identified.</v>
      </c>
    </row>
    <row r="437" ht="90" customHeight="1">
      <c r="A437" s="3" t="str">
        <v>GT-2026-026-D03</v>
      </c>
      <c r="B437" s="3" t="str">
        <v>GT-2026-026</v>
      </c>
      <c r="C437" s="3" t="str">
        <v>Final report / last specified substantive output</v>
      </c>
      <c r="D437" s="3" t="str">
        <v>Status benchmark</v>
      </c>
      <c r="E437" s="3" t="str"/>
      <c r="F437" s="3" t="str"/>
      <c r="G437" s="20" t="d">
        <v>2027-03-10T00:00:00.000Z</v>
      </c>
      <c r="H437" s="20"/>
      <c r="I437" s="3" t="str">
        <v>published 2026-09-09 + 182 calendar days; plain “dias” benchmark. Alternative working-day date: not applied (&gt;180 days).</v>
      </c>
      <c r="J437" s="3" t="str">
        <v>https://diariodarepublica.pt/dr/detalhe/despacho/11130-2026-1168075404</v>
      </c>
      <c r="K437" s="3" t="str">
        <v>Em curso – dentro do prazo — Current controlling deadline has not passed; delivery not independently verified.</v>
      </c>
    </row>
    <row r="438" ht="90" customHeight="1">
      <c r="A438" s="3" t="str">
        <v>GT-2026-027-D01</v>
      </c>
      <c r="B438" s="3" t="str">
        <v>GT-2026-027</v>
      </c>
      <c r="C438" s="3" t="str">
        <v>4 - As entidades referidas no número anterior indicam os respetivos representantes ao Gabinete do Mi</v>
      </c>
      <c r="D438" s="3" t="str">
        <v>Appointments / planning</v>
      </c>
      <c r="E438" s="3" t="str">
        <v>4 - As entidades referidas no número anterior indicam os respetivos representantes ao Gabinete do Ministro das Infraestruturas e Habitação, no prazo de cinco dias úteis após a publicação do presente despacho.</v>
      </c>
      <c r="F438" s="3" t="str">
        <v>Publication 2026-09-18</v>
      </c>
      <c r="G438" s="20" t="d">
        <v>2026-09-25T00:00:00.000Z</v>
      </c>
      <c r="H438" s="20"/>
      <c r="I438" s="3" t="str">
        <v>2026-09-18 + 5 working days; anchor excluded, weekends and national statutory holidays excluded.</v>
      </c>
      <c r="J438" s="3" t="str">
        <v>https://diariodarepublica.pt/dr/detalhe/despacho/11488-2026-1171481959</v>
      </c>
      <c r="K438" s="3" t="str">
        <v>No dated delivery evidence identified.</v>
      </c>
    </row>
    <row r="439" ht="90" customHeight="1">
      <c r="A439" s="3" t="str">
        <v>GT-2026-027-D02</v>
      </c>
      <c r="B439" s="3" t="str">
        <v>GT-2026-027</v>
      </c>
      <c r="C439" s="3" t="str">
        <v>7 - O Grupo de Trabalho reúne com a periodicidade adequada ao cumprimento do disposto no n.º 10 e po</v>
      </c>
      <c r="D439" s="3" t="str">
        <v>Periodic / conditional</v>
      </c>
      <c r="E439" s="3" t="str">
        <v>7 - O Grupo de Trabalho reúne com a periodicidade adequada ao cumprimento do disposto no n.º 10 e pode solicitar contributos técnicos a especialistas ou outras entidades relevantes para a prossecução dos seus trabalhos.</v>
      </c>
      <c r="F439" s="3" t="str"/>
      <c r="G439" s="20"/>
      <c r="H439" s="20"/>
      <c r="I439" s="3" t="str">
        <v>No uniquely dated deadline derivable from this clause; cadence or trigger is preserved.</v>
      </c>
      <c r="J439" s="3" t="str">
        <v>https://diariodarepublica.pt/dr/detalhe/despacho/11488-2026-1171481959</v>
      </c>
      <c r="K439" s="3" t="str">
        <v>No dated delivery evidence identified.</v>
      </c>
    </row>
    <row r="440" ht="90" customHeight="1">
      <c r="A440" s="3" t="str">
        <v>GT-2026-027-D03</v>
      </c>
      <c r="B440" s="3" t="str">
        <v>GT-2026-027</v>
      </c>
      <c r="C440" s="3" t="str">
        <v>10 - O Grupo de Trabalho entrega, no prazo de quatro meses após a publicação do presente despacho, u</v>
      </c>
      <c r="D440" s="3" t="str">
        <v>Deliverable / duration</v>
      </c>
      <c r="E440" s="3" t="str">
        <v>10 - O Grupo de Trabalho entrega, no prazo de quatro meses após a publicação do presente despacho, um relatório contendo o diagnóstico da pontualidade ferroviária e as respetivas propostas de melhoria, incluindo um plano de ação com identificação de medidas, responsáveis, prazos e indicadores de acompanhamento.</v>
      </c>
      <c r="F440" s="3" t="str">
        <v>Publication 2026-09-18</v>
      </c>
      <c r="G440" s="20" t="d">
        <v>2027-01-18T00:00:00.000Z</v>
      </c>
      <c r="H440" s="20"/>
      <c r="I440" s="3" t="str">
        <v>2026-09-18 + 4 meses by calendar anniversary, end-of-month capped if necessary.</v>
      </c>
      <c r="J440" s="3" t="str">
        <v>https://diariodarepublica.pt/dr/detalhe/despacho/11488-2026-1171481959</v>
      </c>
      <c r="K440" s="3" t="str">
        <v>No dated delivery evidence identified.</v>
      </c>
    </row>
    <row r="441" ht="90" customHeight="1">
      <c r="A441" s="3" t="str">
        <v>GT-2026-027-D04</v>
      </c>
      <c r="B441" s="3" t="str">
        <v>GT-2026-027</v>
      </c>
      <c r="C441" s="3" t="str">
        <v>Final report / last specified substantive output</v>
      </c>
      <c r="D441" s="3" t="str">
        <v>Status benchmark</v>
      </c>
      <c r="E441" s="3" t="str"/>
      <c r="F441" s="3" t="str"/>
      <c r="G441" s="20" t="d">
        <v>2027-01-18T00:00:00.000Z</v>
      </c>
      <c r="H441" s="20"/>
      <c r="I441" s="3" t="str">
        <v>published 2026-09-18 + 4 calendar months (anniversary rule).</v>
      </c>
      <c r="J441" s="3" t="str">
        <v>https://diariodarepublica.pt/dr/detalhe/despacho/11488-2026-1171481959</v>
      </c>
      <c r="K441" s="3" t="str">
        <v>Em curso – dentro do prazo — Current controlling deadline has not passed; delivery not independently verified.</v>
      </c>
    </row>
    <row r="442" ht="90" customHeight="1">
      <c r="A442" s="3" t="str">
        <v>GT-2026-028-D01</v>
      </c>
      <c r="B442" s="3" t="str">
        <v>GT-2026-028</v>
      </c>
      <c r="C442" s="3" t="str">
        <v>4 - Os representantes referidos no número anterior são designados no prazo de 10 dias, a contar da d</v>
      </c>
      <c r="D442" s="3" t="str">
        <v>Appointments / planning</v>
      </c>
      <c r="E442" s="3" t="str">
        <v>4 - Os representantes referidos no número anterior são designados no prazo de 10 dias, a contar da data da publicação do presente despacho, mediante comunicação ao GSEAI e ao DSP.</v>
      </c>
      <c r="F442" s="3" t="str">
        <v>Publication 2026-09-23</v>
      </c>
      <c r="G442" s="20" t="d">
        <v>2026-10-03T00:00:00.000Z</v>
      </c>
      <c r="H442" s="20" t="d">
        <v>2026-10-08T00:00:00.000Z</v>
      </c>
      <c r="I442" s="3" t="str">
        <v>2026-09-23 + 10 calendar days (monitoring convention). If CPA procedural counting applies: 2026-10-08.</v>
      </c>
      <c r="J442" s="3" t="str">
        <v>https://diariodarepublica.pt/dr/detalhe/despacho/11672-2026-1172867984</v>
      </c>
      <c r="K442" s="3" t="str">
        <v>No dated delivery evidence identified.</v>
      </c>
    </row>
    <row r="443" ht="90" customHeight="1">
      <c r="A443" s="3" t="str">
        <v>GT-2026-028-D02</v>
      </c>
      <c r="B443" s="3" t="str">
        <v>GT-2026-028</v>
      </c>
      <c r="C443" s="3" t="str">
        <v>7 - Para efeitos do número anterior, o grupo de trabalho reúne trimestralmente com o CSP, desde o in</v>
      </c>
      <c r="D443" s="3" t="str">
        <v>Periodic / conditional</v>
      </c>
      <c r="E443" s="3" t="str">
        <v>7 - Para efeitos do número anterior, o grupo de trabalho reúne trimestralmente com o CSP, desde o início das respetivas funções, para prestar informação sobre o estado de desenvolvimento dos trabalhos.</v>
      </c>
      <c r="F443" s="3" t="str"/>
      <c r="G443" s="20"/>
      <c r="H443" s="20"/>
      <c r="I443" s="3" t="str">
        <v>No uniquely dated deadline derivable from this clause; cadence or trigger is preserved.</v>
      </c>
      <c r="J443" s="3" t="str">
        <v>https://diariodarepublica.pt/dr/detalhe/despacho/11672-2026-1172867984</v>
      </c>
      <c r="K443" s="3" t="str">
        <v>No dated delivery evidence identified.</v>
      </c>
    </row>
    <row r="444" ht="90" customHeight="1">
      <c r="A444" s="3" t="str">
        <v>GT-2026-028-D03</v>
      </c>
      <c r="B444" s="3" t="str">
        <v>GT-2026-028</v>
      </c>
      <c r="C444" s="3" t="str">
        <v>9 - O grupo de trabalho inicia funções 10 dias após a publicação do presente despacho e reúne, pelo </v>
      </c>
      <c r="D444" s="3" t="str">
        <v>Periodic / conditional</v>
      </c>
      <c r="E444" s="3" t="str">
        <v>9 - O grupo de trabalho inicia funções 10 dias após a publicação do presente despacho e reúne, pelo menos, com periodicidade mensal, devendo as respetivas conclusões ser vertidas em memorando sumário, disponibilizado a todos os membros.</v>
      </c>
      <c r="F444" s="3" t="str">
        <v>Publication 2026-09-23</v>
      </c>
      <c r="G444" s="20" t="d">
        <v>2026-10-03T00:00:00.000Z</v>
      </c>
      <c r="H444" s="20" t="d">
        <v>2026-10-08T00:00:00.000Z</v>
      </c>
      <c r="I444" s="3" t="str">
        <v>2026-09-23 + 10 calendar days (monitoring convention). If CPA procedural counting applies: 2026-10-08.</v>
      </c>
      <c r="J444" s="3" t="str">
        <v>https://diariodarepublica.pt/dr/detalhe/despacho/11672-2026-1172867984</v>
      </c>
      <c r="K444" s="3" t="str">
        <v>No dated delivery evidence identified.</v>
      </c>
    </row>
    <row r="445" ht="90" customHeight="1">
      <c r="A445" s="3" t="str">
        <v>GT-2026-028-D04</v>
      </c>
      <c r="B445" s="3" t="str">
        <v>GT-2026-028</v>
      </c>
      <c r="C445" s="3" t="str">
        <v>10 - O grupo de trabalho dispõe de um prazo de seis meses, contado da data referida no número anteri</v>
      </c>
      <c r="D445" s="3" t="str">
        <v>Deliverable / duration</v>
      </c>
      <c r="E445" s="3" t="str">
        <v>10 - O grupo de trabalho dispõe de um prazo de seis meses, contado da data referida no número anterior, para apresentar ao Secretário de Estado da Administração Interna uma proposta de alteração legislativa.</v>
      </c>
      <c r="F445" s="3" t="str"/>
      <c r="G445" s="20"/>
      <c r="H445" s="20"/>
      <c r="I445" s="3" t="str">
        <v>6 meses after trigger: anchor not expressly specified; exact date cannot be verified.</v>
      </c>
      <c r="J445" s="3" t="str">
        <v>https://diariodarepublica.pt/dr/detalhe/despacho/11672-2026-1172867984</v>
      </c>
      <c r="K445" s="3" t="str">
        <v>No dated delivery evidence identified.</v>
      </c>
    </row>
    <row r="446" ht="90" customHeight="1">
      <c r="A446" s="3" t="str">
        <v>GT-2026-028-D05</v>
      </c>
      <c r="B446" s="3" t="str">
        <v>GT-2026-028</v>
      </c>
      <c r="C446" s="3" t="str">
        <v>Final report / last specified substantive output</v>
      </c>
      <c r="D446" s="3" t="str">
        <v>Status benchmark</v>
      </c>
      <c r="E446" s="3" t="str"/>
      <c r="F446" s="3" t="str"/>
      <c r="G446" s="20" t="d">
        <v>2027-04-03T00:00:00.000Z</v>
      </c>
      <c r="H446" s="20"/>
      <c r="I446" s="3" t="str">
        <v>Work starts 10 days after publication 2026-09-23 → 2026-10-03; six-month mandate → 2027-04-03 (calendar benchmark).</v>
      </c>
      <c r="J446" s="3" t="str">
        <v>https://diariodarepublica.pt/dr/detalhe/despacho/11672-2026-1172867984</v>
      </c>
      <c r="K446" s="3" t="str">
        <v>Em curso – dentro do prazo — Current controlling deadline has not passed; delivery not independently verified.</v>
      </c>
    </row>
  </sheetData>
  <hyperlinks>
    <hyperlink ref="J6" r:id="nativeLink1"/>
    <hyperlink ref="J7" r:id="nativeLink2"/>
    <hyperlink ref="J8" r:id="nativeLink3"/>
    <hyperlink ref="J9" r:id="nativeLink4"/>
    <hyperlink ref="J10" r:id="nativeLink5"/>
    <hyperlink ref="J11" r:id="nativeLink6"/>
    <hyperlink ref="J12" r:id="nativeLink7"/>
    <hyperlink ref="J13" r:id="nativeLink8"/>
    <hyperlink ref="J14" r:id="nativeLink9"/>
    <hyperlink ref="J15" r:id="nativeLink10"/>
    <hyperlink ref="J16" r:id="nativeLink11"/>
    <hyperlink ref="J17" r:id="nativeLink12"/>
    <hyperlink ref="J18" r:id="nativeLink13"/>
    <hyperlink ref="J19" r:id="nativeLink14"/>
    <hyperlink ref="J20" r:id="nativeLink15"/>
    <hyperlink ref="J21" r:id="nativeLink16"/>
    <hyperlink ref="J22" r:id="nativeLink17"/>
    <hyperlink ref="J23" r:id="nativeLink18"/>
    <hyperlink ref="J24" r:id="nativeLink19"/>
    <hyperlink ref="J25" r:id="nativeLink20"/>
    <hyperlink ref="J26" r:id="nativeLink21"/>
    <hyperlink ref="J27" r:id="nativeLink22"/>
    <hyperlink ref="J28" r:id="nativeLink23"/>
    <hyperlink ref="J29" r:id="nativeLink24"/>
    <hyperlink ref="J30" r:id="nativeLink25"/>
    <hyperlink ref="J31" r:id="nativeLink26"/>
    <hyperlink ref="J32" r:id="nativeLink27"/>
    <hyperlink ref="J33" r:id="nativeLink28"/>
    <hyperlink ref="J34" r:id="nativeLink29"/>
    <hyperlink ref="J35" r:id="nativeLink30"/>
    <hyperlink ref="J36" r:id="nativeLink31"/>
    <hyperlink ref="J37" r:id="nativeLink32"/>
    <hyperlink ref="J38" r:id="nativeLink33"/>
    <hyperlink ref="J39" r:id="nativeLink34"/>
    <hyperlink ref="J40" r:id="nativeLink35"/>
    <hyperlink ref="J41" r:id="nativeLink36"/>
    <hyperlink ref="J42" r:id="nativeLink37"/>
    <hyperlink ref="J43" r:id="nativeLink38"/>
    <hyperlink ref="J44" r:id="nativeLink39"/>
    <hyperlink ref="J45" r:id="nativeLink40"/>
    <hyperlink ref="J46" r:id="nativeLink41"/>
    <hyperlink ref="J47" r:id="nativeLink42"/>
    <hyperlink ref="J48" r:id="nativeLink43"/>
    <hyperlink ref="J49" r:id="nativeLink44"/>
    <hyperlink ref="J50" r:id="nativeLink45"/>
    <hyperlink ref="J51" r:id="nativeLink46"/>
    <hyperlink ref="J52" r:id="nativeLink47"/>
    <hyperlink ref="J53" r:id="nativeLink48"/>
    <hyperlink ref="J54" r:id="nativeLink49"/>
    <hyperlink ref="J55" r:id="nativeLink50"/>
    <hyperlink ref="J56" r:id="nativeLink51"/>
    <hyperlink ref="J57" r:id="nativeLink52"/>
    <hyperlink ref="J58" r:id="nativeLink53"/>
    <hyperlink ref="J59" r:id="nativeLink54"/>
    <hyperlink ref="J60" r:id="nativeLink55"/>
    <hyperlink ref="J61" r:id="nativeLink56"/>
    <hyperlink ref="J62" r:id="nativeLink57"/>
    <hyperlink ref="J63" r:id="nativeLink58"/>
    <hyperlink ref="J64" r:id="nativeLink59"/>
    <hyperlink ref="J65" r:id="nativeLink60"/>
    <hyperlink ref="J66" r:id="nativeLink61"/>
    <hyperlink ref="J67" r:id="nativeLink62"/>
    <hyperlink ref="J68" r:id="nativeLink63"/>
    <hyperlink ref="J69" r:id="nativeLink64"/>
    <hyperlink ref="J70" r:id="nativeLink65"/>
    <hyperlink ref="J71" r:id="nativeLink66"/>
    <hyperlink ref="J72" r:id="nativeLink67"/>
    <hyperlink ref="J73" r:id="nativeLink68"/>
    <hyperlink ref="J74" r:id="nativeLink69"/>
    <hyperlink ref="J75" r:id="nativeLink70"/>
    <hyperlink ref="J76" r:id="nativeLink71"/>
    <hyperlink ref="J77" r:id="nativeLink72"/>
    <hyperlink ref="J78" r:id="nativeLink73"/>
    <hyperlink ref="J79" r:id="nativeLink74"/>
    <hyperlink ref="J80" r:id="nativeLink75"/>
    <hyperlink ref="J81" r:id="nativeLink76"/>
    <hyperlink ref="J82" r:id="nativeLink77"/>
    <hyperlink ref="J83" r:id="nativeLink78"/>
    <hyperlink ref="J84" r:id="nativeLink79"/>
    <hyperlink ref="J85" r:id="nativeLink80"/>
    <hyperlink ref="J86" r:id="nativeLink81"/>
    <hyperlink ref="J87" r:id="nativeLink82"/>
    <hyperlink ref="J88" r:id="nativeLink83"/>
    <hyperlink ref="J89" r:id="nativeLink84"/>
    <hyperlink ref="J90" r:id="nativeLink85"/>
    <hyperlink ref="J91" r:id="nativeLink86"/>
    <hyperlink ref="J92" r:id="nativeLink87"/>
    <hyperlink ref="J93" r:id="nativeLink88"/>
    <hyperlink ref="J94" r:id="nativeLink89"/>
    <hyperlink ref="J95" r:id="nativeLink90"/>
    <hyperlink ref="J96" r:id="nativeLink91"/>
    <hyperlink ref="J97" r:id="nativeLink92"/>
    <hyperlink ref="J98" r:id="nativeLink93"/>
    <hyperlink ref="J99" r:id="nativeLink94"/>
    <hyperlink ref="J100" r:id="nativeLink95"/>
    <hyperlink ref="J101" r:id="nativeLink96"/>
    <hyperlink ref="J102" r:id="nativeLink97"/>
    <hyperlink ref="J103" r:id="nativeLink98"/>
    <hyperlink ref="J104" r:id="nativeLink99"/>
    <hyperlink ref="J105" r:id="nativeLink100"/>
    <hyperlink ref="J106" r:id="nativeLink101"/>
    <hyperlink ref="J107" r:id="nativeLink102"/>
    <hyperlink ref="J108" r:id="nativeLink103"/>
    <hyperlink ref="J109" r:id="nativeLink104"/>
    <hyperlink ref="J110" r:id="nativeLink105"/>
    <hyperlink ref="J111" r:id="nativeLink106"/>
    <hyperlink ref="J112" r:id="nativeLink107"/>
    <hyperlink ref="J113" r:id="nativeLink108"/>
    <hyperlink ref="J114" r:id="nativeLink109"/>
    <hyperlink ref="J115" r:id="nativeLink110"/>
    <hyperlink ref="J116" r:id="nativeLink111"/>
    <hyperlink ref="J117" r:id="nativeLink112"/>
    <hyperlink ref="J118" r:id="nativeLink113"/>
    <hyperlink ref="J119" r:id="nativeLink114"/>
    <hyperlink ref="J120" r:id="nativeLink115"/>
    <hyperlink ref="J121" r:id="nativeLink116"/>
    <hyperlink ref="J122" r:id="nativeLink117"/>
    <hyperlink ref="J123" r:id="nativeLink118"/>
    <hyperlink ref="J124" r:id="nativeLink119"/>
    <hyperlink ref="J125" r:id="nativeLink120"/>
    <hyperlink ref="J126" r:id="nativeLink121"/>
    <hyperlink ref="J127" r:id="nativeLink122"/>
    <hyperlink ref="J128" r:id="nativeLink123"/>
    <hyperlink ref="J129" r:id="nativeLink124"/>
    <hyperlink ref="J130" r:id="nativeLink125"/>
    <hyperlink ref="J131" r:id="nativeLink126"/>
    <hyperlink ref="J132" r:id="nativeLink127"/>
    <hyperlink ref="J133" r:id="nativeLink128"/>
    <hyperlink ref="J134" r:id="nativeLink129"/>
    <hyperlink ref="J135" r:id="nativeLink130"/>
    <hyperlink ref="J136" r:id="nativeLink131"/>
    <hyperlink ref="J137" r:id="nativeLink132"/>
    <hyperlink ref="J138" r:id="nativeLink133"/>
    <hyperlink ref="J139" r:id="nativeLink134"/>
    <hyperlink ref="J140" r:id="nativeLink135"/>
    <hyperlink ref="J141" r:id="nativeLink136"/>
    <hyperlink ref="J142" r:id="nativeLink137"/>
    <hyperlink ref="J143" r:id="nativeLink138"/>
    <hyperlink ref="J144" r:id="nativeLink139"/>
    <hyperlink ref="J145" r:id="nativeLink140"/>
    <hyperlink ref="J146" r:id="nativeLink141"/>
    <hyperlink ref="J147" r:id="nativeLink142"/>
    <hyperlink ref="J148" r:id="nativeLink143"/>
    <hyperlink ref="J149" r:id="nativeLink144"/>
    <hyperlink ref="J150" r:id="nativeLink145"/>
    <hyperlink ref="J151" r:id="nativeLink146"/>
    <hyperlink ref="J152" r:id="nativeLink147"/>
    <hyperlink ref="J153" r:id="nativeLink148"/>
    <hyperlink ref="J154" r:id="nativeLink149"/>
    <hyperlink ref="J155" r:id="nativeLink150"/>
    <hyperlink ref="J156" r:id="nativeLink151"/>
    <hyperlink ref="J157" r:id="nativeLink152"/>
    <hyperlink ref="J158" r:id="nativeLink153"/>
    <hyperlink ref="J159" r:id="nativeLink154"/>
    <hyperlink ref="J160" r:id="nativeLink155"/>
    <hyperlink ref="J161" r:id="nativeLink156"/>
    <hyperlink ref="J162" r:id="nativeLink157"/>
    <hyperlink ref="J163" r:id="nativeLink158"/>
    <hyperlink ref="J164" r:id="nativeLink159"/>
    <hyperlink ref="J165" r:id="nativeLink160"/>
    <hyperlink ref="J166" r:id="nativeLink161"/>
    <hyperlink ref="J167" r:id="nativeLink162"/>
    <hyperlink ref="J168" r:id="nativeLink163"/>
    <hyperlink ref="J169" r:id="nativeLink164"/>
    <hyperlink ref="J170" r:id="nativeLink165"/>
    <hyperlink ref="J171" r:id="nativeLink166"/>
    <hyperlink ref="J172" r:id="nativeLink167"/>
    <hyperlink ref="J173" r:id="nativeLink168"/>
    <hyperlink ref="J174" r:id="nativeLink169"/>
    <hyperlink ref="J175" r:id="nativeLink170"/>
    <hyperlink ref="J176" r:id="nativeLink171"/>
    <hyperlink ref="J177" r:id="nativeLink172"/>
    <hyperlink ref="J178" r:id="nativeLink173"/>
    <hyperlink ref="J179" r:id="nativeLink174"/>
    <hyperlink ref="J180" r:id="nativeLink175"/>
    <hyperlink ref="J181" r:id="nativeLink176"/>
    <hyperlink ref="J182" r:id="nativeLink177"/>
    <hyperlink ref="J183" r:id="nativeLink178"/>
    <hyperlink ref="J184" r:id="nativeLink179"/>
    <hyperlink ref="J185" r:id="nativeLink180"/>
    <hyperlink ref="J186" r:id="nativeLink181"/>
    <hyperlink ref="J187" r:id="nativeLink182"/>
    <hyperlink ref="J188" r:id="nativeLink183"/>
    <hyperlink ref="J189" r:id="nativeLink184"/>
    <hyperlink ref="J190" r:id="nativeLink185"/>
    <hyperlink ref="J191" r:id="nativeLink186"/>
    <hyperlink ref="J192" r:id="nativeLink187"/>
    <hyperlink ref="J193" r:id="nativeLink188"/>
    <hyperlink ref="J194" r:id="nativeLink189"/>
    <hyperlink ref="J195" r:id="nativeLink190"/>
    <hyperlink ref="J196" r:id="nativeLink191"/>
    <hyperlink ref="J197" r:id="nativeLink192"/>
    <hyperlink ref="J198" r:id="nativeLink193"/>
    <hyperlink ref="J199" r:id="nativeLink194"/>
    <hyperlink ref="J200" r:id="nativeLink195"/>
    <hyperlink ref="J201" r:id="nativeLink196"/>
    <hyperlink ref="J202" r:id="nativeLink197"/>
    <hyperlink ref="J203" r:id="nativeLink198"/>
    <hyperlink ref="J204" r:id="nativeLink199"/>
    <hyperlink ref="J205" r:id="nativeLink200"/>
    <hyperlink ref="J206" r:id="nativeLink201"/>
    <hyperlink ref="J207" r:id="nativeLink202"/>
    <hyperlink ref="J208" r:id="nativeLink203"/>
    <hyperlink ref="J209" r:id="nativeLink204"/>
    <hyperlink ref="J210" r:id="nativeLink205"/>
    <hyperlink ref="J211" r:id="nativeLink206"/>
    <hyperlink ref="J212" r:id="nativeLink207"/>
    <hyperlink ref="J213" r:id="nativeLink208"/>
    <hyperlink ref="J214" r:id="nativeLink209"/>
    <hyperlink ref="J215" r:id="nativeLink210"/>
    <hyperlink ref="J216" r:id="nativeLink211"/>
    <hyperlink ref="J217" r:id="nativeLink212"/>
    <hyperlink ref="J218" r:id="nativeLink213"/>
    <hyperlink ref="J219" r:id="nativeLink214"/>
    <hyperlink ref="J220" r:id="nativeLink215"/>
    <hyperlink ref="J221" r:id="nativeLink216"/>
    <hyperlink ref="J222" r:id="nativeLink217"/>
    <hyperlink ref="J223" r:id="nativeLink218"/>
    <hyperlink ref="J224" r:id="nativeLink219"/>
    <hyperlink ref="J225" r:id="nativeLink220"/>
    <hyperlink ref="J226" r:id="nativeLink221"/>
    <hyperlink ref="J227" r:id="nativeLink222"/>
    <hyperlink ref="J228" r:id="nativeLink223"/>
    <hyperlink ref="J229" r:id="nativeLink224"/>
    <hyperlink ref="J230" r:id="nativeLink225"/>
    <hyperlink ref="J231" r:id="nativeLink226"/>
    <hyperlink ref="J232" r:id="nativeLink227"/>
    <hyperlink ref="J233" r:id="nativeLink228"/>
    <hyperlink ref="J234" r:id="nativeLink229"/>
    <hyperlink ref="J235" r:id="nativeLink230"/>
    <hyperlink ref="J236" r:id="nativeLink231"/>
    <hyperlink ref="J237" r:id="nativeLink232"/>
    <hyperlink ref="J238" r:id="nativeLink233"/>
    <hyperlink ref="J239" r:id="nativeLink234"/>
    <hyperlink ref="J240" r:id="nativeLink235"/>
    <hyperlink ref="J241" r:id="nativeLink236"/>
    <hyperlink ref="J242" r:id="nativeLink237"/>
    <hyperlink ref="J243" r:id="nativeLink238"/>
    <hyperlink ref="J244" r:id="nativeLink239"/>
    <hyperlink ref="J245" r:id="nativeLink240"/>
    <hyperlink ref="J246" r:id="nativeLink241"/>
    <hyperlink ref="J247" r:id="nativeLink242"/>
    <hyperlink ref="J248" r:id="nativeLink243"/>
    <hyperlink ref="J249" r:id="nativeLink244"/>
    <hyperlink ref="J250" r:id="nativeLink245"/>
    <hyperlink ref="J251" r:id="nativeLink246"/>
    <hyperlink ref="J252" r:id="nativeLink247"/>
    <hyperlink ref="J253" r:id="nativeLink248"/>
    <hyperlink ref="J254" r:id="nativeLink249"/>
    <hyperlink ref="J255" r:id="nativeLink250"/>
    <hyperlink ref="J256" r:id="nativeLink251"/>
    <hyperlink ref="J257" r:id="nativeLink252"/>
    <hyperlink ref="J258" r:id="nativeLink253"/>
    <hyperlink ref="J259" r:id="nativeLink254"/>
    <hyperlink ref="J260" r:id="nativeLink255"/>
    <hyperlink ref="J261" r:id="nativeLink256"/>
    <hyperlink ref="J262" r:id="nativeLink257"/>
    <hyperlink ref="J263" r:id="nativeLink258"/>
    <hyperlink ref="J264" r:id="nativeLink259"/>
    <hyperlink ref="J265" r:id="nativeLink260"/>
    <hyperlink ref="J266" r:id="nativeLink261"/>
    <hyperlink ref="J267" r:id="nativeLink262"/>
    <hyperlink ref="J268" r:id="nativeLink263"/>
    <hyperlink ref="J269" r:id="nativeLink264"/>
    <hyperlink ref="J270" r:id="nativeLink265"/>
    <hyperlink ref="J271" r:id="nativeLink266"/>
    <hyperlink ref="J272" r:id="nativeLink267"/>
    <hyperlink ref="J273" r:id="nativeLink268"/>
    <hyperlink ref="J274" r:id="nativeLink269"/>
    <hyperlink ref="J275" r:id="nativeLink270"/>
    <hyperlink ref="J276" r:id="nativeLink271"/>
    <hyperlink ref="J277" r:id="nativeLink272"/>
    <hyperlink ref="J278" r:id="nativeLink273"/>
    <hyperlink ref="J279" r:id="nativeLink274"/>
    <hyperlink ref="J280" r:id="nativeLink275"/>
    <hyperlink ref="J281" r:id="nativeLink276"/>
    <hyperlink ref="J282" r:id="nativeLink277"/>
    <hyperlink ref="J283" r:id="nativeLink278"/>
    <hyperlink ref="J284" r:id="nativeLink279"/>
    <hyperlink ref="J285" r:id="nativeLink280"/>
    <hyperlink ref="J286" r:id="nativeLink281"/>
    <hyperlink ref="J287" r:id="nativeLink282"/>
    <hyperlink ref="J288" r:id="nativeLink283"/>
    <hyperlink ref="J289" r:id="nativeLink284"/>
    <hyperlink ref="J290" r:id="nativeLink285"/>
    <hyperlink ref="J291" r:id="nativeLink286"/>
    <hyperlink ref="J292" r:id="nativeLink287"/>
    <hyperlink ref="J293" r:id="nativeLink288"/>
    <hyperlink ref="J294" r:id="nativeLink289"/>
    <hyperlink ref="J295" r:id="nativeLink290"/>
    <hyperlink ref="J296" r:id="nativeLink291"/>
    <hyperlink ref="J297" r:id="nativeLink292"/>
    <hyperlink ref="J298" r:id="nativeLink293"/>
    <hyperlink ref="J299" r:id="nativeLink294"/>
    <hyperlink ref="J300" r:id="nativeLink295"/>
    <hyperlink ref="J301" r:id="nativeLink296"/>
    <hyperlink ref="J302" r:id="nativeLink297"/>
    <hyperlink ref="J303" r:id="nativeLink298"/>
    <hyperlink ref="J304" r:id="nativeLink299"/>
    <hyperlink ref="J305" r:id="nativeLink300"/>
    <hyperlink ref="J306" r:id="nativeLink301"/>
    <hyperlink ref="J307" r:id="nativeLink302"/>
    <hyperlink ref="J308" r:id="nativeLink303"/>
    <hyperlink ref="J309" r:id="nativeLink304"/>
    <hyperlink ref="J310" r:id="nativeLink305"/>
    <hyperlink ref="J311" r:id="nativeLink306"/>
    <hyperlink ref="J312" r:id="nativeLink307"/>
    <hyperlink ref="J313" r:id="nativeLink308"/>
    <hyperlink ref="J314" r:id="nativeLink309"/>
    <hyperlink ref="J315" r:id="nativeLink310"/>
    <hyperlink ref="J316" r:id="nativeLink311"/>
    <hyperlink ref="J317" r:id="nativeLink312"/>
    <hyperlink ref="J318" r:id="nativeLink313"/>
    <hyperlink ref="J319" r:id="nativeLink314"/>
    <hyperlink ref="J320" r:id="nativeLink315"/>
    <hyperlink ref="J321" r:id="nativeLink316"/>
    <hyperlink ref="J322" r:id="nativeLink317"/>
    <hyperlink ref="J323" r:id="nativeLink318"/>
    <hyperlink ref="J324" r:id="nativeLink319"/>
    <hyperlink ref="J325" r:id="nativeLink320"/>
    <hyperlink ref="J326" r:id="nativeLink321"/>
    <hyperlink ref="J327" r:id="nativeLink322"/>
    <hyperlink ref="J328" r:id="nativeLink323"/>
    <hyperlink ref="J329" r:id="nativeLink324"/>
    <hyperlink ref="J330" r:id="nativeLink325"/>
    <hyperlink ref="J331" r:id="nativeLink326"/>
    <hyperlink ref="J332" r:id="nativeLink327"/>
    <hyperlink ref="J333" r:id="nativeLink328"/>
    <hyperlink ref="J334" r:id="nativeLink329"/>
    <hyperlink ref="J335" r:id="nativeLink330"/>
    <hyperlink ref="J336" r:id="nativeLink331"/>
    <hyperlink ref="J337" r:id="nativeLink332"/>
    <hyperlink ref="J338" r:id="nativeLink333"/>
    <hyperlink ref="J339" r:id="nativeLink334"/>
    <hyperlink ref="J340" r:id="nativeLink335"/>
    <hyperlink ref="J341" r:id="nativeLink336"/>
    <hyperlink ref="J342" r:id="nativeLink337"/>
    <hyperlink ref="J343" r:id="nativeLink338"/>
    <hyperlink ref="J344" r:id="nativeLink339"/>
    <hyperlink ref="J345" r:id="nativeLink340"/>
    <hyperlink ref="J346" r:id="nativeLink341"/>
    <hyperlink ref="J347" r:id="nativeLink342"/>
    <hyperlink ref="J348" r:id="nativeLink343"/>
    <hyperlink ref="J349" r:id="nativeLink344"/>
    <hyperlink ref="J350" r:id="nativeLink345"/>
    <hyperlink ref="J351" r:id="nativeLink346"/>
    <hyperlink ref="J352" r:id="nativeLink347"/>
    <hyperlink ref="J353" r:id="nativeLink348"/>
    <hyperlink ref="J354" r:id="nativeLink349"/>
    <hyperlink ref="J355" r:id="nativeLink350"/>
    <hyperlink ref="J356" r:id="nativeLink351"/>
    <hyperlink ref="J357" r:id="nativeLink352"/>
    <hyperlink ref="J358" r:id="nativeLink353"/>
    <hyperlink ref="J359" r:id="nativeLink354"/>
    <hyperlink ref="J360" r:id="nativeLink355"/>
    <hyperlink ref="J361" r:id="nativeLink356"/>
    <hyperlink ref="J362" r:id="nativeLink357"/>
    <hyperlink ref="J363" r:id="nativeLink358"/>
    <hyperlink ref="J364" r:id="nativeLink359"/>
    <hyperlink ref="J365" r:id="nativeLink360"/>
    <hyperlink ref="J366" r:id="nativeLink361"/>
    <hyperlink ref="J367" r:id="nativeLink362"/>
    <hyperlink ref="J368" r:id="nativeLink363"/>
    <hyperlink ref="J369" r:id="nativeLink364"/>
    <hyperlink ref="J370" r:id="nativeLink365"/>
    <hyperlink ref="J371" r:id="nativeLink366"/>
    <hyperlink ref="J372" r:id="nativeLink367"/>
    <hyperlink ref="J373" r:id="nativeLink368"/>
    <hyperlink ref="J374" r:id="nativeLink369"/>
    <hyperlink ref="J375" r:id="nativeLink370"/>
    <hyperlink ref="J376" r:id="nativeLink371"/>
    <hyperlink ref="J377" r:id="nativeLink372"/>
    <hyperlink ref="J378" r:id="nativeLink373"/>
    <hyperlink ref="J379" r:id="nativeLink374"/>
    <hyperlink ref="J380" r:id="nativeLink375"/>
    <hyperlink ref="J381" r:id="nativeLink376"/>
    <hyperlink ref="J382" r:id="nativeLink377"/>
    <hyperlink ref="J383" r:id="nativeLink378"/>
    <hyperlink ref="J384" r:id="nativeLink379"/>
    <hyperlink ref="J385" r:id="nativeLink380"/>
    <hyperlink ref="J386" r:id="nativeLink381"/>
    <hyperlink ref="J387" r:id="nativeLink382"/>
    <hyperlink ref="J388" r:id="nativeLink383"/>
    <hyperlink ref="J389" r:id="nativeLink384"/>
    <hyperlink ref="J390" r:id="nativeLink385"/>
    <hyperlink ref="J391" r:id="nativeLink386"/>
    <hyperlink ref="J392" r:id="nativeLink387"/>
    <hyperlink ref="J393" r:id="nativeLink388"/>
    <hyperlink ref="J394" r:id="nativeLink389"/>
    <hyperlink ref="J395" r:id="nativeLink390"/>
    <hyperlink ref="J396" r:id="nativeLink391"/>
    <hyperlink ref="J397" r:id="nativeLink392"/>
    <hyperlink ref="J398" r:id="nativeLink393"/>
    <hyperlink ref="J399" r:id="nativeLink394"/>
    <hyperlink ref="J400" r:id="nativeLink395"/>
    <hyperlink ref="J401" r:id="nativeLink396"/>
    <hyperlink ref="J402" r:id="nativeLink397"/>
    <hyperlink ref="J403" r:id="nativeLink398"/>
    <hyperlink ref="J404" r:id="nativeLink399"/>
    <hyperlink ref="J405" r:id="nativeLink400"/>
    <hyperlink ref="J406" r:id="nativeLink401"/>
    <hyperlink ref="J407" r:id="nativeLink402"/>
    <hyperlink ref="J408" r:id="nativeLink403"/>
    <hyperlink ref="J409" r:id="nativeLink404"/>
    <hyperlink ref="J410" r:id="nativeLink405"/>
    <hyperlink ref="J411" r:id="nativeLink406"/>
    <hyperlink ref="J412" r:id="nativeLink407"/>
    <hyperlink ref="J413" r:id="nativeLink408"/>
    <hyperlink ref="J414" r:id="nativeLink409"/>
    <hyperlink ref="J415" r:id="nativeLink410"/>
    <hyperlink ref="J416" r:id="nativeLink411"/>
    <hyperlink ref="J417" r:id="nativeLink412"/>
    <hyperlink ref="J418" r:id="nativeLink413"/>
    <hyperlink ref="J419" r:id="nativeLink414"/>
    <hyperlink ref="J420" r:id="nativeLink415"/>
    <hyperlink ref="J421" r:id="nativeLink416"/>
    <hyperlink ref="J422" r:id="nativeLink417"/>
    <hyperlink ref="J423" r:id="nativeLink418"/>
    <hyperlink ref="J424" r:id="nativeLink419"/>
    <hyperlink ref="J425" r:id="nativeLink420"/>
    <hyperlink ref="J426" r:id="nativeLink421"/>
    <hyperlink ref="J427" r:id="nativeLink422"/>
    <hyperlink ref="J428" r:id="nativeLink423"/>
    <hyperlink ref="J429" r:id="nativeLink424"/>
    <hyperlink ref="J430" r:id="nativeLink425"/>
    <hyperlink ref="J431" r:id="nativeLink426"/>
    <hyperlink ref="J432" r:id="nativeLink427"/>
    <hyperlink ref="J433" r:id="nativeLink428"/>
    <hyperlink ref="J434" r:id="nativeLink429"/>
    <hyperlink ref="J435" r:id="nativeLink430"/>
    <hyperlink ref="J436" r:id="nativeLink431"/>
    <hyperlink ref="J437" r:id="nativeLink432"/>
    <hyperlink ref="J438" r:id="nativeLink433"/>
    <hyperlink ref="J439" r:id="nativeLink434"/>
    <hyperlink ref="J440" r:id="nativeLink435"/>
    <hyperlink ref="J441" r:id="nativeLink436"/>
    <hyperlink ref="J442" r:id="nativeLink437"/>
    <hyperlink ref="J443" r:id="nativeLink438"/>
    <hyperlink ref="J444" r:id="nativeLink439"/>
    <hyperlink ref="J445" r:id="nativeLink440"/>
    <hyperlink ref="J446" r:id="nativeLink441"/>
  </hyperlinks>
  <pageMargins left="0.7" right="0.7" top="0.75" bottom="0.75" header="0.3" footer="0.3"/>
  <tableParts count="1">
    <tablePart r:id="R7b6693b6ab2943ff"/>
  </tableParts>
</worksheet>
</file>

<file path=xl/worksheets/sheet4.xml><?xml version="1.0" encoding="utf-8"?>
<worksheet xmlns="http://schemas.openxmlformats.org/spreadsheetml/2006/main" xmlns:r="http://schemas.openxmlformats.org/officeDocument/2006/relationships">
  <sheetViews>
    <sheetView showGridLines="0" workbookViewId="0">
      <pane xSplit="2" ySplit="5" topLeftCell="C6" activePane="bottomRight" state="frozen"/>
    </sheetView>
  </sheetViews>
  <sheetFormatPr defaultRowHeight="15"/>
  <cols>
    <col min="1" max="1" width="19" hidden="0" customWidth="1"/>
    <col min="2" max="2" width="16" hidden="0" customWidth="1"/>
    <col min="3" max="3" width="48" hidden="0" customWidth="1"/>
    <col min="4" max="4" width="95" hidden="0" customWidth="1"/>
    <col min="5" max="5" width="95" hidden="0" customWidth="1"/>
  </cols>
  <sheetData>
    <row r="1">
      <c r="A1" s="3"/>
      <c r="B1" s="3"/>
      <c r="C1" s="3"/>
      <c r="D1" s="3"/>
      <c r="E1" s="3"/>
    </row>
    <row r="2" ht="28" customHeight="1">
      <c r="A2" s="5" t="str">
        <v>Issuing portfolios</v>
      </c>
      <c r="B2" s="5"/>
      <c r="C2" s="5"/>
      <c r="D2" s="5"/>
      <c r="E2" s="5"/>
    </row>
    <row r="3" ht="23" customHeight="1">
      <c r="A3" s="7" t="str">
        <v>Evidence checked 10 October 2026 · Full text retained in cells; use filters and expand rows for long provisions.</v>
      </c>
      <c r="B3" s="7"/>
      <c r="C3" s="7"/>
      <c r="D3" s="7"/>
      <c r="E3" s="7"/>
    </row>
    <row r="4">
      <c r="A4" s="8"/>
      <c r="B4" s="8"/>
      <c r="C4" s="8"/>
      <c r="D4" s="8"/>
      <c r="E4" s="8"/>
    </row>
    <row r="5" ht="52" customHeight="1">
      <c r="A5" s="17" t="str">
        <v>Group ID</v>
      </c>
      <c r="B5" s="18" t="str">
        <v>Government</v>
      </c>
      <c r="C5" s="18" t="str">
        <v>Normalised issuing portfolio</v>
      </c>
      <c r="D5" s="18" t="str">
        <v>Original issuing ministries / offices</v>
      </c>
      <c r="E5" s="19" t="str">
        <v>DR URL</v>
      </c>
    </row>
    <row r="6" ht="60" customHeight="1">
      <c r="A6" s="3" t="str">
        <v>GT-2024-001</v>
      </c>
      <c r="B6" s="3" t="str">
        <v>XXIV</v>
      </c>
      <c r="C6" s="3" t="str">
        <v>Presidency / Council of Ministers</v>
      </c>
      <c r="D6" s="3" t="str">
        <v>Presidência do Conselho de Ministros</v>
      </c>
      <c r="E6" s="3" t="str">
        <v>https://diariodarepublica.pt/dr/detalhe/resolucao-conselho-ministros/68-2024-867194464</v>
      </c>
    </row>
    <row r="7" ht="60" customHeight="1">
      <c r="A7" s="3" t="str">
        <v>GT-2024-002</v>
      </c>
      <c r="B7" s="3" t="str">
        <v>XXIV</v>
      </c>
      <c r="C7" s="3" t="str">
        <v>Presidency / Council of Ministers</v>
      </c>
      <c r="D7" s="3" t="str">
        <v>Presidência do Conselho de Ministros, Economia e Ambiente e Energia - Gabinete do Ministro Adjunto e da Coesão Territorial, Gabinete do Ministro da Economia e Gabinete da Ministra do Ambiente e Energia</v>
      </c>
      <c r="E7" s="3" t="str">
        <v>https://diariodarepublica.pt/dr/detalhe/despacho/6475-2024-868409451</v>
      </c>
    </row>
    <row r="8" ht="60" customHeight="1">
      <c r="A8" s="3" t="str">
        <v>GT-2024-002</v>
      </c>
      <c r="B8" s="3" t="str">
        <v>XXIV</v>
      </c>
      <c r="C8" s="3" t="str">
        <v>Economy</v>
      </c>
      <c r="D8" s="3" t="str">
        <v>Presidência do Conselho de Ministros, Economia e Ambiente e Energia - Gabinete do Ministro Adjunto e da Coesão Territorial, Gabinete do Ministro da Economia e Gabinete da Ministra do Ambiente e Energia</v>
      </c>
      <c r="E8" s="3" t="str">
        <v>https://diariodarepublica.pt/dr/detalhe/despacho/6475-2024-868409451</v>
      </c>
    </row>
    <row r="9" ht="60" customHeight="1">
      <c r="A9" s="3" t="str">
        <v>GT-2024-002</v>
      </c>
      <c r="B9" s="3" t="str">
        <v>XXIV</v>
      </c>
      <c r="C9" s="3" t="str">
        <v>Environment / Energy</v>
      </c>
      <c r="D9" s="3" t="str">
        <v>Presidência do Conselho de Ministros, Economia e Ambiente e Energia - Gabinete do Ministro Adjunto e da Coesão Territorial, Gabinete do Ministro da Economia e Gabinete da Ministra do Ambiente e Energia</v>
      </c>
      <c r="E9" s="3" t="str">
        <v>https://diariodarepublica.pt/dr/detalhe/despacho/6475-2024-868409451</v>
      </c>
    </row>
    <row r="10" ht="60" customHeight="1">
      <c r="A10" s="3" t="str">
        <v>GT-2024-002</v>
      </c>
      <c r="B10" s="3" t="str">
        <v>XXIV</v>
      </c>
      <c r="C10" s="3" t="str">
        <v>Territorial cohesion</v>
      </c>
      <c r="D10" s="3" t="str">
        <v>Presidência do Conselho de Ministros, Economia e Ambiente e Energia - Gabinete do Ministro Adjunto e da Coesão Territorial, Gabinete do Ministro da Economia e Gabinete da Ministra do Ambiente e Energia</v>
      </c>
      <c r="E10" s="3" t="str">
        <v>https://diariodarepublica.pt/dr/detalhe/despacho/6475-2024-868409451</v>
      </c>
    </row>
    <row r="11" ht="60" customHeight="1">
      <c r="A11" s="3" t="str">
        <v>GT-2024-003</v>
      </c>
      <c r="B11" s="3" t="str">
        <v>XXIV</v>
      </c>
      <c r="C11" s="3" t="str">
        <v>Health</v>
      </c>
      <c r="D11" s="3" t="str">
        <v>Saúde - Gabinete da Ministra da Saúde</v>
      </c>
      <c r="E11" s="3" t="str">
        <v>https://diariodarepublica.pt/dr/detalhe/despacho/6563-2024-868447723</v>
      </c>
    </row>
    <row r="12" ht="60" customHeight="1">
      <c r="A12" s="3" t="str">
        <v>GT-2024-004</v>
      </c>
      <c r="B12" s="3" t="str">
        <v>XXIV</v>
      </c>
      <c r="C12" s="3" t="str">
        <v>Health</v>
      </c>
      <c r="D12" s="3" t="str">
        <v>Saúde - Gabinete da Ministra da Saúde</v>
      </c>
      <c r="E12" s="3" t="str">
        <v>https://diariodarepublica.pt/dr/detalhe/despacho/6564-2024-868447724</v>
      </c>
    </row>
    <row r="13" ht="60" customHeight="1">
      <c r="A13" s="3" t="str">
        <v>GT-2024-005</v>
      </c>
      <c r="B13" s="3" t="str">
        <v>XXIV</v>
      </c>
      <c r="C13" s="3" t="str">
        <v>Presidency / Council of Ministers</v>
      </c>
      <c r="D13"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E13" s="3" t="str">
        <v>https://diariodarepublica.pt/dr/detalhe/despacho/6757-a-2024-868812119</v>
      </c>
    </row>
    <row r="14" ht="60" customHeight="1">
      <c r="A14" s="3" t="str">
        <v>GT-2024-005</v>
      </c>
      <c r="B14" s="3" t="str">
        <v>XXIV</v>
      </c>
      <c r="C14" s="3" t="str">
        <v>Infrastructure / Housing</v>
      </c>
      <c r="D14"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E14" s="3" t="str">
        <v>https://diariodarepublica.pt/dr/detalhe/despacho/6757-a-2024-868812119</v>
      </c>
    </row>
    <row r="15" ht="60" customHeight="1">
      <c r="A15" s="3" t="str">
        <v>GT-2024-005</v>
      </c>
      <c r="B15" s="3" t="str">
        <v>XXIV</v>
      </c>
      <c r="C15" s="3" t="str">
        <v>Economy</v>
      </c>
      <c r="D15"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E15" s="3" t="str">
        <v>https://diariodarepublica.pt/dr/detalhe/despacho/6757-a-2024-868812119</v>
      </c>
    </row>
    <row r="16" ht="60" customHeight="1">
      <c r="A16" s="3" t="str">
        <v>GT-2024-005</v>
      </c>
      <c r="B16" s="3" t="str">
        <v>XXIV</v>
      </c>
      <c r="C16" s="3" t="str">
        <v>Environment / Energy</v>
      </c>
      <c r="D16"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E16" s="3" t="str">
        <v>https://diariodarepublica.pt/dr/detalhe/despacho/6757-a-2024-868812119</v>
      </c>
    </row>
    <row r="17" ht="60" customHeight="1">
      <c r="A17" s="3" t="str">
        <v>GT-2024-005</v>
      </c>
      <c r="B17" s="3" t="str">
        <v>XXIV</v>
      </c>
      <c r="C17" s="3" t="str">
        <v>Territorial cohesion</v>
      </c>
      <c r="D17"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E17" s="3" t="str">
        <v>https://diariodarepublica.pt/dr/detalhe/despacho/6757-a-2024-868812119</v>
      </c>
    </row>
    <row r="18" ht="60" customHeight="1">
      <c r="A18" s="3" t="str">
        <v>GT-2024-006</v>
      </c>
      <c r="B18" s="3" t="str">
        <v>XXIV</v>
      </c>
      <c r="C18" s="3" t="str">
        <v>Labour / Social security</v>
      </c>
      <c r="D18" s="3" t="str">
        <v>Trabalho, Solidariedade e Segurança Social - Gabinete da Secretária de Estado da Ação Social e da Inclusão</v>
      </c>
      <c r="E18" s="3" t="str">
        <v>https://diariodarepublica.pt/dr/detalhe/despacho/7321-2024-871047338</v>
      </c>
    </row>
    <row r="19" ht="60" customHeight="1">
      <c r="A19" s="3" t="str">
        <v>GT-2024-007</v>
      </c>
      <c r="B19" s="3" t="str">
        <v>XXIV</v>
      </c>
      <c r="C19" s="3" t="str">
        <v>Finance</v>
      </c>
      <c r="D19" s="3" t="str">
        <v>Finanças e Infraestruturas e Habitação - Gabinete do Ministro de Estado e das Finanças e Gabinete do Ministro das Infraestruturas e Habitação</v>
      </c>
      <c r="E19" s="3" t="str">
        <v>https://diariodarepublica.pt/dr/detalhe/despacho/7613-2024-871760310</v>
      </c>
    </row>
    <row r="20" ht="60" customHeight="1">
      <c r="A20" s="3" t="str">
        <v>GT-2024-007</v>
      </c>
      <c r="B20" s="3" t="str">
        <v>XXIV</v>
      </c>
      <c r="C20" s="3" t="str">
        <v>Infrastructure / Housing</v>
      </c>
      <c r="D20" s="3" t="str">
        <v>Finanças e Infraestruturas e Habitação - Gabinete do Ministro de Estado e das Finanças e Gabinete do Ministro das Infraestruturas e Habitação</v>
      </c>
      <c r="E20" s="3" t="str">
        <v>https://diariodarepublica.pt/dr/detalhe/despacho/7613-2024-871760310</v>
      </c>
    </row>
    <row r="21" ht="60" customHeight="1">
      <c r="A21" s="3" t="str">
        <v>GT-2024-008</v>
      </c>
      <c r="B21" s="3" t="str">
        <v>XXIV</v>
      </c>
      <c r="C21" s="3" t="str">
        <v>Environment / Energy</v>
      </c>
      <c r="D21" s="3" t="str">
        <v>Ambiente e Energia e Agricultura e Pescas - Gabinete da Ministra do Ambiente e Energia e Gabinete do Ministro da Agricultura e Pescas</v>
      </c>
      <c r="E21" s="3" t="str">
        <v>https://diariodarepublica.pt/dr/detalhe/despacho/7821-2024-872108077</v>
      </c>
    </row>
    <row r="22" ht="60" customHeight="1">
      <c r="A22" s="3" t="str">
        <v>GT-2024-008</v>
      </c>
      <c r="B22" s="3" t="str">
        <v>XXIV</v>
      </c>
      <c r="C22" s="3" t="str">
        <v>Agriculture / Fisheries / Sea</v>
      </c>
      <c r="D22" s="3" t="str">
        <v>Ambiente e Energia e Agricultura e Pescas - Gabinete da Ministra do Ambiente e Energia e Gabinete do Ministro da Agricultura e Pescas</v>
      </c>
      <c r="E22" s="3" t="str">
        <v>https://diariodarepublica.pt/dr/detalhe/despacho/7821-2024-872108077</v>
      </c>
    </row>
    <row r="23" ht="60" customHeight="1">
      <c r="A23" s="3" t="str">
        <v>GT-2024-009</v>
      </c>
      <c r="B23" s="3" t="str">
        <v>XXIV</v>
      </c>
      <c r="C23" s="3" t="str">
        <v>Infrastructure / Housing</v>
      </c>
      <c r="D23" s="3" t="str">
        <v>Infraestruturas e Habitação e Ambiente e Energia - Gabinete do Ministro das Infraestruturas e Habitação e Gabinete da Ministra do Ambiente e Energia</v>
      </c>
      <c r="E23" s="3" t="str">
        <v>https://diariodarepublica.pt/dr/detalhe/despacho/8023-2024-872631226</v>
      </c>
    </row>
    <row r="24" ht="60" customHeight="1">
      <c r="A24" s="3" t="str">
        <v>GT-2024-009</v>
      </c>
      <c r="B24" s="3" t="str">
        <v>XXIV</v>
      </c>
      <c r="C24" s="3" t="str">
        <v>Environment / Energy</v>
      </c>
      <c r="D24" s="3" t="str">
        <v>Infraestruturas e Habitação e Ambiente e Energia - Gabinete do Ministro das Infraestruturas e Habitação e Gabinete da Ministra do Ambiente e Energia</v>
      </c>
      <c r="E24" s="3" t="str">
        <v>https://diariodarepublica.pt/dr/detalhe/despacho/8023-2024-872631226</v>
      </c>
    </row>
    <row r="25" ht="60" customHeight="1">
      <c r="A25" s="3" t="str">
        <v>GT-2024-010</v>
      </c>
      <c r="B25" s="3" t="str">
        <v>XXIV</v>
      </c>
      <c r="C25" s="3" t="str">
        <v>Finance</v>
      </c>
      <c r="D25" s="3" t="str">
        <v>Finanças e Cultura - Gabinete do Ministro de Estado e das Finanças e Gabinete da Ministra da Cultura</v>
      </c>
      <c r="E25" s="3" t="str">
        <v>https://diariodarepublica.pt/dr/detalhe/despacho/8151-2024-873009448</v>
      </c>
    </row>
    <row r="26" ht="60" customHeight="1">
      <c r="A26" s="3" t="str">
        <v>GT-2024-010</v>
      </c>
      <c r="B26" s="3" t="str">
        <v>XXIV</v>
      </c>
      <c r="C26" s="3" t="str">
        <v>Culture</v>
      </c>
      <c r="D26" s="3" t="str">
        <v>Finanças e Cultura - Gabinete do Ministro de Estado e das Finanças e Gabinete da Ministra da Cultura</v>
      </c>
      <c r="E26" s="3" t="str">
        <v>https://diariodarepublica.pt/dr/detalhe/despacho/8151-2024-873009448</v>
      </c>
    </row>
    <row r="27" ht="60" customHeight="1">
      <c r="A27" s="3" t="str">
        <v>GT-2024-011</v>
      </c>
      <c r="B27" s="3" t="str">
        <v>XXIV</v>
      </c>
      <c r="C27" s="3" t="str">
        <v>Education / Science</v>
      </c>
      <c r="D27" s="3" t="str">
        <v>Educação, Ciência e Inovação e Trabalho, Solidariedade e Segurança Social - Gabinete do Ministro da Educação, Ciência e Inovação e Gabinete da Ministra do Trabalho, Solidariedade e Segurança Social</v>
      </c>
      <c r="E27" s="3" t="str">
        <v>https://diariodarepublica.pt/dr/detalhe/despacho/8251-2024-873180041</v>
      </c>
    </row>
    <row r="28" ht="60" customHeight="1">
      <c r="A28" s="3" t="str">
        <v>GT-2024-011</v>
      </c>
      <c r="B28" s="3" t="str">
        <v>XXIV</v>
      </c>
      <c r="C28" s="3" t="str">
        <v>Labour / Social security</v>
      </c>
      <c r="D28" s="3" t="str">
        <v>Educação, Ciência e Inovação e Trabalho, Solidariedade e Segurança Social - Gabinete do Ministro da Educação, Ciência e Inovação e Gabinete da Ministra do Trabalho, Solidariedade e Segurança Social</v>
      </c>
      <c r="E28" s="3" t="str">
        <v>https://diariodarepublica.pt/dr/detalhe/despacho/8251-2024-873180041</v>
      </c>
    </row>
    <row r="29" ht="60" customHeight="1">
      <c r="A29" s="3" t="str">
        <v>GT-2024-012</v>
      </c>
      <c r="B29" s="3" t="str">
        <v>XXIV</v>
      </c>
      <c r="C29" s="3" t="str">
        <v>Culture</v>
      </c>
      <c r="D29" s="3" t="str">
        <v>Cultura - Gabinete da Ministra da Cultura</v>
      </c>
      <c r="E29" s="3" t="str">
        <v>https://diariodarepublica.pt/dr/detalhe/despacho/8277-2024-873180289</v>
      </c>
    </row>
    <row r="30" ht="60" customHeight="1">
      <c r="A30" s="3" t="str">
        <v>GT-2024-013</v>
      </c>
      <c r="B30" s="3" t="str">
        <v>XXIV</v>
      </c>
      <c r="C30" s="3" t="str">
        <v>Presidency / Council of Ministers</v>
      </c>
      <c r="D30" s="3" t="str">
        <v>Presidência do Conselho de Ministros, Economia e Ambiente e Energia - Gabinete do Ministro Adjunto e da Coesão Territorial, Gabinete do Ministro da Economia e Gabinete da Ministra do Ambiente e Energia</v>
      </c>
      <c r="E30" s="3" t="str">
        <v>https://diariodarepublica.pt/dr/detalhe/despacho/8335-2024-873447584</v>
      </c>
    </row>
    <row r="31" ht="60" customHeight="1">
      <c r="A31" s="3" t="str">
        <v>GT-2024-013</v>
      </c>
      <c r="B31" s="3" t="str">
        <v>XXIV</v>
      </c>
      <c r="C31" s="3" t="str">
        <v>Economy</v>
      </c>
      <c r="D31" s="3" t="str">
        <v>Presidência do Conselho de Ministros, Economia e Ambiente e Energia - Gabinete do Ministro Adjunto e da Coesão Territorial, Gabinete do Ministro da Economia e Gabinete da Ministra do Ambiente e Energia</v>
      </c>
      <c r="E31" s="3" t="str">
        <v>https://diariodarepublica.pt/dr/detalhe/despacho/8335-2024-873447584</v>
      </c>
    </row>
    <row r="32" ht="60" customHeight="1">
      <c r="A32" s="3" t="str">
        <v>GT-2024-013</v>
      </c>
      <c r="B32" s="3" t="str">
        <v>XXIV</v>
      </c>
      <c r="C32" s="3" t="str">
        <v>Environment / Energy</v>
      </c>
      <c r="D32" s="3" t="str">
        <v>Presidência do Conselho de Ministros, Economia e Ambiente e Energia - Gabinete do Ministro Adjunto e da Coesão Territorial, Gabinete do Ministro da Economia e Gabinete da Ministra do Ambiente e Energia</v>
      </c>
      <c r="E32" s="3" t="str">
        <v>https://diariodarepublica.pt/dr/detalhe/despacho/8335-2024-873447584</v>
      </c>
    </row>
    <row r="33" ht="60" customHeight="1">
      <c r="A33" s="3" t="str">
        <v>GT-2024-013</v>
      </c>
      <c r="B33" s="3" t="str">
        <v>XXIV</v>
      </c>
      <c r="C33" s="3" t="str">
        <v>Territorial cohesion</v>
      </c>
      <c r="D33" s="3" t="str">
        <v>Presidência do Conselho de Ministros, Economia e Ambiente e Energia - Gabinete do Ministro Adjunto e da Coesão Territorial, Gabinete do Ministro da Economia e Gabinete da Ministra do Ambiente e Energia</v>
      </c>
      <c r="E33" s="3" t="str">
        <v>https://diariodarepublica.pt/dr/detalhe/despacho/8335-2024-873447584</v>
      </c>
    </row>
    <row r="34" ht="60" customHeight="1">
      <c r="A34" s="3" t="str">
        <v>GT-2024-014</v>
      </c>
      <c r="B34" s="3" t="str">
        <v>XXIV</v>
      </c>
      <c r="C34" s="3" t="str">
        <v>Justice</v>
      </c>
      <c r="D34" s="3" t="str">
        <v>Justiça, Administração Interna e Juventude e Modernização - Gabinete da Ministra da Justiça, Gabinete da Ministra da Juventude e Modernização e Gabinete do Secretário de Estado da Administração Interna</v>
      </c>
      <c r="E34" s="3" t="str">
        <v>https://diariodarepublica.pt/dr/detalhe/despacho/8591-2024-874078354</v>
      </c>
    </row>
    <row r="35" ht="60" customHeight="1">
      <c r="A35" s="3" t="str">
        <v>GT-2024-014</v>
      </c>
      <c r="B35" s="3" t="str">
        <v>XXIV</v>
      </c>
      <c r="C35" s="3" t="str">
        <v>Internal affairs</v>
      </c>
      <c r="D35" s="3" t="str">
        <v>Justiça, Administração Interna e Juventude e Modernização - Gabinete da Ministra da Justiça, Gabinete da Ministra da Juventude e Modernização e Gabinete do Secretário de Estado da Administração Interna</v>
      </c>
      <c r="E35" s="3" t="str">
        <v>https://diariodarepublica.pt/dr/detalhe/despacho/8591-2024-874078354</v>
      </c>
    </row>
    <row r="36" ht="60" customHeight="1">
      <c r="A36" s="3" t="str">
        <v>GT-2024-014</v>
      </c>
      <c r="B36" s="3" t="str">
        <v>XXIV</v>
      </c>
      <c r="C36" s="3" t="str">
        <v>Youth / Modernisation</v>
      </c>
      <c r="D36" s="3" t="str">
        <v>Justiça, Administração Interna e Juventude e Modernização - Gabinete da Ministra da Justiça, Gabinete da Ministra da Juventude e Modernização e Gabinete do Secretário de Estado da Administração Interna</v>
      </c>
      <c r="E36" s="3" t="str">
        <v>https://diariodarepublica.pt/dr/detalhe/despacho/8591-2024-874078354</v>
      </c>
    </row>
    <row r="37" ht="60" customHeight="1">
      <c r="A37" s="3" t="str">
        <v>GT-2024-015</v>
      </c>
      <c r="B37" s="3" t="str">
        <v>XXIV</v>
      </c>
      <c r="C37" s="3" t="str">
        <v>Presidency / Council of Ministers</v>
      </c>
      <c r="D37" s="3" t="str">
        <v>Presidência do Conselho de Ministros - Gabinete do Ministro da Presidência</v>
      </c>
      <c r="E37" s="3" t="str">
        <v>https://diariodarepublica.pt/dr/detalhe/despacho/8914-a-2024-875716593</v>
      </c>
    </row>
    <row r="38" ht="60" customHeight="1">
      <c r="A38" s="3" t="str">
        <v>GT-2024-016</v>
      </c>
      <c r="B38" s="3" t="str">
        <v>XXIV</v>
      </c>
      <c r="C38" s="3" t="str">
        <v>Labour / Social security</v>
      </c>
      <c r="D38" s="3" t="str">
        <v>Trabalho, Solidariedade e Segurança Social - Gabinete da Secretária de Estado da Ação Social e da Inclusão</v>
      </c>
      <c r="E38" s="3" t="str">
        <v>https://diariodarepublica.pt/dr/detalhe/despacho/8972-2024-875838784</v>
      </c>
    </row>
    <row r="39" ht="60" customHeight="1">
      <c r="A39" s="3" t="str">
        <v>GT-2024-017</v>
      </c>
      <c r="B39" s="3" t="str">
        <v>XXIV</v>
      </c>
      <c r="C39" s="3" t="str">
        <v>Presidency / Council of Ministers</v>
      </c>
      <c r="D39" s="3" t="str">
        <v>Presidência do Conselho de Ministros e Finanças - Gabinete do Ministro de Estado e das Finanças e Gabinete do Ministro da Presidência</v>
      </c>
      <c r="E39" s="3" t="str">
        <v>https://diariodarepublica.pt/dr/detalhe/despacho/9075-a-2024-876110681</v>
      </c>
    </row>
    <row r="40" ht="60" customHeight="1">
      <c r="A40" s="3" t="str">
        <v>GT-2024-017</v>
      </c>
      <c r="B40" s="3" t="str">
        <v>XXIV</v>
      </c>
      <c r="C40" s="3" t="str">
        <v>Finance</v>
      </c>
      <c r="D40" s="3" t="str">
        <v>Presidência do Conselho de Ministros e Finanças - Gabinete do Ministro de Estado e das Finanças e Gabinete do Ministro da Presidência</v>
      </c>
      <c r="E40" s="3" t="str">
        <v>https://diariodarepublica.pt/dr/detalhe/despacho/9075-a-2024-876110681</v>
      </c>
    </row>
    <row r="41" ht="60" customHeight="1">
      <c r="A41" s="3" t="str">
        <v>GT-2024-018</v>
      </c>
      <c r="B41" s="3" t="str">
        <v>XXIV</v>
      </c>
      <c r="C41" s="3" t="str">
        <v>Justice</v>
      </c>
      <c r="D41" s="3" t="str">
        <v>Justiça - Gabinete da Secretária de Estado Adjunta e da Justiça</v>
      </c>
      <c r="E41" s="3" t="str">
        <v>https://diariodarepublica.pt/dr/detalhe/despacho/9123-2024-876110746</v>
      </c>
    </row>
    <row r="42" ht="60" customHeight="1">
      <c r="A42" s="3" t="str">
        <v>GT-2024-019</v>
      </c>
      <c r="B42" s="3" t="str">
        <v>XXIV</v>
      </c>
      <c r="C42" s="3" t="str">
        <v>Presidency / Council of Ministers</v>
      </c>
      <c r="D42" s="3" t="str">
        <v>Presidência do Conselho de Ministros, Administração Interna e Infraestruturas e Habitação - Gabinete do Ministro da Presidência, Gabinete da Ministra da Administração Interna e Gabinete do Ministro das Infraestruturas e Habitação</v>
      </c>
      <c r="E42" s="3" t="str">
        <v>https://diariodarepublica.pt/dr/detalhe/despacho/9477-2024-884784995</v>
      </c>
    </row>
    <row r="43" ht="60" customHeight="1">
      <c r="A43" s="3" t="str">
        <v>GT-2024-019</v>
      </c>
      <c r="B43" s="3" t="str">
        <v>XXIV</v>
      </c>
      <c r="C43" s="3" t="str">
        <v>Internal affairs</v>
      </c>
      <c r="D43" s="3" t="str">
        <v>Presidência do Conselho de Ministros, Administração Interna e Infraestruturas e Habitação - Gabinete do Ministro da Presidência, Gabinete da Ministra da Administração Interna e Gabinete do Ministro das Infraestruturas e Habitação</v>
      </c>
      <c r="E43" s="3" t="str">
        <v>https://diariodarepublica.pt/dr/detalhe/despacho/9477-2024-884784995</v>
      </c>
    </row>
    <row r="44" ht="60" customHeight="1">
      <c r="A44" s="3" t="str">
        <v>GT-2024-019</v>
      </c>
      <c r="B44" s="3" t="str">
        <v>XXIV</v>
      </c>
      <c r="C44" s="3" t="str">
        <v>Infrastructure / Housing</v>
      </c>
      <c r="D44" s="3" t="str">
        <v>Presidência do Conselho de Ministros, Administração Interna e Infraestruturas e Habitação - Gabinete do Ministro da Presidência, Gabinete da Ministra da Administração Interna e Gabinete do Ministro das Infraestruturas e Habitação</v>
      </c>
      <c r="E44" s="3" t="str">
        <v>https://diariodarepublica.pt/dr/detalhe/despacho/9477-2024-884784995</v>
      </c>
    </row>
    <row r="45" ht="60" customHeight="1">
      <c r="A45" s="3" t="str">
        <v>GT-2024-020</v>
      </c>
      <c r="B45" s="3" t="str">
        <v>XXIV</v>
      </c>
      <c r="C45" s="3" t="str">
        <v>Presidency / Council of Ministers</v>
      </c>
      <c r="D45" s="3" t="str">
        <v>Presidência do Conselho de Ministros, Infraestruturas e Habitação e Ambiente e Energia - Gabinete do Ministro Adjunto e da Coesão Territorial, Gabinete do Ministro das Infraestruturas e Habitação e Gabinete da Ministra do Ambiente e Energia</v>
      </c>
      <c r="E45" s="3" t="str">
        <v>https://diariodarepublica.pt/dr/detalhe/despacho/9589-2024-884941463</v>
      </c>
    </row>
    <row r="46" ht="60" customHeight="1">
      <c r="A46" s="3" t="str">
        <v>GT-2024-020</v>
      </c>
      <c r="B46" s="3" t="str">
        <v>XXIV</v>
      </c>
      <c r="C46" s="3" t="str">
        <v>Infrastructure / Housing</v>
      </c>
      <c r="D46" s="3" t="str">
        <v>Presidência do Conselho de Ministros, Infraestruturas e Habitação e Ambiente e Energia - Gabinete do Ministro Adjunto e da Coesão Territorial, Gabinete do Ministro das Infraestruturas e Habitação e Gabinete da Ministra do Ambiente e Energia</v>
      </c>
      <c r="E46" s="3" t="str">
        <v>https://diariodarepublica.pt/dr/detalhe/despacho/9589-2024-884941463</v>
      </c>
    </row>
    <row r="47" ht="60" customHeight="1">
      <c r="A47" s="3" t="str">
        <v>GT-2024-020</v>
      </c>
      <c r="B47" s="3" t="str">
        <v>XXIV</v>
      </c>
      <c r="C47" s="3" t="str">
        <v>Environment / Energy</v>
      </c>
      <c r="D47" s="3" t="str">
        <v>Presidência do Conselho de Ministros, Infraestruturas e Habitação e Ambiente e Energia - Gabinete do Ministro Adjunto e da Coesão Territorial, Gabinete do Ministro das Infraestruturas e Habitação e Gabinete da Ministra do Ambiente e Energia</v>
      </c>
      <c r="E47" s="3" t="str">
        <v>https://diariodarepublica.pt/dr/detalhe/despacho/9589-2024-884941463</v>
      </c>
    </row>
    <row r="48" ht="60" customHeight="1">
      <c r="A48" s="3" t="str">
        <v>GT-2024-020</v>
      </c>
      <c r="B48" s="3" t="str">
        <v>XXIV</v>
      </c>
      <c r="C48" s="3" t="str">
        <v>Territorial cohesion</v>
      </c>
      <c r="D48" s="3" t="str">
        <v>Presidência do Conselho de Ministros, Infraestruturas e Habitação e Ambiente e Energia - Gabinete do Ministro Adjunto e da Coesão Territorial, Gabinete do Ministro das Infraestruturas e Habitação e Gabinete da Ministra do Ambiente e Energia</v>
      </c>
      <c r="E48" s="3" t="str">
        <v>https://diariodarepublica.pt/dr/detalhe/despacho/9589-2024-884941463</v>
      </c>
    </row>
    <row r="49" ht="60" customHeight="1">
      <c r="A49" s="3" t="str">
        <v>GT-2024-021</v>
      </c>
      <c r="B49" s="3" t="str">
        <v>XXIV</v>
      </c>
      <c r="C49" s="3" t="str">
        <v>Labour / Social security</v>
      </c>
      <c r="D49" s="3" t="str">
        <v>Trabalho, Solidariedade e Segurança Social - Gabinete da Ministra do Trabalho, Solidariedade e Segurança Social</v>
      </c>
      <c r="E49" s="3" t="str">
        <v>https://diariodarepublica.pt/dr/detalhe/despacho/9648-2024-885027571</v>
      </c>
    </row>
    <row r="50" ht="60" customHeight="1">
      <c r="A50" s="3" t="str">
        <v>GT-2024-022</v>
      </c>
      <c r="B50" s="3" t="str">
        <v>XXIV</v>
      </c>
      <c r="C50" s="3" t="str">
        <v>Labour / Social security</v>
      </c>
      <c r="D50" s="3" t="str">
        <v>Trabalho, Solidariedade e Segurança Social - Gabinete da Secretária de Estado da Ação Social e da Inclusão</v>
      </c>
      <c r="E50" s="3" t="str">
        <v>https://diariodarepublica.pt/dr/detalhe/despacho/9649-2024-885027572</v>
      </c>
    </row>
    <row r="51" ht="60" customHeight="1">
      <c r="A51" s="3" t="str">
        <v>GT-2024-023</v>
      </c>
      <c r="B51" s="3" t="str">
        <v>XXIV</v>
      </c>
      <c r="C51" s="3" t="str">
        <v>Health</v>
      </c>
      <c r="D51" s="3" t="str">
        <v>Saúde - Gabinete da Ministra da Saúde</v>
      </c>
      <c r="E51" s="3" t="str">
        <v>https://diariodarepublica.pt/dr/detalhe/despacho/10208-a-2024-886333775</v>
      </c>
    </row>
    <row r="52" ht="60" customHeight="1">
      <c r="A52" s="3" t="str">
        <v>GT-2024-024</v>
      </c>
      <c r="B52" s="3" t="str">
        <v>XXIV</v>
      </c>
      <c r="C52" s="3" t="str">
        <v>Justice</v>
      </c>
      <c r="D52" s="3" t="str">
        <v>Justiça, Administração Interna e Saúde - Gabinete da Ministra da Justiça, Gabinete da Ministra da Administração Interna e Gabinete da Ministra da Saúde</v>
      </c>
      <c r="E52" s="3" t="str">
        <v>https://diariodarepublica.pt/dr/detalhe/despacho/10294-c-2024-886385435</v>
      </c>
    </row>
    <row r="53" ht="60" customHeight="1">
      <c r="A53" s="3" t="str">
        <v>GT-2024-024</v>
      </c>
      <c r="B53" s="3" t="str">
        <v>XXIV</v>
      </c>
      <c r="C53" s="3" t="str">
        <v>Internal affairs</v>
      </c>
      <c r="D53" s="3" t="str">
        <v>Justiça, Administração Interna e Saúde - Gabinete da Ministra da Justiça, Gabinete da Ministra da Administração Interna e Gabinete da Ministra da Saúde</v>
      </c>
      <c r="E53" s="3" t="str">
        <v>https://diariodarepublica.pt/dr/detalhe/despacho/10294-c-2024-886385435</v>
      </c>
    </row>
    <row r="54" ht="60" customHeight="1">
      <c r="A54" s="3" t="str">
        <v>GT-2024-024</v>
      </c>
      <c r="B54" s="3" t="str">
        <v>XXIV</v>
      </c>
      <c r="C54" s="3" t="str">
        <v>Health</v>
      </c>
      <c r="D54" s="3" t="str">
        <v>Justiça, Administração Interna e Saúde - Gabinete da Ministra da Justiça, Gabinete da Ministra da Administração Interna e Gabinete da Ministra da Saúde</v>
      </c>
      <c r="E54" s="3" t="str">
        <v>https://diariodarepublica.pt/dr/detalhe/despacho/10294-c-2024-886385435</v>
      </c>
    </row>
    <row r="55" ht="60" customHeight="1">
      <c r="A55" s="3" t="str">
        <v>GT-2024-025</v>
      </c>
      <c r="B55" s="3" t="str">
        <v>XXIV</v>
      </c>
      <c r="C55" s="3" t="str">
        <v>Justice</v>
      </c>
      <c r="D55" s="3" t="str">
        <v>Justiça, Administração Interna e Saúde - Gabinete da Ministra da Justiça, Gabinete da Ministra da Administração Interna e Gabinete da Ministra da Saúde</v>
      </c>
      <c r="E55" s="3" t="str">
        <v>https://diariodarepublica.pt/dr/detalhe/despacho/10294-c-2024-886385435</v>
      </c>
    </row>
    <row r="56" ht="60" customHeight="1">
      <c r="A56" s="3" t="str">
        <v>GT-2024-025</v>
      </c>
      <c r="B56" s="3" t="str">
        <v>XXIV</v>
      </c>
      <c r="C56" s="3" t="str">
        <v>Internal affairs</v>
      </c>
      <c r="D56" s="3" t="str">
        <v>Justiça, Administração Interna e Saúde - Gabinete da Ministra da Justiça, Gabinete da Ministra da Administração Interna e Gabinete da Ministra da Saúde</v>
      </c>
      <c r="E56" s="3" t="str">
        <v>https://diariodarepublica.pt/dr/detalhe/despacho/10294-c-2024-886385435</v>
      </c>
    </row>
    <row r="57" ht="60" customHeight="1">
      <c r="A57" s="3" t="str">
        <v>GT-2024-025</v>
      </c>
      <c r="B57" s="3" t="str">
        <v>XXIV</v>
      </c>
      <c r="C57" s="3" t="str">
        <v>Health</v>
      </c>
      <c r="D57" s="3" t="str">
        <v>Justiça, Administração Interna e Saúde - Gabinete da Ministra da Justiça, Gabinete da Ministra da Administração Interna e Gabinete da Ministra da Saúde</v>
      </c>
      <c r="E57" s="3" t="str">
        <v>https://diariodarepublica.pt/dr/detalhe/despacho/10294-c-2024-886385435</v>
      </c>
    </row>
    <row r="58" ht="60" customHeight="1">
      <c r="A58" s="3" t="str">
        <v>GT-2024-026</v>
      </c>
      <c r="B58" s="3" t="str">
        <v>XXIV</v>
      </c>
      <c r="C58" s="3" t="str">
        <v>Justice</v>
      </c>
      <c r="D58" s="3" t="str">
        <v>Justiça, Administração Interna e Saúde - Gabinete da Ministra da Justiça, Gabinete da Ministra da Administração Interna e Gabinete da Ministra da Saúde</v>
      </c>
      <c r="E58" s="3" t="str">
        <v>https://diariodarepublica.pt/dr/detalhe/despacho/10294-c-2024-886385435</v>
      </c>
    </row>
    <row r="59" ht="60" customHeight="1">
      <c r="A59" s="3" t="str">
        <v>GT-2024-026</v>
      </c>
      <c r="B59" s="3" t="str">
        <v>XXIV</v>
      </c>
      <c r="C59" s="3" t="str">
        <v>Internal affairs</v>
      </c>
      <c r="D59" s="3" t="str">
        <v>Justiça, Administração Interna e Saúde - Gabinete da Ministra da Justiça, Gabinete da Ministra da Administração Interna e Gabinete da Ministra da Saúde</v>
      </c>
      <c r="E59" s="3" t="str">
        <v>https://diariodarepublica.pt/dr/detalhe/despacho/10294-c-2024-886385435</v>
      </c>
    </row>
    <row r="60" ht="60" customHeight="1">
      <c r="A60" s="3" t="str">
        <v>GT-2024-026</v>
      </c>
      <c r="B60" s="3" t="str">
        <v>XXIV</v>
      </c>
      <c r="C60" s="3" t="str">
        <v>Health</v>
      </c>
      <c r="D60" s="3" t="str">
        <v>Justiça, Administração Interna e Saúde - Gabinete da Ministra da Justiça, Gabinete da Ministra da Administração Interna e Gabinete da Ministra da Saúde</v>
      </c>
      <c r="E60" s="3" t="str">
        <v>https://diariodarepublica.pt/dr/detalhe/despacho/10294-c-2024-886385435</v>
      </c>
    </row>
    <row r="61" ht="60" customHeight="1">
      <c r="A61" s="3" t="str">
        <v>GT-2024-027</v>
      </c>
      <c r="B61" s="3" t="str">
        <v>XXIV</v>
      </c>
      <c r="C61" s="3" t="str">
        <v>Infrastructure / Housing</v>
      </c>
      <c r="D61" s="3" t="str">
        <v>Infraestruturas e Habitação e Ambiente e Energia - Gabinete do Ministro das Infraestruturas e Habitação e Gabinete da Ministra do Ambiente e Energia</v>
      </c>
      <c r="E61" s="3" t="str">
        <v>https://diariodarepublica.pt/dr/detalhe/despacho/10559-2024-887067337</v>
      </c>
    </row>
    <row r="62" ht="60" customHeight="1">
      <c r="A62" s="3" t="str">
        <v>GT-2024-027</v>
      </c>
      <c r="B62" s="3" t="str">
        <v>XXIV</v>
      </c>
      <c r="C62" s="3" t="str">
        <v>Environment / Energy</v>
      </c>
      <c r="D62" s="3" t="str">
        <v>Infraestruturas e Habitação e Ambiente e Energia - Gabinete do Ministro das Infraestruturas e Habitação e Gabinete da Ministra do Ambiente e Energia</v>
      </c>
      <c r="E62" s="3" t="str">
        <v>https://diariodarepublica.pt/dr/detalhe/despacho/10559-2024-887067337</v>
      </c>
    </row>
    <row r="63" ht="60" customHeight="1">
      <c r="A63" s="3" t="str">
        <v>GT-2024-028</v>
      </c>
      <c r="B63" s="3" t="str">
        <v>XXIV</v>
      </c>
      <c r="C63" s="3" t="str">
        <v>Presidency / Council of Ministers</v>
      </c>
      <c r="D63" s="3" t="str">
        <v>Presidência do Conselho de Ministros</v>
      </c>
      <c r="E63" s="3" t="str">
        <v>https://diariodarepublica.pt/dr/detalhe/resolucao-conselho-ministros/126-a-2024-888218912</v>
      </c>
    </row>
    <row r="64" ht="60" customHeight="1">
      <c r="A64" s="3" t="str">
        <v>GT-2024-029</v>
      </c>
      <c r="B64" s="3" t="str">
        <v>XXIV</v>
      </c>
      <c r="C64" s="3" t="str">
        <v>Finance</v>
      </c>
      <c r="D64" s="3" t="str">
        <v>Finanças e Justiça - Gabinete do Ministro de Estado e das Finanças e Gabinete da Ministra da Justiça</v>
      </c>
      <c r="E64" s="3" t="str">
        <v>https://diariodarepublica.pt/dr/detalhe/despacho/10989-2024-888216496</v>
      </c>
    </row>
    <row r="65" ht="60" customHeight="1">
      <c r="A65" s="3" t="str">
        <v>GT-2024-029</v>
      </c>
      <c r="B65" s="3" t="str">
        <v>XXIV</v>
      </c>
      <c r="C65" s="3" t="str">
        <v>Justice</v>
      </c>
      <c r="D65" s="3" t="str">
        <v>Finanças e Justiça - Gabinete do Ministro de Estado e das Finanças e Gabinete da Ministra da Justiça</v>
      </c>
      <c r="E65" s="3" t="str">
        <v>https://diariodarepublica.pt/dr/detalhe/despacho/10989-2024-888216496</v>
      </c>
    </row>
    <row r="66" ht="60" customHeight="1">
      <c r="A66" s="3" t="str">
        <v>GT-2024-030</v>
      </c>
      <c r="B66" s="3" t="str">
        <v>XXIV</v>
      </c>
      <c r="C66" s="3" t="str">
        <v>Education / Science</v>
      </c>
      <c r="D66" s="3" t="str">
        <v>Educação, Ciência e Inovação e Juventude e Modernização - Gabinete do Ministro da Educação, Ciência e Inovação e Gabinete da Ministra da Juventude e Modernização</v>
      </c>
      <c r="E66" s="3" t="str">
        <v>https://diariodarepublica.pt/dr/detalhe/despacho/11152-2024-888560032</v>
      </c>
    </row>
    <row r="67" ht="60" customHeight="1">
      <c r="A67" s="3" t="str">
        <v>GT-2024-030</v>
      </c>
      <c r="B67" s="3" t="str">
        <v>XXIV</v>
      </c>
      <c r="C67" s="3" t="str">
        <v>Youth / Modernisation</v>
      </c>
      <c r="D67" s="3" t="str">
        <v>Educação, Ciência e Inovação e Juventude e Modernização - Gabinete do Ministro da Educação, Ciência e Inovação e Gabinete da Ministra da Juventude e Modernização</v>
      </c>
      <c r="E67" s="3" t="str">
        <v>https://diariodarepublica.pt/dr/detalhe/despacho/11152-2024-888560032</v>
      </c>
    </row>
    <row r="68" ht="60" customHeight="1">
      <c r="A68" s="3" t="str">
        <v>GT-2024-031</v>
      </c>
      <c r="B68" s="3" t="str">
        <v>XXIV</v>
      </c>
      <c r="C68" s="3" t="str">
        <v>Internal affairs</v>
      </c>
      <c r="D68" s="3" t="str">
        <v>Administração Interna - Gabinete da Ministra da Administração Interna</v>
      </c>
      <c r="E68" s="3" t="str">
        <v>https://diariodarepublica.pt/dr/detalhe/despacho/11271-2024-888843218</v>
      </c>
    </row>
    <row r="69" ht="60" customHeight="1">
      <c r="A69" s="3" t="str">
        <v>GT-2024-032</v>
      </c>
      <c r="B69" s="3" t="str">
        <v>XXIV</v>
      </c>
      <c r="C69" s="3" t="str">
        <v>Presidency / Council of Ministers</v>
      </c>
      <c r="D69" s="3" t="str">
        <v>Presidência do Conselho de Ministros, Negócios Estrangeiros, Justiça e Administração Interna - Gabinete do Ministro de Estado e dos Negócios Estrangeiros, Gabinete do Ministro da Presidência, Gabinete da Ministra da Justiça e Gabinete da Ministra da Administração Interna</v>
      </c>
      <c r="E69" s="3" t="str">
        <v>https://diariodarepublica.pt/dr/detalhe/despacho/11856-a-2024-890194538</v>
      </c>
    </row>
    <row r="70" ht="60" customHeight="1">
      <c r="A70" s="3" t="str">
        <v>GT-2024-032</v>
      </c>
      <c r="B70" s="3" t="str">
        <v>XXIV</v>
      </c>
      <c r="C70" s="3" t="str">
        <v>Foreign affairs</v>
      </c>
      <c r="D70" s="3" t="str">
        <v>Presidência do Conselho de Ministros, Negócios Estrangeiros, Justiça e Administração Interna - Gabinete do Ministro de Estado e dos Negócios Estrangeiros, Gabinete do Ministro da Presidência, Gabinete da Ministra da Justiça e Gabinete da Ministra da Administração Interna</v>
      </c>
      <c r="E70" s="3" t="str">
        <v>https://diariodarepublica.pt/dr/detalhe/despacho/11856-a-2024-890194538</v>
      </c>
    </row>
    <row r="71" ht="60" customHeight="1">
      <c r="A71" s="3" t="str">
        <v>GT-2024-032</v>
      </c>
      <c r="B71" s="3" t="str">
        <v>XXIV</v>
      </c>
      <c r="C71" s="3" t="str">
        <v>Justice</v>
      </c>
      <c r="D71" s="3" t="str">
        <v>Presidência do Conselho de Ministros, Negócios Estrangeiros, Justiça e Administração Interna - Gabinete do Ministro de Estado e dos Negócios Estrangeiros, Gabinete do Ministro da Presidência, Gabinete da Ministra da Justiça e Gabinete da Ministra da Administração Interna</v>
      </c>
      <c r="E71" s="3" t="str">
        <v>https://diariodarepublica.pt/dr/detalhe/despacho/11856-a-2024-890194538</v>
      </c>
    </row>
    <row r="72" ht="60" customHeight="1">
      <c r="A72" s="3" t="str">
        <v>GT-2024-032</v>
      </c>
      <c r="B72" s="3" t="str">
        <v>XXIV</v>
      </c>
      <c r="C72" s="3" t="str">
        <v>Internal affairs</v>
      </c>
      <c r="D72" s="3" t="str">
        <v>Presidência do Conselho de Ministros, Negócios Estrangeiros, Justiça e Administração Interna - Gabinete do Ministro de Estado e dos Negócios Estrangeiros, Gabinete do Ministro da Presidência, Gabinete da Ministra da Justiça e Gabinete da Ministra da Administração Interna</v>
      </c>
      <c r="E72" s="3" t="str">
        <v>https://diariodarepublica.pt/dr/detalhe/despacho/11856-a-2024-890194538</v>
      </c>
    </row>
    <row r="73" ht="60" customHeight="1">
      <c r="A73" s="3" t="str">
        <v>GT-2024-033</v>
      </c>
      <c r="B73" s="3" t="str">
        <v>XXIV</v>
      </c>
      <c r="C73" s="3" t="str">
        <v>Health</v>
      </c>
      <c r="D73" s="3" t="str">
        <v>Saúde - Gabinete da Secretária de Estado da Saúde</v>
      </c>
      <c r="E73" s="3" t="str">
        <v>https://diariodarepublica.pt/dr/detalhe/despacho/12071-2024-890791825</v>
      </c>
    </row>
    <row r="74" ht="60" customHeight="1">
      <c r="A74" s="3" t="str">
        <v>GT-2024-034</v>
      </c>
      <c r="B74" s="3" t="str">
        <v>XXIV</v>
      </c>
      <c r="C74" s="3" t="str">
        <v>Health</v>
      </c>
      <c r="D74" s="3" t="str">
        <v>Saúde - Gabinete da Secretária de Estado da Saúde</v>
      </c>
      <c r="E74" s="3" t="str">
        <v>https://diariodarepublica.pt/dr/detalhe/despacho/12072-2024-890791826</v>
      </c>
    </row>
    <row r="75" ht="60" customHeight="1">
      <c r="A75" s="3" t="str">
        <v>GT-2024-035</v>
      </c>
      <c r="B75" s="3" t="str">
        <v>XXIV</v>
      </c>
      <c r="C75" s="3" t="str">
        <v>Education / Science</v>
      </c>
      <c r="D75" s="3" t="str">
        <v>Educação, Ciência e Inovação - Gabinete do Ministro da Educação, Ciência e Inovação</v>
      </c>
      <c r="E75" s="3" t="str">
        <v>https://diariodarepublica.pt/dr/detalhe/despacho/12293-2024-891174394</v>
      </c>
    </row>
    <row r="76" ht="60" customHeight="1">
      <c r="A76" s="3" t="str">
        <v>GT-2024-036</v>
      </c>
      <c r="B76" s="3" t="str">
        <v>XXIV</v>
      </c>
      <c r="C76" s="3" t="str">
        <v>Labour / Social security</v>
      </c>
      <c r="D76" s="3" t="str">
        <v>Trabalho, Solidariedade e Segurança Social - Gabinete da Secretária de Estado da Ação Social e da Inclusão</v>
      </c>
      <c r="E76" s="3" t="str">
        <v>https://diariodarepublica.pt/dr/detalhe/despacho/12645-2024-892306790</v>
      </c>
    </row>
    <row r="77" ht="60" customHeight="1">
      <c r="A77" s="3" t="str">
        <v>GT-2024-037</v>
      </c>
      <c r="B77" s="3" t="str">
        <v>XXIV</v>
      </c>
      <c r="C77" s="3" t="str">
        <v>Presidency / Council of Ministers</v>
      </c>
      <c r="D77"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E77" s="3" t="str">
        <v>https://diariodarepublica.pt/dr/detalhe/despacho/12734-2024-892664373</v>
      </c>
    </row>
    <row r="78" ht="60" customHeight="1">
      <c r="A78" s="3" t="str">
        <v>GT-2024-037</v>
      </c>
      <c r="B78" s="3" t="str">
        <v>XXIV</v>
      </c>
      <c r="C78" s="3" t="str">
        <v>Economy</v>
      </c>
      <c r="D78"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E78" s="3" t="str">
        <v>https://diariodarepublica.pt/dr/detalhe/despacho/12734-2024-892664373</v>
      </c>
    </row>
    <row r="79" ht="60" customHeight="1">
      <c r="A79" s="3" t="str">
        <v>GT-2024-037</v>
      </c>
      <c r="B79" s="3" t="str">
        <v>XXIV</v>
      </c>
      <c r="C79" s="3" t="str">
        <v>Environment / Energy</v>
      </c>
      <c r="D79"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E79" s="3" t="str">
        <v>https://diariodarepublica.pt/dr/detalhe/despacho/12734-2024-892664373</v>
      </c>
    </row>
    <row r="80" ht="60" customHeight="1">
      <c r="A80" s="3" t="str">
        <v>GT-2024-037</v>
      </c>
      <c r="B80" s="3" t="str">
        <v>XXIV</v>
      </c>
      <c r="C80" s="3" t="str">
        <v>Agriculture / Fisheries / Sea</v>
      </c>
      <c r="D80"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E80" s="3" t="str">
        <v>https://diariodarepublica.pt/dr/detalhe/despacho/12734-2024-892664373</v>
      </c>
    </row>
    <row r="81" ht="60" customHeight="1">
      <c r="A81" s="3" t="str">
        <v>GT-2024-037</v>
      </c>
      <c r="B81" s="3" t="str">
        <v>XXIV</v>
      </c>
      <c r="C81" s="3" t="str">
        <v>Territorial cohesion</v>
      </c>
      <c r="D81"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E81" s="3" t="str">
        <v>https://diariodarepublica.pt/dr/detalhe/despacho/12734-2024-892664373</v>
      </c>
    </row>
    <row r="82" ht="60" customHeight="1">
      <c r="A82" s="3" t="str">
        <v>GT-2024-038</v>
      </c>
      <c r="B82" s="3" t="str">
        <v>XXIV</v>
      </c>
      <c r="C82" s="3" t="str">
        <v>Health</v>
      </c>
      <c r="D82" s="3" t="str">
        <v>Saúde - Gabinete da Secretária de Estado da Saúde</v>
      </c>
      <c r="E82" s="3" t="str">
        <v>https://diariodarepublica.pt/dr/detalhe/despacho/12964-2024-894207815</v>
      </c>
    </row>
    <row r="83" ht="60" customHeight="1">
      <c r="A83" s="3" t="str">
        <v>GT-2024-039</v>
      </c>
      <c r="B83" s="3" t="str">
        <v>XXIV</v>
      </c>
      <c r="C83" s="3" t="str">
        <v>Justice</v>
      </c>
      <c r="D83" s="3" t="str">
        <v>Justiça e Saúde - Gabinete da Secretária de Estado Adjunta e da Justiça e Gabinete da Secretária de Estado da Saúde</v>
      </c>
      <c r="E83" s="3" t="str">
        <v>https://diariodarepublica.pt/dr/detalhe/despacho/13345-2024-896165032</v>
      </c>
    </row>
    <row r="84" ht="60" customHeight="1">
      <c r="A84" s="3" t="str">
        <v>GT-2024-039</v>
      </c>
      <c r="B84" s="3" t="str">
        <v>XXIV</v>
      </c>
      <c r="C84" s="3" t="str">
        <v>Health</v>
      </c>
      <c r="D84" s="3" t="str">
        <v>Justiça e Saúde - Gabinete da Secretária de Estado Adjunta e da Justiça e Gabinete da Secretária de Estado da Saúde</v>
      </c>
      <c r="E84" s="3" t="str">
        <v>https://diariodarepublica.pt/dr/detalhe/despacho/13345-2024-896165032</v>
      </c>
    </row>
    <row r="85" ht="60" customHeight="1">
      <c r="A85" s="3" t="str">
        <v>GT-2024-040</v>
      </c>
      <c r="B85" s="3" t="str">
        <v>XXIV</v>
      </c>
      <c r="C85" s="3" t="str">
        <v>Health</v>
      </c>
      <c r="D85" s="3" t="str">
        <v>Saúde - Gabinete da Secretária de Estado da Gestão da Saúde</v>
      </c>
      <c r="E85" s="3" t="str">
        <v>https://diariodarepublica.pt/dr/detalhe/despacho/13355-2024-896165054</v>
      </c>
    </row>
    <row r="86" ht="60" customHeight="1">
      <c r="A86" s="3" t="str">
        <v>GT-2024-041</v>
      </c>
      <c r="B86" s="3" t="str">
        <v>XXIV</v>
      </c>
      <c r="C86" s="3" t="str">
        <v>Presidency / Council of Ministers</v>
      </c>
      <c r="D86" s="3" t="str">
        <v>Presidência do Conselho de Ministros e Finanças - Gabinete do Ministro de Estado e das Finanças e Gabinete do Ministro da Presidência</v>
      </c>
      <c r="E86" s="3" t="str">
        <v>https://diariodarepublica.pt/dr/detalhe/despacho/13583-2024-896828793</v>
      </c>
    </row>
    <row r="87" ht="60" customHeight="1">
      <c r="A87" s="3" t="str">
        <v>GT-2024-041</v>
      </c>
      <c r="B87" s="3" t="str">
        <v>XXIV</v>
      </c>
      <c r="C87" s="3" t="str">
        <v>Finance</v>
      </c>
      <c r="D87" s="3" t="str">
        <v>Presidência do Conselho de Ministros e Finanças - Gabinete do Ministro de Estado e das Finanças e Gabinete do Ministro da Presidência</v>
      </c>
      <c r="E87" s="3" t="str">
        <v>https://diariodarepublica.pt/dr/detalhe/despacho/13583-2024-896828793</v>
      </c>
    </row>
    <row r="88" ht="60" customHeight="1">
      <c r="A88" s="3" t="str">
        <v>GT-2024-042</v>
      </c>
      <c r="B88" s="3" t="str">
        <v>XXIV</v>
      </c>
      <c r="C88" s="3" t="str">
        <v>Justice</v>
      </c>
      <c r="D88" s="3" t="str">
        <v>Justiça - Gabinete da Secretária de Estado da Justiça</v>
      </c>
      <c r="E88" s="3" t="str">
        <v>https://diariodarepublica.pt/dr/detalhe/despacho/13786-2024-897217652</v>
      </c>
    </row>
    <row r="89" ht="60" customHeight="1">
      <c r="A89" s="3" t="str">
        <v>GT-2024-043</v>
      </c>
      <c r="B89" s="3" t="str">
        <v>XXIV</v>
      </c>
      <c r="C89" s="3" t="str">
        <v>Justice</v>
      </c>
      <c r="D89" s="3" t="str">
        <v>Justiça e Trabalho, Solidariedade e Segurança Social - Gabinete da Secretária de Estado Adjunta e da Justiça, Gabinete do Secretário de Estado do Trabalho e Gabinete do Secretário de Estado da Segurança Social</v>
      </c>
      <c r="E89" s="3" t="str">
        <v>https://diariodarepublica.pt/dr/detalhe/despacho/13890-2024-897660800</v>
      </c>
    </row>
    <row r="90" ht="60" customHeight="1">
      <c r="A90" s="3" t="str">
        <v>GT-2024-043</v>
      </c>
      <c r="B90" s="3" t="str">
        <v>XXIV</v>
      </c>
      <c r="C90" s="3" t="str">
        <v>Labour / Social security</v>
      </c>
      <c r="D90" s="3" t="str">
        <v>Justiça e Trabalho, Solidariedade e Segurança Social - Gabinete da Secretária de Estado Adjunta e da Justiça, Gabinete do Secretário de Estado do Trabalho e Gabinete do Secretário de Estado da Segurança Social</v>
      </c>
      <c r="E90" s="3" t="str">
        <v>https://diariodarepublica.pt/dr/detalhe/despacho/13890-2024-897660800</v>
      </c>
    </row>
    <row r="91" ht="60" customHeight="1">
      <c r="A91" s="3" t="str">
        <v>GT-2024-044</v>
      </c>
      <c r="B91" s="3" t="str">
        <v>XXIV</v>
      </c>
      <c r="C91" s="3" t="str">
        <v>Justice</v>
      </c>
      <c r="D91" s="3" t="str">
        <v>Justiça - Gabinete da Secretária de Estado da Justiça</v>
      </c>
      <c r="E91" s="3" t="str">
        <v>https://diariodarepublica.pt/dr/detalhe/despacho/13946-2024-897796652</v>
      </c>
    </row>
    <row r="92" ht="60" customHeight="1">
      <c r="A92" s="3" t="str">
        <v>GT-2024-045</v>
      </c>
      <c r="B92" s="3" t="str">
        <v>XXIV</v>
      </c>
      <c r="C92" s="3" t="str">
        <v>Presidency / Council of Ministers</v>
      </c>
      <c r="D92" s="3" t="str">
        <v>Presidência do Conselho de Ministros e Ambiente e Energia - Gabinete do Ministro Adjunto e da Coesão Territorial, Gabinete do Secretário de Estado do Ambiente e Gabinete da Secretária de Estado da Energia</v>
      </c>
      <c r="E92" s="3" t="str">
        <v>https://diariodarepublica.pt/dr/detalhe/despacho/14013-a-2024-897796612</v>
      </c>
    </row>
    <row r="93" ht="60" customHeight="1">
      <c r="A93" s="3" t="str">
        <v>GT-2024-045</v>
      </c>
      <c r="B93" s="3" t="str">
        <v>XXIV</v>
      </c>
      <c r="C93" s="3" t="str">
        <v>Environment / Energy</v>
      </c>
      <c r="D93" s="3" t="str">
        <v>Presidência do Conselho de Ministros e Ambiente e Energia - Gabinete do Ministro Adjunto e da Coesão Territorial, Gabinete do Secretário de Estado do Ambiente e Gabinete da Secretária de Estado da Energia</v>
      </c>
      <c r="E93" s="3" t="str">
        <v>https://diariodarepublica.pt/dr/detalhe/despacho/14013-a-2024-897796612</v>
      </c>
    </row>
    <row r="94" ht="60" customHeight="1">
      <c r="A94" s="3" t="str">
        <v>GT-2024-045</v>
      </c>
      <c r="B94" s="3" t="str">
        <v>XXIV</v>
      </c>
      <c r="C94" s="3" t="str">
        <v>Territorial cohesion</v>
      </c>
      <c r="D94" s="3" t="str">
        <v>Presidência do Conselho de Ministros e Ambiente e Energia - Gabinete do Ministro Adjunto e da Coesão Territorial, Gabinete do Secretário de Estado do Ambiente e Gabinete da Secretária de Estado da Energia</v>
      </c>
      <c r="E94" s="3" t="str">
        <v>https://diariodarepublica.pt/dr/detalhe/despacho/14013-a-2024-897796612</v>
      </c>
    </row>
    <row r="95" ht="60" customHeight="1">
      <c r="A95" s="3" t="str">
        <v>GT-2024-046</v>
      </c>
      <c r="B95" s="3" t="str">
        <v>XXIV</v>
      </c>
      <c r="C95" s="3" t="str">
        <v>Presidency / Council of Ministers</v>
      </c>
      <c r="D95" s="3" t="str">
        <v>Presidência do Conselho de Ministros, Negócios Estrangeiros e Justiça - Gabinete do Secretário de Estado das Comunidades Portuguesas, Gabinete do Secretário de Estado da Presidência do Conselho de Ministros e Gabinete da Secretária de Estado da Justiça</v>
      </c>
      <c r="E95" s="3" t="str">
        <v>https://diariodarepublica.pt/dr/detalhe/despacho/14284-2024-898695314</v>
      </c>
    </row>
    <row r="96" ht="60" customHeight="1">
      <c r="A96" s="3" t="str">
        <v>GT-2024-046</v>
      </c>
      <c r="B96" s="3" t="str">
        <v>XXIV</v>
      </c>
      <c r="C96" s="3" t="str">
        <v>Foreign affairs</v>
      </c>
      <c r="D96" s="3" t="str">
        <v>Presidência do Conselho de Ministros, Negócios Estrangeiros e Justiça - Gabinete do Secretário de Estado das Comunidades Portuguesas, Gabinete do Secretário de Estado da Presidência do Conselho de Ministros e Gabinete da Secretária de Estado da Justiça</v>
      </c>
      <c r="E96" s="3" t="str">
        <v>https://diariodarepublica.pt/dr/detalhe/despacho/14284-2024-898695314</v>
      </c>
    </row>
    <row r="97" ht="60" customHeight="1">
      <c r="A97" s="3" t="str">
        <v>GT-2024-046</v>
      </c>
      <c r="B97" s="3" t="str">
        <v>XXIV</v>
      </c>
      <c r="C97" s="3" t="str">
        <v>Justice</v>
      </c>
      <c r="D97" s="3" t="str">
        <v>Presidência do Conselho de Ministros, Negócios Estrangeiros e Justiça - Gabinete do Secretário de Estado das Comunidades Portuguesas, Gabinete do Secretário de Estado da Presidência do Conselho de Ministros e Gabinete da Secretária de Estado da Justiça</v>
      </c>
      <c r="E97" s="3" t="str">
        <v>https://diariodarepublica.pt/dr/detalhe/despacho/14284-2024-898695314</v>
      </c>
    </row>
    <row r="98" ht="60" customHeight="1">
      <c r="A98" s="3" t="str">
        <v>GT-2024-047</v>
      </c>
      <c r="B98" s="3" t="str">
        <v>XXIV</v>
      </c>
      <c r="C98" s="3" t="str">
        <v>Finance</v>
      </c>
      <c r="D98" s="3" t="str">
        <v>Finanças - Gabinete do Secretário de Estado do Tesouro e das Finanças</v>
      </c>
      <c r="E98" s="3" t="str">
        <v>https://diariodarepublica.pt/dr/detalhe/despacho/14622-2024-899721530</v>
      </c>
    </row>
    <row r="99" ht="60" customHeight="1">
      <c r="A99" s="3" t="str">
        <v>GT-2024-048</v>
      </c>
      <c r="B99" s="3" t="str">
        <v>XXIV</v>
      </c>
      <c r="C99" s="3" t="str">
        <v>Finance</v>
      </c>
      <c r="D99" s="3" t="str">
        <v>Finanças, Administração Interna e Trabalho, Solidariedade e Segurança Social - Gabinete do Ministro de Estado e das Finanças, Gabinete da Ministra da Administração Interna e Gabinete da Ministra do Trabalho, Solidariedade e Segurança Social</v>
      </c>
      <c r="E99" s="3" t="str">
        <v>https://diariodarepublica.pt/dr/detalhe/despacho/14758-2024-899911211</v>
      </c>
    </row>
    <row r="100" ht="60" customHeight="1">
      <c r="A100" s="3" t="str">
        <v>GT-2024-048</v>
      </c>
      <c r="B100" s="3" t="str">
        <v>XXIV</v>
      </c>
      <c r="C100" s="3" t="str">
        <v>Internal affairs</v>
      </c>
      <c r="D100" s="3" t="str">
        <v>Finanças, Administração Interna e Trabalho, Solidariedade e Segurança Social - Gabinete do Ministro de Estado e das Finanças, Gabinete da Ministra da Administração Interna e Gabinete da Ministra do Trabalho, Solidariedade e Segurança Social</v>
      </c>
      <c r="E100" s="3" t="str">
        <v>https://diariodarepublica.pt/dr/detalhe/despacho/14758-2024-899911211</v>
      </c>
    </row>
    <row r="101" ht="60" customHeight="1">
      <c r="A101" s="3" t="str">
        <v>GT-2024-048</v>
      </c>
      <c r="B101" s="3" t="str">
        <v>XXIV</v>
      </c>
      <c r="C101" s="3" t="str">
        <v>Labour / Social security</v>
      </c>
      <c r="D101" s="3" t="str">
        <v>Finanças, Administração Interna e Trabalho, Solidariedade e Segurança Social - Gabinete do Ministro de Estado e das Finanças, Gabinete da Ministra da Administração Interna e Gabinete da Ministra do Trabalho, Solidariedade e Segurança Social</v>
      </c>
      <c r="E101" s="3" t="str">
        <v>https://diariodarepublica.pt/dr/detalhe/despacho/14758-2024-899911211</v>
      </c>
    </row>
    <row r="102" ht="60" customHeight="1">
      <c r="A102" s="3" t="str">
        <v>GT-2024-049</v>
      </c>
      <c r="B102" s="3" t="str">
        <v>XXIV</v>
      </c>
      <c r="C102" s="3" t="str">
        <v>Justice</v>
      </c>
      <c r="D102" s="3" t="str">
        <v>Justiça e Trabalho, Solidariedade e Segurança Social - Gabinete da Secretária de Estado Adjunta e da Justiça e Gabinete da Secretária de Estado da Ação Social e da Inclusão</v>
      </c>
      <c r="E102" s="3" t="str">
        <v>https://diariodarepublica.pt/dr/detalhe/despacho/14926-2024-900549494</v>
      </c>
    </row>
    <row r="103" ht="60" customHeight="1">
      <c r="A103" s="3" t="str">
        <v>GT-2024-049</v>
      </c>
      <c r="B103" s="3" t="str">
        <v>XXIV</v>
      </c>
      <c r="C103" s="3" t="str">
        <v>Labour / Social security</v>
      </c>
      <c r="D103" s="3" t="str">
        <v>Justiça e Trabalho, Solidariedade e Segurança Social - Gabinete da Secretária de Estado Adjunta e da Justiça e Gabinete da Secretária de Estado da Ação Social e da Inclusão</v>
      </c>
      <c r="E103" s="3" t="str">
        <v>https://diariodarepublica.pt/dr/detalhe/despacho/14926-2024-900549494</v>
      </c>
    </row>
    <row r="104" ht="60" customHeight="1">
      <c r="A104" s="3" t="str">
        <v>GT-2024-050</v>
      </c>
      <c r="B104" s="3" t="str">
        <v>XXIV</v>
      </c>
      <c r="C104" s="3" t="str">
        <v>Youth / Modernisation</v>
      </c>
      <c r="D104" s="3" t="str">
        <v>Juventude e Modernização - Gabinete da Ministra da Juventude e Modernização</v>
      </c>
      <c r="E104" s="3" t="str">
        <v>https://diariodarepublica.pt/dr/detalhe/despacho/15073-2024-901014350</v>
      </c>
    </row>
    <row r="105" ht="60" customHeight="1">
      <c r="A105" s="3" t="str">
        <v>GT-2024-051</v>
      </c>
      <c r="B105" s="3" t="str">
        <v>XXIV</v>
      </c>
      <c r="C105" s="3" t="str">
        <v>Presidency / Council of Ministers</v>
      </c>
      <c r="D105" s="3" t="str">
        <v>Presidência do Conselho de Ministros</v>
      </c>
      <c r="E105" s="3" t="str">
        <v>https://diariodarepublica.pt/dr/detalhe/resolucao-conselho-ministros/207-2024-901536081</v>
      </c>
    </row>
    <row r="106" ht="60" customHeight="1">
      <c r="A106" s="3" t="str">
        <v>GT-2025-001</v>
      </c>
      <c r="B106" s="3" t="str">
        <v>XXIV</v>
      </c>
      <c r="C106" s="3" t="str">
        <v>Environment / Energy</v>
      </c>
      <c r="D106" s="3" t="str">
        <v>Ambiente e Energia - Gabinete da Secretária de Estado da Energia</v>
      </c>
      <c r="E106" s="3" t="str">
        <v>https://diariodarepublica.pt/dr/detalhe/despacho/382-2025-902718273</v>
      </c>
    </row>
    <row r="107" ht="60" customHeight="1">
      <c r="A107" s="3" t="str">
        <v>GT-2025-002</v>
      </c>
      <c r="B107" s="3" t="str">
        <v>XXIV</v>
      </c>
      <c r="C107" s="3" t="str">
        <v>Finance</v>
      </c>
      <c r="D107" s="3" t="str">
        <v>Finanças - Gabinete do Ministro de Estado e das Finanças</v>
      </c>
      <c r="E107" s="3" t="str">
        <v>https://diariodarepublica.pt/dr/detalhe/despacho/507-2025-902932710</v>
      </c>
    </row>
    <row r="108" ht="60" customHeight="1">
      <c r="A108" s="3" t="str">
        <v>GT-2025-003</v>
      </c>
      <c r="B108" s="3" t="str">
        <v>XXIV</v>
      </c>
      <c r="C108" s="3" t="str">
        <v>Health</v>
      </c>
      <c r="D108" s="3" t="str">
        <v>Saúde - Gabinete da Secretária de Estado da Gestão da Saúde</v>
      </c>
      <c r="E108" s="3" t="str">
        <v>https://diariodarepublica.pt/dr/detalhe/despacho/986-2025-904227444</v>
      </c>
    </row>
    <row r="109" ht="60" customHeight="1">
      <c r="A109" s="3" t="str">
        <v>GT-2025-004</v>
      </c>
      <c r="B109" s="3" t="str">
        <v>XXIV</v>
      </c>
      <c r="C109" s="3" t="str">
        <v>Finance</v>
      </c>
      <c r="D109" s="3" t="str">
        <v>Finanças e Infraestruturas e Habitação - Gabinete da Secretária de Estado dos Assuntos Fiscais e Gabinete do Secretário de Estado das Infraestruturas</v>
      </c>
      <c r="E109" s="3" t="str">
        <v>https://diariodarepublica.pt/dr/detalhe/despacho/1116-2025-904738434</v>
      </c>
    </row>
    <row r="110" ht="60" customHeight="1">
      <c r="A110" s="3" t="str">
        <v>GT-2025-004</v>
      </c>
      <c r="B110" s="3" t="str">
        <v>XXIV</v>
      </c>
      <c r="C110" s="3" t="str">
        <v>Infrastructure / Housing</v>
      </c>
      <c r="D110" s="3" t="str">
        <v>Finanças e Infraestruturas e Habitação - Gabinete da Secretária de Estado dos Assuntos Fiscais e Gabinete do Secretário de Estado das Infraestruturas</v>
      </c>
      <c r="E110" s="3" t="str">
        <v>https://diariodarepublica.pt/dr/detalhe/despacho/1116-2025-904738434</v>
      </c>
    </row>
    <row r="111" ht="60" customHeight="1">
      <c r="A111" s="3" t="str">
        <v>GT-2025-005</v>
      </c>
      <c r="B111" s="3" t="str">
        <v>XXIV</v>
      </c>
      <c r="C111" s="3" t="str">
        <v>Labour / Social security</v>
      </c>
      <c r="D111" s="3" t="str">
        <v>Trabalho, Solidariedade e Segurança Social - Gabinete do Secretário de Estado do Trabalho</v>
      </c>
      <c r="E111" s="3" t="str">
        <v>https://diariodarepublica.pt/dr/detalhe/despacho/1391-2025-905459892</v>
      </c>
    </row>
    <row r="112" ht="60" customHeight="1">
      <c r="A112" s="3" t="str">
        <v>GT-2025-006</v>
      </c>
      <c r="B112" s="3" t="str">
        <v>XXIV</v>
      </c>
      <c r="C112" s="3" t="str">
        <v>Labour / Social security</v>
      </c>
      <c r="D112" s="3" t="str">
        <v>Trabalho, Solidariedade e Segurança Social - Gabinete da Ministra do Trabalho, Solidariedade e Segurança Social</v>
      </c>
      <c r="E112" s="3" t="str">
        <v>https://diariodarepublica.pt/dr/detalhe/despacho/1452-2025-905659876</v>
      </c>
    </row>
    <row r="113" ht="60" customHeight="1">
      <c r="A113" s="3" t="str">
        <v>GT-2025-007</v>
      </c>
      <c r="B113" s="3" t="str">
        <v>XXIV</v>
      </c>
      <c r="C113" s="3" t="str">
        <v>Defence</v>
      </c>
      <c r="D113"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E113" s="3" t="str">
        <v>https://diariodarepublica.pt/dr/detalhe/despacho/1498-2025-905831257</v>
      </c>
    </row>
    <row r="114" ht="60" customHeight="1">
      <c r="A114" s="3" t="str">
        <v>GT-2025-007</v>
      </c>
      <c r="B114" s="3" t="str">
        <v>XXIV</v>
      </c>
      <c r="C114" s="3" t="str">
        <v>Infrastructure / Housing</v>
      </c>
      <c r="D114"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E114" s="3" t="str">
        <v>https://diariodarepublica.pt/dr/detalhe/despacho/1498-2025-905831257</v>
      </c>
    </row>
    <row r="115" ht="60" customHeight="1">
      <c r="A115" s="3" t="str">
        <v>GT-2025-007</v>
      </c>
      <c r="B115" s="3" t="str">
        <v>XXIV</v>
      </c>
      <c r="C115" s="3" t="str">
        <v>Economy</v>
      </c>
      <c r="D115"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E115" s="3" t="str">
        <v>https://diariodarepublica.pt/dr/detalhe/despacho/1498-2025-905831257</v>
      </c>
    </row>
    <row r="116" ht="60" customHeight="1">
      <c r="A116" s="3" t="str">
        <v>GT-2025-007</v>
      </c>
      <c r="B116" s="3" t="str">
        <v>XXIV</v>
      </c>
      <c r="C116" s="3" t="str">
        <v>Environment / Energy</v>
      </c>
      <c r="D116"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E116" s="3" t="str">
        <v>https://diariodarepublica.pt/dr/detalhe/despacho/1498-2025-905831257</v>
      </c>
    </row>
    <row r="117" ht="60" customHeight="1">
      <c r="A117" s="3" t="str">
        <v>GT-2025-007</v>
      </c>
      <c r="B117" s="3" t="str">
        <v>XXIV</v>
      </c>
      <c r="C117" s="3" t="str">
        <v>Agriculture / Fisheries / Sea</v>
      </c>
      <c r="D117"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E117" s="3" t="str">
        <v>https://diariodarepublica.pt/dr/detalhe/despacho/1498-2025-905831257</v>
      </c>
    </row>
    <row r="118" ht="60" customHeight="1">
      <c r="A118" s="3" t="str">
        <v>GT-2025-008</v>
      </c>
      <c r="B118" s="3" t="str">
        <v>XXIV</v>
      </c>
      <c r="C118" s="3" t="str">
        <v>Health</v>
      </c>
      <c r="D118" s="3" t="str">
        <v>Saúde e Trabalho, Solidariedade e Segurança Social - Gabinete da Secretária de Estado da Gestão da Saúde, Gabinete da Secretária de Estado da Ação Social e da Inclusão e Gabinete do Secretário de Estado da Segurança Social</v>
      </c>
      <c r="E118" s="3" t="str">
        <v>https://diariodarepublica.pt/dr/detalhe/despacho/2367-2025-908071163</v>
      </c>
    </row>
    <row r="119" ht="60" customHeight="1">
      <c r="A119" s="3" t="str">
        <v>GT-2025-008</v>
      </c>
      <c r="B119" s="3" t="str">
        <v>XXIV</v>
      </c>
      <c r="C119" s="3" t="str">
        <v>Labour / Social security</v>
      </c>
      <c r="D119" s="3" t="str">
        <v>Saúde e Trabalho, Solidariedade e Segurança Social - Gabinete da Secretária de Estado da Gestão da Saúde, Gabinete da Secretária de Estado da Ação Social e da Inclusão e Gabinete do Secretário de Estado da Segurança Social</v>
      </c>
      <c r="E119" s="3" t="str">
        <v>https://diariodarepublica.pt/dr/detalhe/despacho/2367-2025-908071163</v>
      </c>
    </row>
    <row r="120" ht="60" customHeight="1">
      <c r="A120" s="3" t="str">
        <v>GT-2025-009</v>
      </c>
      <c r="B120" s="3" t="str">
        <v>XXIV</v>
      </c>
      <c r="C120" s="3" t="str">
        <v>Presidency / Council of Ministers</v>
      </c>
      <c r="D120" s="3" t="str">
        <v>Presidência do Conselho de Ministros - Gabinete do Secretário de Estado da Presidência do Conselho de Ministros</v>
      </c>
      <c r="E120" s="3" t="str">
        <v>https://diariodarepublica.pt/dr/detalhe/despacho/2820-2025-909307266</v>
      </c>
    </row>
    <row r="121" ht="60" customHeight="1">
      <c r="A121" s="3" t="str">
        <v>GT-2025-010</v>
      </c>
      <c r="B121" s="3" t="str">
        <v>XXIV</v>
      </c>
      <c r="C121" s="3" t="str">
        <v>Culture</v>
      </c>
      <c r="D121" s="3" t="str">
        <v>Cultura - Gabinete da Ministra da Cultura</v>
      </c>
      <c r="E121" s="3" t="str">
        <v>https://diariodarepublica.pt/dr/detalhe/despacho/2919-2025-909476563</v>
      </c>
    </row>
    <row r="122" ht="60" customHeight="1">
      <c r="A122" s="3" t="str">
        <v>GT-2025-011</v>
      </c>
      <c r="B122" s="3" t="str">
        <v>XXIV</v>
      </c>
      <c r="C122" s="3" t="str">
        <v>Labour / Social security</v>
      </c>
      <c r="D122" s="3" t="str">
        <v>Trabalho, Solidariedade e Segurança Social - Gabinete da Ministra do Trabalho, Solidariedade e Segurança Social</v>
      </c>
      <c r="E122" s="3" t="str">
        <v>https://diariodarepublica.pt/dr/detalhe/despacho/2961-2025-909652643</v>
      </c>
    </row>
    <row r="123" ht="60" customHeight="1">
      <c r="A123" s="3" t="str">
        <v>GT-2025-012</v>
      </c>
      <c r="B123" s="3" t="str">
        <v>XXIV</v>
      </c>
      <c r="C123" s="3" t="str">
        <v>Health</v>
      </c>
      <c r="D123" s="3" t="str">
        <v>Saúde - Gabinete da Secretária de Estado da Saúde</v>
      </c>
      <c r="E123" s="3" t="str">
        <v>https://diariodarepublica.pt/dr/detalhe/despacho/3143-2025-910331597</v>
      </c>
    </row>
    <row r="124" ht="60" customHeight="1">
      <c r="A124" s="3" t="str">
        <v>GT-2025-013</v>
      </c>
      <c r="B124" s="3" t="str">
        <v>XXIV</v>
      </c>
      <c r="C124" s="3" t="str">
        <v>Culture</v>
      </c>
      <c r="D124" s="3" t="str">
        <v>Cultura - Gabinete da Ministra da Cultura</v>
      </c>
      <c r="E124" s="3" t="str">
        <v>https://diariodarepublica.pt/dr/detalhe/despacho/3402-2025-911131353</v>
      </c>
    </row>
    <row r="125" ht="60" customHeight="1">
      <c r="A125" s="3" t="str">
        <v>GT-2025-014</v>
      </c>
      <c r="B125" s="3" t="str">
        <v>XXIV</v>
      </c>
      <c r="C125" s="3" t="str">
        <v>Environment / Energy</v>
      </c>
      <c r="D125" s="3" t="str">
        <v>Ambiente e Energia - Gabinete da Ministra do Ambiente e Energia</v>
      </c>
      <c r="E125" s="3" t="str">
        <v>https://diariodarepublica.pt/dr/detalhe/despacho/3406-a-2025-911344585</v>
      </c>
    </row>
    <row r="126" ht="60" customHeight="1">
      <c r="A126" s="3" t="str">
        <v>GT-2025-015</v>
      </c>
      <c r="B126" s="3" t="str">
        <v>XXIV</v>
      </c>
      <c r="C126" s="3" t="str">
        <v>Health</v>
      </c>
      <c r="D126" s="3" t="str">
        <v>Saúde - Gabinete da Secretária de Estado da Gestão da Saúde</v>
      </c>
      <c r="E126" s="3" t="str">
        <v>https://diariodarepublica.pt/dr/detalhe/despacho/3518-2025-911650069</v>
      </c>
    </row>
    <row r="127" ht="60" customHeight="1">
      <c r="A127" s="3" t="str">
        <v>GT-2025-016</v>
      </c>
      <c r="B127" s="3" t="str">
        <v>XXIV</v>
      </c>
      <c r="C127" s="3" t="str">
        <v>Education / Science</v>
      </c>
      <c r="D127" s="3" t="str">
        <v>Educação, Ciência e Inovação, Economia e Ambiente e Energia - Gabinete do Ministro da Educação, Ciência e Inovação, Gabinete do Ministro da Economia e Gabinete da Ministra do Ambiente e Energia</v>
      </c>
      <c r="E127" s="3" t="str">
        <v>https://diariodarepublica.pt/dr/detalhe/despacho/3675-2025-911850448</v>
      </c>
    </row>
    <row r="128" ht="60" customHeight="1">
      <c r="A128" s="3" t="str">
        <v>GT-2025-016</v>
      </c>
      <c r="B128" s="3" t="str">
        <v>XXIV</v>
      </c>
      <c r="C128" s="3" t="str">
        <v>Economy</v>
      </c>
      <c r="D128" s="3" t="str">
        <v>Educação, Ciência e Inovação, Economia e Ambiente e Energia - Gabinete do Ministro da Educação, Ciência e Inovação, Gabinete do Ministro da Economia e Gabinete da Ministra do Ambiente e Energia</v>
      </c>
      <c r="E128" s="3" t="str">
        <v>https://diariodarepublica.pt/dr/detalhe/despacho/3675-2025-911850448</v>
      </c>
    </row>
    <row r="129" ht="60" customHeight="1">
      <c r="A129" s="3" t="str">
        <v>GT-2025-016</v>
      </c>
      <c r="B129" s="3" t="str">
        <v>XXIV</v>
      </c>
      <c r="C129" s="3" t="str">
        <v>Environment / Energy</v>
      </c>
      <c r="D129" s="3" t="str">
        <v>Educação, Ciência e Inovação, Economia e Ambiente e Energia - Gabinete do Ministro da Educação, Ciência e Inovação, Gabinete do Ministro da Economia e Gabinete da Ministra do Ambiente e Energia</v>
      </c>
      <c r="E129" s="3" t="str">
        <v>https://diariodarepublica.pt/dr/detalhe/despacho/3675-2025-911850448</v>
      </c>
    </row>
    <row r="130" ht="60" customHeight="1">
      <c r="A130" s="3" t="str">
        <v>GT-2025-017</v>
      </c>
      <c r="B130" s="3" t="str">
        <v>XXIV</v>
      </c>
      <c r="C130" s="3" t="str">
        <v>Health</v>
      </c>
      <c r="D130" s="3" t="str">
        <v>Saúde - Gabinete da Ministra da Saúde</v>
      </c>
      <c r="E130" s="3" t="str">
        <v>https://diariodarepublica.pt/dr/detalhe/despacho/3918-2025-912846496</v>
      </c>
    </row>
    <row r="131" ht="60" customHeight="1">
      <c r="A131" s="3" t="str">
        <v>GT-2025-018</v>
      </c>
      <c r="B131" s="3" t="str">
        <v>XXIV</v>
      </c>
      <c r="C131" s="3" t="str">
        <v>Justice</v>
      </c>
      <c r="D131" s="3" t="str">
        <v>Justiça, Administração Interna e Agricultura e Pescas - Gabinete da Ministra da Justiça, Gabinete do Secretário de Estado da Proteção Civil e Gabinete do Secretário de Estado das Florestas</v>
      </c>
      <c r="E131" s="3" t="str">
        <v>https://diariodarepublica.pt/dr/detalhe/despacho/5543-a-2025-918326433</v>
      </c>
    </row>
    <row r="132" ht="60" customHeight="1">
      <c r="A132" s="3" t="str">
        <v>GT-2025-018</v>
      </c>
      <c r="B132" s="3" t="str">
        <v>XXIV</v>
      </c>
      <c r="C132" s="3" t="str">
        <v>Internal affairs</v>
      </c>
      <c r="D132" s="3" t="str">
        <v>Justiça, Administração Interna e Agricultura e Pescas - Gabinete da Ministra da Justiça, Gabinete do Secretário de Estado da Proteção Civil e Gabinete do Secretário de Estado das Florestas</v>
      </c>
      <c r="E132" s="3" t="str">
        <v>https://diariodarepublica.pt/dr/detalhe/despacho/5543-a-2025-918326433</v>
      </c>
    </row>
    <row r="133" ht="60" customHeight="1">
      <c r="A133" s="3" t="str">
        <v>GT-2025-018</v>
      </c>
      <c r="B133" s="3" t="str">
        <v>XXIV</v>
      </c>
      <c r="C133" s="3" t="str">
        <v>Agriculture / Fisheries / Sea</v>
      </c>
      <c r="D133" s="3" t="str">
        <v>Justiça, Administração Interna e Agricultura e Pescas - Gabinete da Ministra da Justiça, Gabinete do Secretário de Estado da Proteção Civil e Gabinete do Secretário de Estado das Florestas</v>
      </c>
      <c r="E133" s="3" t="str">
        <v>https://diariodarepublica.pt/dr/detalhe/despacho/5543-a-2025-918326433</v>
      </c>
    </row>
    <row r="134" ht="60" customHeight="1">
      <c r="A134" s="3" t="str">
        <v>GT-2025-019</v>
      </c>
      <c r="B134" s="3" t="str">
        <v>XXIV</v>
      </c>
      <c r="C134" s="3" t="str">
        <v>Justice</v>
      </c>
      <c r="D134" s="3" t="str">
        <v>Justiça, Administração Interna e Agricultura e Pescas - Gabinete da Ministra da Justiça, Gabinete do Secretário de Estado da Proteção Civil e Gabinete do Secretário de Estado das Florestas</v>
      </c>
      <c r="E134" s="3" t="str">
        <v>https://diariodarepublica.pt/dr/detalhe/despacho/5543-a-2025-918326433</v>
      </c>
    </row>
    <row r="135" ht="60" customHeight="1">
      <c r="A135" s="3" t="str">
        <v>GT-2025-019</v>
      </c>
      <c r="B135" s="3" t="str">
        <v>XXIV</v>
      </c>
      <c r="C135" s="3" t="str">
        <v>Internal affairs</v>
      </c>
      <c r="D135" s="3" t="str">
        <v>Justiça, Administração Interna e Agricultura e Pescas - Gabinete da Ministra da Justiça, Gabinete do Secretário de Estado da Proteção Civil e Gabinete do Secretário de Estado das Florestas</v>
      </c>
      <c r="E135" s="3" t="str">
        <v>https://diariodarepublica.pt/dr/detalhe/despacho/5543-a-2025-918326433</v>
      </c>
    </row>
    <row r="136" ht="60" customHeight="1">
      <c r="A136" s="3" t="str">
        <v>GT-2025-019</v>
      </c>
      <c r="B136" s="3" t="str">
        <v>XXIV</v>
      </c>
      <c r="C136" s="3" t="str">
        <v>Agriculture / Fisheries / Sea</v>
      </c>
      <c r="D136" s="3" t="str">
        <v>Justiça, Administração Interna e Agricultura e Pescas - Gabinete da Ministra da Justiça, Gabinete do Secretário de Estado da Proteção Civil e Gabinete do Secretário de Estado das Florestas</v>
      </c>
      <c r="E136" s="3" t="str">
        <v>https://diariodarepublica.pt/dr/detalhe/despacho/5543-a-2025-918326433</v>
      </c>
    </row>
    <row r="137" ht="60" customHeight="1">
      <c r="A137" s="3" t="str">
        <v>GT-2025-020</v>
      </c>
      <c r="B137" s="3" t="str">
        <v>XXIV</v>
      </c>
      <c r="C137" s="3" t="str">
        <v>Justice</v>
      </c>
      <c r="D137" s="3" t="str">
        <v>Justiça, Administração Interna e Agricultura e Pescas - Gabinete da Ministra da Justiça, Gabinete do Secretário de Estado da Proteção Civil e Gabinete do Secretário de Estado das Florestas</v>
      </c>
      <c r="E137" s="3" t="str">
        <v>https://diariodarepublica.pt/dr/detalhe/despacho/5543-a-2025-918326433</v>
      </c>
    </row>
    <row r="138" ht="60" customHeight="1">
      <c r="A138" s="3" t="str">
        <v>GT-2025-020</v>
      </c>
      <c r="B138" s="3" t="str">
        <v>XXIV</v>
      </c>
      <c r="C138" s="3" t="str">
        <v>Internal affairs</v>
      </c>
      <c r="D138" s="3" t="str">
        <v>Justiça, Administração Interna e Agricultura e Pescas - Gabinete da Ministra da Justiça, Gabinete do Secretário de Estado da Proteção Civil e Gabinete do Secretário de Estado das Florestas</v>
      </c>
      <c r="E138" s="3" t="str">
        <v>https://diariodarepublica.pt/dr/detalhe/despacho/5543-a-2025-918326433</v>
      </c>
    </row>
    <row r="139" ht="60" customHeight="1">
      <c r="A139" s="3" t="str">
        <v>GT-2025-020</v>
      </c>
      <c r="B139" s="3" t="str">
        <v>XXIV</v>
      </c>
      <c r="C139" s="3" t="str">
        <v>Agriculture / Fisheries / Sea</v>
      </c>
      <c r="D139" s="3" t="str">
        <v>Justiça, Administração Interna e Agricultura e Pescas - Gabinete da Ministra da Justiça, Gabinete do Secretário de Estado da Proteção Civil e Gabinete do Secretário de Estado das Florestas</v>
      </c>
      <c r="E139" s="3" t="str">
        <v>https://diariodarepublica.pt/dr/detalhe/despacho/5543-a-2025-918326433</v>
      </c>
    </row>
    <row r="140" ht="60" customHeight="1">
      <c r="A140" s="3" t="str">
        <v>GT-2025-021</v>
      </c>
      <c r="B140" s="3" t="str">
        <v>XXIV</v>
      </c>
      <c r="C140" s="3" t="str">
        <v>Justice</v>
      </c>
      <c r="D140" s="3" t="str">
        <v>Justiça, Administração Interna e Agricultura e Pescas - Gabinete da Ministra da Justiça, Gabinete do Secretário de Estado da Proteção Civil e Gabinete do Secretário de Estado das Florestas</v>
      </c>
      <c r="E140" s="3" t="str">
        <v>https://diariodarepublica.pt/dr/detalhe/despacho/5543-a-2025-918326433</v>
      </c>
    </row>
    <row r="141" ht="60" customHeight="1">
      <c r="A141" s="3" t="str">
        <v>GT-2025-021</v>
      </c>
      <c r="B141" s="3" t="str">
        <v>XXIV</v>
      </c>
      <c r="C141" s="3" t="str">
        <v>Internal affairs</v>
      </c>
      <c r="D141" s="3" t="str">
        <v>Justiça, Administração Interna e Agricultura e Pescas - Gabinete da Ministra da Justiça, Gabinete do Secretário de Estado da Proteção Civil e Gabinete do Secretário de Estado das Florestas</v>
      </c>
      <c r="E141" s="3" t="str">
        <v>https://diariodarepublica.pt/dr/detalhe/despacho/5543-a-2025-918326433</v>
      </c>
    </row>
    <row r="142" ht="60" customHeight="1">
      <c r="A142" s="3" t="str">
        <v>GT-2025-021</v>
      </c>
      <c r="B142" s="3" t="str">
        <v>XXIV</v>
      </c>
      <c r="C142" s="3" t="str">
        <v>Agriculture / Fisheries / Sea</v>
      </c>
      <c r="D142" s="3" t="str">
        <v>Justiça, Administração Interna e Agricultura e Pescas - Gabinete da Ministra da Justiça, Gabinete do Secretário de Estado da Proteção Civil e Gabinete do Secretário de Estado das Florestas</v>
      </c>
      <c r="E142" s="3" t="str">
        <v>https://diariodarepublica.pt/dr/detalhe/despacho/5543-a-2025-918326433</v>
      </c>
    </row>
    <row r="143" ht="60" customHeight="1">
      <c r="A143" s="3" t="str">
        <v>GT-2025-022</v>
      </c>
      <c r="B143" s="3" t="str">
        <v>XXIV</v>
      </c>
      <c r="C143" s="3" t="str">
        <v>Justice</v>
      </c>
      <c r="D143" s="3" t="str">
        <v>Justiça, Administração Interna e Agricultura e Pescas - Gabinete da Ministra da Justiça, Gabinete do Secretário de Estado da Proteção Civil e Gabinete do Secretário de Estado das Florestas</v>
      </c>
      <c r="E143" s="3" t="str">
        <v>https://diariodarepublica.pt/dr/detalhe/despacho/5543-a-2025-918326433</v>
      </c>
    </row>
    <row r="144" ht="60" customHeight="1">
      <c r="A144" s="3" t="str">
        <v>GT-2025-022</v>
      </c>
      <c r="B144" s="3" t="str">
        <v>XXIV</v>
      </c>
      <c r="C144" s="3" t="str">
        <v>Internal affairs</v>
      </c>
      <c r="D144" s="3" t="str">
        <v>Justiça, Administração Interna e Agricultura e Pescas - Gabinete da Ministra da Justiça, Gabinete do Secretário de Estado da Proteção Civil e Gabinete do Secretário de Estado das Florestas</v>
      </c>
      <c r="E144" s="3" t="str">
        <v>https://diariodarepublica.pt/dr/detalhe/despacho/5543-a-2025-918326433</v>
      </c>
    </row>
    <row r="145" ht="60" customHeight="1">
      <c r="A145" s="3" t="str">
        <v>GT-2025-022</v>
      </c>
      <c r="B145" s="3" t="str">
        <v>XXIV</v>
      </c>
      <c r="C145" s="3" t="str">
        <v>Agriculture / Fisheries / Sea</v>
      </c>
      <c r="D145" s="3" t="str">
        <v>Justiça, Administração Interna e Agricultura e Pescas - Gabinete da Ministra da Justiça, Gabinete do Secretário de Estado da Proteção Civil e Gabinete do Secretário de Estado das Florestas</v>
      </c>
      <c r="E145" s="3" t="str">
        <v>https://diariodarepublica.pt/dr/detalhe/despacho/5543-a-2025-918326433</v>
      </c>
    </row>
    <row r="146" ht="60" customHeight="1">
      <c r="A146" s="3" t="str">
        <v>GT-2025-023</v>
      </c>
      <c r="B146" s="3" t="str">
        <v>XXIV</v>
      </c>
      <c r="C146" s="3" t="str">
        <v>Defence</v>
      </c>
      <c r="D146" s="3" t="str">
        <v>Defesa Nacional e Cultura - Gabinete do Ministro da Defesa Nacional e Gabinete da Ministra da Cultura</v>
      </c>
      <c r="E146" s="3" t="str">
        <v>https://diariodarepublica.pt/dr/detalhe/despacho/5725-2025-918884615</v>
      </c>
    </row>
    <row r="147" ht="60" customHeight="1">
      <c r="A147" s="3" t="str">
        <v>GT-2025-023</v>
      </c>
      <c r="B147" s="3" t="str">
        <v>XXIV</v>
      </c>
      <c r="C147" s="3" t="str">
        <v>Culture</v>
      </c>
      <c r="D147" s="3" t="str">
        <v>Defesa Nacional e Cultura - Gabinete do Ministro da Defesa Nacional e Gabinete da Ministra da Cultura</v>
      </c>
      <c r="E147" s="3" t="str">
        <v>https://diariodarepublica.pt/dr/detalhe/despacho/5725-2025-918884615</v>
      </c>
    </row>
    <row r="148" ht="60" customHeight="1">
      <c r="A148" s="3" t="str">
        <v>GT-2025-024</v>
      </c>
      <c r="B148" s="3" t="str">
        <v>XXV</v>
      </c>
      <c r="C148" s="3" t="str">
        <v>Presidency / Council of Ministers</v>
      </c>
      <c r="D148" s="3" t="str">
        <v>Presidência do Conselho de Ministros</v>
      </c>
      <c r="E148" s="3" t="str">
        <v>https://diariodarepublica.pt/dr/detalhe/resolucao-conselho-ministros/119-2025-928506357</v>
      </c>
    </row>
    <row r="149" ht="60" customHeight="1">
      <c r="A149" s="3" t="str">
        <v>GT-2025-025</v>
      </c>
      <c r="B149" s="3" t="str">
        <v>XXV</v>
      </c>
      <c r="C149" s="3" t="str">
        <v>Health</v>
      </c>
      <c r="D149" s="3" t="str">
        <v>Saúde - Gabinete do Secretário de Estado da Gestão da Saúde</v>
      </c>
      <c r="E149" s="3" t="str">
        <v>https://diariodarepublica.pt/dr/detalhe/despacho/9698-2025-928825171</v>
      </c>
    </row>
    <row r="150" ht="60" customHeight="1">
      <c r="A150" s="3" t="str">
        <v>GT-2025-026</v>
      </c>
      <c r="B150" s="3" t="str">
        <v>XXV</v>
      </c>
      <c r="C150" s="3" t="str">
        <v>Presidency / Council of Ministers</v>
      </c>
      <c r="D150" s="3" t="str">
        <v>Presidência do Conselho de Ministros - Gabinete do Ministro das Infraestruturas e Habitação</v>
      </c>
      <c r="E150" s="3" t="str">
        <v>https://diariodarepublica.pt/dr/detalhe/despacho/9795-2025-932537244</v>
      </c>
    </row>
    <row r="151" ht="60" customHeight="1">
      <c r="A151" s="3" t="str">
        <v>GT-2025-026</v>
      </c>
      <c r="B151" s="3" t="str">
        <v>XXV</v>
      </c>
      <c r="C151" s="3" t="str">
        <v>Infrastructure / Housing</v>
      </c>
      <c r="D151" s="3" t="str">
        <v>Presidência do Conselho de Ministros - Gabinete do Ministro das Infraestruturas e Habitação</v>
      </c>
      <c r="E151" s="3" t="str">
        <v>https://diariodarepublica.pt/dr/detalhe/despacho/9795-2025-932537244</v>
      </c>
    </row>
    <row r="152" ht="60" customHeight="1">
      <c r="A152" s="3" t="str">
        <v>GT-2025-027</v>
      </c>
      <c r="B152" s="3" t="str">
        <v>XXV</v>
      </c>
      <c r="C152" s="3" t="str">
        <v>Health</v>
      </c>
      <c r="D152" s="3" t="str">
        <v>Saúde - Gabinete da Ministra da Saúde</v>
      </c>
      <c r="E152" s="3" t="str">
        <v>https://diariodarepublica.pt/dr/detalhe/despacho/9990-2025-932720961</v>
      </c>
    </row>
    <row r="153" ht="60" customHeight="1">
      <c r="A153" s="3" t="str">
        <v>GT-2025-028</v>
      </c>
      <c r="B153" s="3" t="str">
        <v>XXV</v>
      </c>
      <c r="C153" s="3" t="str">
        <v>Health</v>
      </c>
      <c r="D153" s="3" t="str">
        <v>Saúde - Gabinete da Secretária de Estado da Saúde</v>
      </c>
      <c r="E153" s="3" t="str">
        <v>https://diariodarepublica.pt/dr/detalhe/despacho/10519-2025-934179787</v>
      </c>
    </row>
    <row r="154" ht="60" customHeight="1">
      <c r="A154" s="3" t="str">
        <v>GT-2025-029</v>
      </c>
      <c r="B154" s="3" t="str">
        <v>XXV</v>
      </c>
      <c r="C154" s="3" t="str">
        <v>Foreign affairs</v>
      </c>
      <c r="D154"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E154" s="3" t="str">
        <v>https://diariodarepublica.pt/dr/detalhe/despacho/10547-2025-934422161</v>
      </c>
    </row>
    <row r="155" ht="60" customHeight="1">
      <c r="A155" s="3" t="str">
        <v>GT-2025-029</v>
      </c>
      <c r="B155" s="3" t="str">
        <v>XXV</v>
      </c>
      <c r="C155" s="3" t="str">
        <v>Defence</v>
      </c>
      <c r="D155"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E155" s="3" t="str">
        <v>https://diariodarepublica.pt/dr/detalhe/despacho/10547-2025-934422161</v>
      </c>
    </row>
    <row r="156" ht="60" customHeight="1">
      <c r="A156" s="3" t="str">
        <v>GT-2025-029</v>
      </c>
      <c r="B156" s="3" t="str">
        <v>XXV</v>
      </c>
      <c r="C156" s="3" t="str">
        <v>Education / Science</v>
      </c>
      <c r="D156"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E156" s="3" t="str">
        <v>https://diariodarepublica.pt/dr/detalhe/despacho/10547-2025-934422161</v>
      </c>
    </row>
    <row r="157" ht="60" customHeight="1">
      <c r="A157" s="3" t="str">
        <v>GT-2025-029</v>
      </c>
      <c r="B157" s="3" t="str">
        <v>XXV</v>
      </c>
      <c r="C157" s="3" t="str">
        <v>Economy</v>
      </c>
      <c r="D157"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E157" s="3" t="str">
        <v>https://diariodarepublica.pt/dr/detalhe/despacho/10547-2025-934422161</v>
      </c>
    </row>
    <row r="158" ht="60" customHeight="1">
      <c r="A158" s="3" t="str">
        <v>GT-2025-029</v>
      </c>
      <c r="B158" s="3" t="str">
        <v>XXV</v>
      </c>
      <c r="C158" s="3" t="str">
        <v>Territorial cohesion</v>
      </c>
      <c r="D158"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E158" s="3" t="str">
        <v>https://diariodarepublica.pt/dr/detalhe/despacho/10547-2025-934422161</v>
      </c>
    </row>
    <row r="159" ht="60" customHeight="1">
      <c r="A159" s="3" t="str">
        <v>GT-2025-030</v>
      </c>
      <c r="B159" s="3" t="str">
        <v>XXV</v>
      </c>
      <c r="C159" s="3" t="str">
        <v>Education / Science</v>
      </c>
      <c r="D159" s="3" t="str">
        <v>Educação, Ciência e Inovação - Gabinete da Secretária de Estado do Ensino Superior</v>
      </c>
      <c r="E159" s="3" t="str">
        <v>https://diariodarepublica.pt/dr/detalhe/despacho/10662-2025-934744248</v>
      </c>
    </row>
    <row r="160" ht="60" customHeight="1">
      <c r="A160" s="3" t="str">
        <v>GT-2025-031</v>
      </c>
      <c r="B160" s="3" t="str">
        <v>XXV</v>
      </c>
      <c r="C160" s="3" t="str">
        <v>Defence</v>
      </c>
      <c r="D160" s="3" t="str">
        <v>Defesa Nacional e Saúde - Gabinete do Secretário de Estado Adjunto e da Defesa Nacional e Gabinete da Secretária de Estado da Saúde</v>
      </c>
      <c r="E160" s="3" t="str">
        <v>https://diariodarepublica.pt/dr/detalhe/despacho/10903-2025-935441970</v>
      </c>
    </row>
    <row r="161" ht="60" customHeight="1">
      <c r="A161" s="3" t="str">
        <v>GT-2025-031</v>
      </c>
      <c r="B161" s="3" t="str">
        <v>XXV</v>
      </c>
      <c r="C161" s="3" t="str">
        <v>Health</v>
      </c>
      <c r="D161" s="3" t="str">
        <v>Defesa Nacional e Saúde - Gabinete do Secretário de Estado Adjunto e da Defesa Nacional e Gabinete da Secretária de Estado da Saúde</v>
      </c>
      <c r="E161" s="3" t="str">
        <v>https://diariodarepublica.pt/dr/detalhe/despacho/10903-2025-935441970</v>
      </c>
    </row>
    <row r="162" ht="60" customHeight="1">
      <c r="A162" s="3" t="str">
        <v>GT-2025-032</v>
      </c>
      <c r="B162" s="3" t="str">
        <v>XXV</v>
      </c>
      <c r="C162" s="3" t="str">
        <v>Health</v>
      </c>
      <c r="D162" s="3" t="str">
        <v>Saúde - Gabinete do Secretário de Estado da Gestão da Saúde</v>
      </c>
      <c r="E162" s="3" t="str">
        <v>https://diariodarepublica.pt/dr/detalhe/despacho/10918-2025-935495088</v>
      </c>
    </row>
    <row r="163" ht="60" customHeight="1">
      <c r="A163" s="3" t="str">
        <v>GT-2025-033</v>
      </c>
      <c r="B163" s="3" t="str">
        <v>XXV</v>
      </c>
      <c r="C163" s="3" t="str">
        <v>Education / Science</v>
      </c>
      <c r="D163" s="3" t="str">
        <v>Educação, Ciência e Inovação - Gabinete do Ministro da Educação, Ciência e Inovação</v>
      </c>
      <c r="E163" s="3" t="str">
        <v>https://diariodarepublica.pt/dr/detalhe/despacho/10945-2025-935495442</v>
      </c>
    </row>
    <row r="164" ht="60" customHeight="1">
      <c r="A164" s="3" t="str">
        <v>GT-2025-034</v>
      </c>
      <c r="B164" s="3" t="str">
        <v>XXV</v>
      </c>
      <c r="C164" s="3" t="str">
        <v>Education / Science</v>
      </c>
      <c r="D164" s="3" t="str">
        <v>Educação, Ciência e Inovação - Gabinete da Secretária de Estado da Administração Escolar</v>
      </c>
      <c r="E164" s="3" t="str">
        <v>https://diariodarepublica.pt/dr/detalhe/despacho/11297-2025-936527063</v>
      </c>
    </row>
    <row r="165" ht="60" customHeight="1">
      <c r="A165" s="3" t="str">
        <v>GT-2025-035</v>
      </c>
      <c r="B165" s="3" t="str">
        <v>XXV</v>
      </c>
      <c r="C165" s="3" t="str">
        <v>Education / Science</v>
      </c>
      <c r="D165" s="3" t="str">
        <v>Economia e Coesão Territorial e Educação, Ciência e Inovação - Gabinete do Ministro da Economia e da Coesão Territorial e Gabinete do Ministro da Educação, Ciência e Inovação</v>
      </c>
      <c r="E165" s="3" t="str">
        <v>https://diariodarepublica.pt/dr/detalhe/despacho/11412-a-2025-937049215</v>
      </c>
    </row>
    <row r="166" ht="60" customHeight="1">
      <c r="A166" s="3" t="str">
        <v>GT-2025-035</v>
      </c>
      <c r="B166" s="3" t="str">
        <v>XXV</v>
      </c>
      <c r="C166" s="3" t="str">
        <v>Economy</v>
      </c>
      <c r="D166" s="3" t="str">
        <v>Economia e Coesão Territorial e Educação, Ciência e Inovação - Gabinete do Ministro da Economia e da Coesão Territorial e Gabinete do Ministro da Educação, Ciência e Inovação</v>
      </c>
      <c r="E166" s="3" t="str">
        <v>https://diariodarepublica.pt/dr/detalhe/despacho/11412-a-2025-937049215</v>
      </c>
    </row>
    <row r="167" ht="60" customHeight="1">
      <c r="A167" s="3" t="str">
        <v>GT-2025-035</v>
      </c>
      <c r="B167" s="3" t="str">
        <v>XXV</v>
      </c>
      <c r="C167" s="3" t="str">
        <v>Territorial cohesion</v>
      </c>
      <c r="D167" s="3" t="str">
        <v>Economia e Coesão Territorial e Educação, Ciência e Inovação - Gabinete do Ministro da Economia e da Coesão Territorial e Gabinete do Ministro da Educação, Ciência e Inovação</v>
      </c>
      <c r="E167" s="3" t="str">
        <v>https://diariodarepublica.pt/dr/detalhe/despacho/11412-a-2025-937049215</v>
      </c>
    </row>
    <row r="168" ht="60" customHeight="1">
      <c r="A168" s="3" t="str">
        <v>GT-2025-036</v>
      </c>
      <c r="B168" s="3" t="str">
        <v>XXV</v>
      </c>
      <c r="C168" s="3" t="str">
        <v>Health</v>
      </c>
      <c r="D168" s="3" t="str">
        <v>Saúde - Gabinete da Secretária de Estado da Saúde</v>
      </c>
      <c r="E168" s="3" t="str">
        <v>https://diariodarepublica.pt/dr/detalhe/despacho/11649-2025-937675961</v>
      </c>
    </row>
    <row r="169" ht="60" customHeight="1">
      <c r="A169" s="3" t="str">
        <v>GT-2025-037</v>
      </c>
      <c r="B169" s="3" t="str">
        <v>XXV</v>
      </c>
      <c r="C169" s="3" t="str">
        <v>Environment / Energy</v>
      </c>
      <c r="D169" s="3" t="str">
        <v>Ambiente e Energia - Gabinete da Ministra do Ambiente e Energia</v>
      </c>
      <c r="E169" s="3" t="str">
        <v>https://diariodarepublica.pt/dr/detalhe/despacho/11843-2025-938604558</v>
      </c>
    </row>
    <row r="170" ht="60" customHeight="1">
      <c r="A170" s="3" t="str">
        <v>GT-2025-038</v>
      </c>
      <c r="B170" s="3" t="str">
        <v>XXV</v>
      </c>
      <c r="C170" s="3" t="str">
        <v>Presidency / Council of Ministers</v>
      </c>
      <c r="D170" s="3" t="str">
        <v>Presidência do Conselho de Ministros</v>
      </c>
      <c r="E170" s="3" t="str">
        <v>https://diariodarepublica.pt/dr/detalhe/resolucao-conselho-ministros/175-2025-945116919</v>
      </c>
    </row>
    <row r="171" ht="60" customHeight="1">
      <c r="A171" s="3" t="str">
        <v>GT-2025-039</v>
      </c>
      <c r="B171" s="3" t="str">
        <v>XXV</v>
      </c>
      <c r="C171" s="3" t="str">
        <v>Health</v>
      </c>
      <c r="D171" s="3" t="str">
        <v>Saúde - Gabinete da Ministra da Saúde</v>
      </c>
      <c r="E171" s="3" t="str">
        <v>https://diariodarepublica.pt/dr/detalhe/despacho/14188-2025-955733785</v>
      </c>
    </row>
    <row r="172" ht="60" customHeight="1">
      <c r="A172" s="3" t="str">
        <v>GT-2025-040</v>
      </c>
      <c r="B172" s="3" t="str">
        <v>XXV</v>
      </c>
      <c r="C172" s="3" t="str">
        <v>Economy</v>
      </c>
      <c r="D172" s="3" t="str">
        <v>Economia e Coesão Territorial e Ambiente e Energia - Gabinete do Ministro da Economia e da Coesão Territorial e Gabinete da Ministra do Ambiente e Energia</v>
      </c>
      <c r="E172" s="3" t="str">
        <v>https://diariodarepublica.pt/dr/detalhe/despacho/14492-2025-962955481</v>
      </c>
    </row>
    <row r="173" ht="60" customHeight="1">
      <c r="A173" s="3" t="str">
        <v>GT-2025-040</v>
      </c>
      <c r="B173" s="3" t="str">
        <v>XXV</v>
      </c>
      <c r="C173" s="3" t="str">
        <v>Territorial cohesion</v>
      </c>
      <c r="D173" s="3" t="str">
        <v>Economia e Coesão Territorial e Ambiente e Energia - Gabinete do Ministro da Economia e da Coesão Territorial e Gabinete da Ministra do Ambiente e Energia</v>
      </c>
      <c r="E173" s="3" t="str">
        <v>https://diariodarepublica.pt/dr/detalhe/despacho/14492-2025-962955481</v>
      </c>
    </row>
    <row r="174" ht="60" customHeight="1">
      <c r="A174" s="3" t="str">
        <v>GT-2025-040</v>
      </c>
      <c r="B174" s="3" t="str">
        <v>XXV</v>
      </c>
      <c r="C174" s="3" t="str">
        <v>Environment / Energy</v>
      </c>
      <c r="D174" s="3" t="str">
        <v>Economia e Coesão Territorial e Ambiente e Energia - Gabinete do Ministro da Economia e da Coesão Territorial e Gabinete da Ministra do Ambiente e Energia</v>
      </c>
      <c r="E174" s="3" t="str">
        <v>https://diariodarepublica.pt/dr/detalhe/despacho/14492-2025-962955481</v>
      </c>
    </row>
    <row r="175" ht="60" customHeight="1">
      <c r="A175" s="3" t="str">
        <v>GT-2025-041</v>
      </c>
      <c r="B175" s="3" t="str">
        <v>XXV</v>
      </c>
      <c r="C175" s="3" t="str">
        <v>Environment / Energy</v>
      </c>
      <c r="D175" s="3" t="str">
        <v>Ambiente e Energia e Agricultura e Mar - Gabinete do Secretário de Estado do Ambiente e Gabinete do Secretário de Estado da Agricultura</v>
      </c>
      <c r="E175" s="3" t="str">
        <v>https://diariodarepublica.pt/dr/detalhe/despacho/14507-2025-962955516</v>
      </c>
    </row>
    <row r="176" ht="60" customHeight="1">
      <c r="A176" s="3" t="str">
        <v>GT-2025-041</v>
      </c>
      <c r="B176" s="3" t="str">
        <v>XXV</v>
      </c>
      <c r="C176" s="3" t="str">
        <v>Agriculture / Fisheries / Sea</v>
      </c>
      <c r="D176" s="3" t="str">
        <v>Ambiente e Energia e Agricultura e Mar - Gabinete do Secretário de Estado do Ambiente e Gabinete do Secretário de Estado da Agricultura</v>
      </c>
      <c r="E176" s="3" t="str">
        <v>https://diariodarepublica.pt/dr/detalhe/despacho/14507-2025-962955516</v>
      </c>
    </row>
    <row r="177" ht="60" customHeight="1">
      <c r="A177" s="3" t="str">
        <v>GT-2025-042</v>
      </c>
      <c r="B177" s="3" t="str">
        <v>XXV</v>
      </c>
      <c r="C177" s="3" t="str">
        <v>Justice</v>
      </c>
      <c r="D177" s="3" t="str">
        <v>Justiça - Gabinete da Secretária de Estado da Justiça</v>
      </c>
      <c r="E177" s="3" t="str">
        <v>https://diariodarepublica.pt/dr/detalhe/despacho/15275-2025-992393997</v>
      </c>
    </row>
    <row r="178" ht="60" customHeight="1">
      <c r="A178" s="3" t="str">
        <v>GT-2025-043</v>
      </c>
      <c r="B178" s="3" t="str">
        <v>XXV</v>
      </c>
      <c r="C178" s="3" t="str">
        <v>Health</v>
      </c>
      <c r="D178" s="3" t="str">
        <v>Saúde - Gabinete da Secretária de Estado da Saúde</v>
      </c>
      <c r="E178" s="3" t="str">
        <v>https://diariodarepublica.pt/dr/detalhe/despacho/15438-2025-992877961</v>
      </c>
    </row>
    <row r="179" ht="60" customHeight="1">
      <c r="A179" s="3" t="str">
        <v>GT-2026-001</v>
      </c>
      <c r="B179" s="3" t="str">
        <v>XXV</v>
      </c>
      <c r="C179" s="3" t="str">
        <v>Finance</v>
      </c>
      <c r="D179" s="3" t="str">
        <v>Finanças e Defesa Nacional - Gabinete da Secretária de Estado da Administração Pública e Gabinete do Secretário de Estado Adjunto e da Política da Defesa Nacional</v>
      </c>
      <c r="E179" s="3" t="str">
        <v>https://diariodarepublica.pt/dr/detalhe/despacho/661-2026-1016752446</v>
      </c>
    </row>
    <row r="180" ht="60" customHeight="1">
      <c r="A180" s="3" t="str">
        <v>GT-2026-001</v>
      </c>
      <c r="B180" s="3" t="str">
        <v>XXV</v>
      </c>
      <c r="C180" s="3" t="str">
        <v>Defence</v>
      </c>
      <c r="D180" s="3" t="str">
        <v>Finanças e Defesa Nacional - Gabinete da Secretária de Estado da Administração Pública e Gabinete do Secretário de Estado Adjunto e da Política da Defesa Nacional</v>
      </c>
      <c r="E180" s="3" t="str">
        <v>https://diariodarepublica.pt/dr/detalhe/despacho/661-2026-1016752446</v>
      </c>
    </row>
    <row r="181" ht="60" customHeight="1">
      <c r="A181" s="3" t="str">
        <v>GT-2026-002</v>
      </c>
      <c r="B181" s="3" t="str">
        <v>XXV</v>
      </c>
      <c r="C181" s="3" t="str">
        <v>Labour / Social security</v>
      </c>
      <c r="D181" s="3" t="str">
        <v>Trabalho, Solidariedade e Segurança Social e Cultura, Juventude e Desporto - Gabinete da Ministra do Trabalho, Solidariedade e Segurança Social e Gabinete da Ministra da Cultura, Juventude e Desporto</v>
      </c>
      <c r="E181" s="3" t="str">
        <v>https://diariodarepublica.pt/dr/detalhe/despacho/831-2026-1022554176</v>
      </c>
    </row>
    <row r="182" ht="60" customHeight="1">
      <c r="A182" s="3" t="str">
        <v>GT-2026-002</v>
      </c>
      <c r="B182" s="3" t="str">
        <v>XXV</v>
      </c>
      <c r="C182" s="3" t="str">
        <v>Culture</v>
      </c>
      <c r="D182" s="3" t="str">
        <v>Trabalho, Solidariedade e Segurança Social e Cultura, Juventude e Desporto - Gabinete da Ministra do Trabalho, Solidariedade e Segurança Social e Gabinete da Ministra da Cultura, Juventude e Desporto</v>
      </c>
      <c r="E182" s="3" t="str">
        <v>https://diariodarepublica.pt/dr/detalhe/despacho/831-2026-1022554176</v>
      </c>
    </row>
    <row r="183" ht="60" customHeight="1">
      <c r="A183" s="3" t="str">
        <v>GT-2026-002</v>
      </c>
      <c r="B183" s="3" t="str">
        <v>XXV</v>
      </c>
      <c r="C183" s="3" t="str">
        <v>Youth / Sport</v>
      </c>
      <c r="D183" s="3" t="str">
        <v>Trabalho, Solidariedade e Segurança Social e Cultura, Juventude e Desporto - Gabinete da Ministra do Trabalho, Solidariedade e Segurança Social e Gabinete da Ministra da Cultura, Juventude e Desporto</v>
      </c>
      <c r="E183" s="3" t="str">
        <v>https://diariodarepublica.pt/dr/detalhe/despacho/831-2026-1022554176</v>
      </c>
    </row>
    <row r="184" ht="60" customHeight="1">
      <c r="A184" s="3" t="str">
        <v>GT-2026-003</v>
      </c>
      <c r="B184" s="3" t="str">
        <v>XXV</v>
      </c>
      <c r="C184" s="3" t="str">
        <v>Education / Science</v>
      </c>
      <c r="D184" s="3" t="str">
        <v>Economia e Coesão Territorial e Educação, Ciência e Inovação - Gabinete do Ministro da Economia e da Coesão Territorial e Gabinete do Ministro da Educação, Ciência e Inovação</v>
      </c>
      <c r="E184" s="3" t="str">
        <v>https://diariodarepublica.pt/dr/detalhe/despacho/1994-2026-1051076689</v>
      </c>
    </row>
    <row r="185" ht="60" customHeight="1">
      <c r="A185" s="3" t="str">
        <v>GT-2026-003</v>
      </c>
      <c r="B185" s="3" t="str">
        <v>XXV</v>
      </c>
      <c r="C185" s="3" t="str">
        <v>Economy</v>
      </c>
      <c r="D185" s="3" t="str">
        <v>Economia e Coesão Territorial e Educação, Ciência e Inovação - Gabinete do Ministro da Economia e da Coesão Territorial e Gabinete do Ministro da Educação, Ciência e Inovação</v>
      </c>
      <c r="E185" s="3" t="str">
        <v>https://diariodarepublica.pt/dr/detalhe/despacho/1994-2026-1051076689</v>
      </c>
    </row>
    <row r="186" ht="60" customHeight="1">
      <c r="A186" s="3" t="str">
        <v>GT-2026-003</v>
      </c>
      <c r="B186" s="3" t="str">
        <v>XXV</v>
      </c>
      <c r="C186" s="3" t="str">
        <v>Territorial cohesion</v>
      </c>
      <c r="D186" s="3" t="str">
        <v>Economia e Coesão Territorial e Educação, Ciência e Inovação - Gabinete do Ministro da Economia e da Coesão Territorial e Gabinete do Ministro da Educação, Ciência e Inovação</v>
      </c>
      <c r="E186" s="3" t="str">
        <v>https://diariodarepublica.pt/dr/detalhe/despacho/1994-2026-1051076689</v>
      </c>
    </row>
    <row r="187" ht="60" customHeight="1">
      <c r="A187" s="3" t="str">
        <v>GT-2026-004</v>
      </c>
      <c r="B187" s="3" t="str">
        <v>XXV</v>
      </c>
      <c r="C187" s="3" t="str">
        <v>Presidency / Council of Ministers</v>
      </c>
      <c r="D187" s="3" t="str">
        <v>Presidência do Conselho de Ministros e Economia e Coesão Territorial - Gabinete do Secretário de Estado do Planeamento e Desenvolvimento Regional e Gabinete da Secretária de Estado da Habitação</v>
      </c>
      <c r="E187" s="3" t="str">
        <v>https://diariodarepublica.pt/dr/detalhe/despacho/3089-2026-1070724105</v>
      </c>
    </row>
    <row r="188" ht="60" customHeight="1">
      <c r="A188" s="3" t="str">
        <v>GT-2026-004</v>
      </c>
      <c r="B188" s="3" t="str">
        <v>XXV</v>
      </c>
      <c r="C188" s="3" t="str">
        <v>Economy</v>
      </c>
      <c r="D188" s="3" t="str">
        <v>Presidência do Conselho de Ministros e Economia e Coesão Territorial - Gabinete do Secretário de Estado do Planeamento e Desenvolvimento Regional e Gabinete da Secretária de Estado da Habitação</v>
      </c>
      <c r="E188" s="3" t="str">
        <v>https://diariodarepublica.pt/dr/detalhe/despacho/3089-2026-1070724105</v>
      </c>
    </row>
    <row r="189" ht="60" customHeight="1">
      <c r="A189" s="3" t="str">
        <v>GT-2026-004</v>
      </c>
      <c r="B189" s="3" t="str">
        <v>XXV</v>
      </c>
      <c r="C189" s="3" t="str">
        <v>Territorial cohesion</v>
      </c>
      <c r="D189" s="3" t="str">
        <v>Presidência do Conselho de Ministros e Economia e Coesão Territorial - Gabinete do Secretário de Estado do Planeamento e Desenvolvimento Regional e Gabinete da Secretária de Estado da Habitação</v>
      </c>
      <c r="E189" s="3" t="str">
        <v>https://diariodarepublica.pt/dr/detalhe/despacho/3089-2026-1070724105</v>
      </c>
    </row>
    <row r="190" ht="60" customHeight="1">
      <c r="A190" s="3" t="str">
        <v>GT-2026-004</v>
      </c>
      <c r="B190" s="3" t="str">
        <v>XXV</v>
      </c>
      <c r="C190" s="3" t="str">
        <v>Infrastructure / Housing</v>
      </c>
      <c r="D190" s="3" t="str">
        <v>Presidência do Conselho de Ministros e Economia e Coesão Territorial - Gabinete do Secretário de Estado do Planeamento e Desenvolvimento Regional e Gabinete da Secretária de Estado da Habitação</v>
      </c>
      <c r="E190" s="3" t="str">
        <v>https://diariodarepublica.pt/dr/detalhe/despacho/3089-2026-1070724105</v>
      </c>
    </row>
    <row r="191" ht="60" customHeight="1">
      <c r="A191" s="3" t="str">
        <v>GT-2026-005</v>
      </c>
      <c r="B191" s="3" t="str">
        <v>XXV</v>
      </c>
      <c r="C191" s="3" t="str">
        <v>Education / Science</v>
      </c>
      <c r="D191" s="3" t="str">
        <v>Educação, Ciência e Inovação - Gabinete do Ministro da Educação, Ciência e Inovação</v>
      </c>
      <c r="E191" s="3" t="str">
        <v>https://diariodarepublica.pt/dr/detalhe/despacho/3317-2026-1071481467</v>
      </c>
    </row>
    <row r="192" ht="60" customHeight="1">
      <c r="A192" s="3" t="str">
        <v>GT-2026-006</v>
      </c>
      <c r="B192" s="3" t="str">
        <v>XXV</v>
      </c>
      <c r="C192" s="3" t="str">
        <v>Labour / Social security</v>
      </c>
      <c r="D192" s="3" t="str">
        <v>Trabalho, Solidariedade e Segurança Social - Gabinete da Secretária de Estado da Ação Social e da Inclusão</v>
      </c>
      <c r="E192" s="3" t="str">
        <v>https://diariodarepublica.pt/dr/detalhe/despacho/3808-2026-1075988859</v>
      </c>
    </row>
    <row r="193" ht="60" customHeight="1">
      <c r="A193" s="3" t="str">
        <v>GT-2026-007</v>
      </c>
      <c r="B193" s="3" t="str">
        <v>XXV</v>
      </c>
      <c r="C193" s="3" t="str">
        <v>Defence</v>
      </c>
      <c r="D193" s="3" t="str">
        <v>Economia e Coesão Territorial e Defesa Nacional - Gabinete do Secretário de Estado do Planeamento e Desenvolvimento Regional, Gabinete do Secretário de Estado da Economia e Gabinete do Secretário de Estado Adjunto e da Defesa Nacional</v>
      </c>
      <c r="E193" s="3" t="str">
        <v>https://diariodarepublica.pt/dr/detalhe/despacho/3965-2026-1077349638</v>
      </c>
    </row>
    <row r="194" ht="60" customHeight="1">
      <c r="A194" s="3" t="str">
        <v>GT-2026-007</v>
      </c>
      <c r="B194" s="3" t="str">
        <v>XXV</v>
      </c>
      <c r="C194" s="3" t="str">
        <v>Economy</v>
      </c>
      <c r="D194" s="3" t="str">
        <v>Economia e Coesão Territorial e Defesa Nacional - Gabinete do Secretário de Estado do Planeamento e Desenvolvimento Regional, Gabinete do Secretário de Estado da Economia e Gabinete do Secretário de Estado Adjunto e da Defesa Nacional</v>
      </c>
      <c r="E194" s="3" t="str">
        <v>https://diariodarepublica.pt/dr/detalhe/despacho/3965-2026-1077349638</v>
      </c>
    </row>
    <row r="195" ht="60" customHeight="1">
      <c r="A195" s="3" t="str">
        <v>GT-2026-007</v>
      </c>
      <c r="B195" s="3" t="str">
        <v>XXV</v>
      </c>
      <c r="C195" s="3" t="str">
        <v>Territorial cohesion</v>
      </c>
      <c r="D195" s="3" t="str">
        <v>Economia e Coesão Territorial e Defesa Nacional - Gabinete do Secretário de Estado do Planeamento e Desenvolvimento Regional, Gabinete do Secretário de Estado da Economia e Gabinete do Secretário de Estado Adjunto e da Defesa Nacional</v>
      </c>
      <c r="E195" s="3" t="str">
        <v>https://diariodarepublica.pt/dr/detalhe/despacho/3965-2026-1077349638</v>
      </c>
    </row>
    <row r="196" ht="60" customHeight="1">
      <c r="A196" s="3" t="str">
        <v>GT-2026-008</v>
      </c>
      <c r="B196" s="3" t="str">
        <v>XXV</v>
      </c>
      <c r="C196" s="3" t="str">
        <v>Economy</v>
      </c>
      <c r="D196" s="3" t="str">
        <v>Economia e Coesão Territorial - Gabinete do Ministro da Economia e da Coesão Territorial</v>
      </c>
      <c r="E196" s="3" t="str">
        <v>https://diariodarepublica.pt/dr/detalhe/despacho/4319-2026-1080930313</v>
      </c>
    </row>
    <row r="197" ht="60" customHeight="1">
      <c r="A197" s="3" t="str">
        <v>GT-2026-008</v>
      </c>
      <c r="B197" s="3" t="str">
        <v>XXV</v>
      </c>
      <c r="C197" s="3" t="str">
        <v>Territorial cohesion</v>
      </c>
      <c r="D197" s="3" t="str">
        <v>Economia e Coesão Territorial - Gabinete do Ministro da Economia e da Coesão Territorial</v>
      </c>
      <c r="E197" s="3" t="str">
        <v>https://diariodarepublica.pt/dr/detalhe/despacho/4319-2026-1080930313</v>
      </c>
    </row>
    <row r="198" ht="60" customHeight="1">
      <c r="A198" s="3" t="str">
        <v>GT-2026-009</v>
      </c>
      <c r="B198" s="3" t="str">
        <v>XXV</v>
      </c>
      <c r="C198" s="3" t="str">
        <v>Presidency / Council of Ministers</v>
      </c>
      <c r="D198"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198" s="3" t="str">
        <v>https://diariodarepublica.pt/dr/detalhe/despacho/4643-2026-1082906758</v>
      </c>
    </row>
    <row r="199" ht="60" customHeight="1">
      <c r="A199" s="3" t="str">
        <v>GT-2026-009</v>
      </c>
      <c r="B199" s="3" t="str">
        <v>XXV</v>
      </c>
      <c r="C199" s="3" t="str">
        <v>Foreign affairs</v>
      </c>
      <c r="D199"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199" s="3" t="str">
        <v>https://diariodarepublica.pt/dr/detalhe/despacho/4643-2026-1082906758</v>
      </c>
    </row>
    <row r="200" ht="60" customHeight="1">
      <c r="A200" s="3" t="str">
        <v>GT-2026-009</v>
      </c>
      <c r="B200" s="3" t="str">
        <v>XXV</v>
      </c>
      <c r="C200" s="3" t="str">
        <v>Defence</v>
      </c>
      <c r="D200"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200" s="3" t="str">
        <v>https://diariodarepublica.pt/dr/detalhe/despacho/4643-2026-1082906758</v>
      </c>
    </row>
    <row r="201" ht="60" customHeight="1">
      <c r="A201" s="3" t="str">
        <v>GT-2026-009</v>
      </c>
      <c r="B201" s="3" t="str">
        <v>XXV</v>
      </c>
      <c r="C201" s="3" t="str">
        <v>Education / Science</v>
      </c>
      <c r="D201"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201" s="3" t="str">
        <v>https://diariodarepublica.pt/dr/detalhe/despacho/4643-2026-1082906758</v>
      </c>
    </row>
    <row r="202" ht="60" customHeight="1">
      <c r="A202" s="3" t="str">
        <v>GT-2026-009</v>
      </c>
      <c r="B202" s="3" t="str">
        <v>XXV</v>
      </c>
      <c r="C202" s="3" t="str">
        <v>Economy</v>
      </c>
      <c r="D202"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202" s="3" t="str">
        <v>https://diariodarepublica.pt/dr/detalhe/despacho/4643-2026-1082906758</v>
      </c>
    </row>
    <row r="203" ht="60" customHeight="1">
      <c r="A203" s="3" t="str">
        <v>GT-2026-009</v>
      </c>
      <c r="B203" s="3" t="str">
        <v>XXV</v>
      </c>
      <c r="C203" s="3" t="str">
        <v>Territorial cohesion</v>
      </c>
      <c r="D203"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203" s="3" t="str">
        <v>https://diariodarepublica.pt/dr/detalhe/despacho/4643-2026-1082906758</v>
      </c>
    </row>
    <row r="204" ht="60" customHeight="1">
      <c r="A204" s="3" t="str">
        <v>GT-2026-009</v>
      </c>
      <c r="B204" s="3" t="str">
        <v>XXV</v>
      </c>
      <c r="C204" s="3" t="str">
        <v>Environment / Energy</v>
      </c>
      <c r="D204"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204" s="3" t="str">
        <v>https://diariodarepublica.pt/dr/detalhe/despacho/4643-2026-1082906758</v>
      </c>
    </row>
    <row r="205" ht="60" customHeight="1">
      <c r="A205" s="3" t="str">
        <v>GT-2026-009</v>
      </c>
      <c r="B205" s="3" t="str">
        <v>XXV</v>
      </c>
      <c r="C205" s="3" t="str">
        <v>Infrastructure / Housing</v>
      </c>
      <c r="D205"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E205" s="3" t="str">
        <v>https://diariodarepublica.pt/dr/detalhe/despacho/4643-2026-1082906758</v>
      </c>
    </row>
    <row r="206" ht="60" customHeight="1">
      <c r="A206" s="3" t="str">
        <v>GT-2026-010</v>
      </c>
      <c r="B206" s="3" t="str">
        <v>XXV</v>
      </c>
      <c r="C206" s="3" t="str">
        <v>Presidency / Council of Ministers</v>
      </c>
      <c r="D206" s="3" t="str">
        <v>Presidência do Conselho de Ministros, Finanças e Economia e Coesão Territorial - Gabinete do Ministro de Estado e das Finanças, Gabinete do Ministro da Presidência e Gabinete do Ministro da Economia e da Coesão Territorial</v>
      </c>
      <c r="E206" s="3" t="str">
        <v>https://diariodarepublica.pt/dr/detalhe/despacho/4749-2026-1084035715</v>
      </c>
    </row>
    <row r="207" ht="60" customHeight="1">
      <c r="A207" s="3" t="str">
        <v>GT-2026-010</v>
      </c>
      <c r="B207" s="3" t="str">
        <v>XXV</v>
      </c>
      <c r="C207" s="3" t="str">
        <v>Finance</v>
      </c>
      <c r="D207" s="3" t="str">
        <v>Presidência do Conselho de Ministros, Finanças e Economia e Coesão Territorial - Gabinete do Ministro de Estado e das Finanças, Gabinete do Ministro da Presidência e Gabinete do Ministro da Economia e da Coesão Territorial</v>
      </c>
      <c r="E207" s="3" t="str">
        <v>https://diariodarepublica.pt/dr/detalhe/despacho/4749-2026-1084035715</v>
      </c>
    </row>
    <row r="208" ht="60" customHeight="1">
      <c r="A208" s="3" t="str">
        <v>GT-2026-010</v>
      </c>
      <c r="B208" s="3" t="str">
        <v>XXV</v>
      </c>
      <c r="C208" s="3" t="str">
        <v>Economy</v>
      </c>
      <c r="D208" s="3" t="str">
        <v>Presidência do Conselho de Ministros, Finanças e Economia e Coesão Territorial - Gabinete do Ministro de Estado e das Finanças, Gabinete do Ministro da Presidência e Gabinete do Ministro da Economia e da Coesão Territorial</v>
      </c>
      <c r="E208" s="3" t="str">
        <v>https://diariodarepublica.pt/dr/detalhe/despacho/4749-2026-1084035715</v>
      </c>
    </row>
    <row r="209" ht="60" customHeight="1">
      <c r="A209" s="3" t="str">
        <v>GT-2026-010</v>
      </c>
      <c r="B209" s="3" t="str">
        <v>XXV</v>
      </c>
      <c r="C209" s="3" t="str">
        <v>Territorial cohesion</v>
      </c>
      <c r="D209" s="3" t="str">
        <v>Presidência do Conselho de Ministros, Finanças e Economia e Coesão Territorial - Gabinete do Ministro de Estado e das Finanças, Gabinete do Ministro da Presidência e Gabinete do Ministro da Economia e da Coesão Territorial</v>
      </c>
      <c r="E209" s="3" t="str">
        <v>https://diariodarepublica.pt/dr/detalhe/despacho/4749-2026-1084035715</v>
      </c>
    </row>
    <row r="210" ht="60" customHeight="1">
      <c r="A210" s="3" t="str">
        <v>GT-2026-011</v>
      </c>
      <c r="B210" s="3" t="str">
        <v>XXV</v>
      </c>
      <c r="C210" s="3" t="str">
        <v>Economy</v>
      </c>
      <c r="D210" s="3" t="str">
        <v>Economia e Coesão Territorial e Ambiente e Energia - Gabinete do Ministro da Economia e da Coesão Territorial e Gabinete da Ministra do Ambiente e Energia</v>
      </c>
      <c r="E210" s="3" t="str">
        <v>https://diariodarepublica.pt/dr/detalhe/despacho/5146-2026-1086825315</v>
      </c>
    </row>
    <row r="211" ht="60" customHeight="1">
      <c r="A211" s="3" t="str">
        <v>GT-2026-011</v>
      </c>
      <c r="B211" s="3" t="str">
        <v>XXV</v>
      </c>
      <c r="C211" s="3" t="str">
        <v>Territorial cohesion</v>
      </c>
      <c r="D211" s="3" t="str">
        <v>Economia e Coesão Territorial e Ambiente e Energia - Gabinete do Ministro da Economia e da Coesão Territorial e Gabinete da Ministra do Ambiente e Energia</v>
      </c>
      <c r="E211" s="3" t="str">
        <v>https://diariodarepublica.pt/dr/detalhe/despacho/5146-2026-1086825315</v>
      </c>
    </row>
    <row r="212" ht="60" customHeight="1">
      <c r="A212" s="3" t="str">
        <v>GT-2026-011</v>
      </c>
      <c r="B212" s="3" t="str">
        <v>XXV</v>
      </c>
      <c r="C212" s="3" t="str">
        <v>Environment / Energy</v>
      </c>
      <c r="D212" s="3" t="str">
        <v>Economia e Coesão Territorial e Ambiente e Energia - Gabinete do Ministro da Economia e da Coesão Territorial e Gabinete da Ministra do Ambiente e Energia</v>
      </c>
      <c r="E212" s="3" t="str">
        <v>https://diariodarepublica.pt/dr/detalhe/despacho/5146-2026-1086825315</v>
      </c>
    </row>
    <row r="213" ht="60" customHeight="1">
      <c r="A213" s="3" t="str">
        <v>GT-2026-012</v>
      </c>
      <c r="B213" s="3" t="str">
        <v>XXV</v>
      </c>
      <c r="C213" s="3" t="str">
        <v>Health</v>
      </c>
      <c r="D213" s="3" t="str">
        <v>Saúde - Gabinete da Ministra da Saúde</v>
      </c>
      <c r="E213" s="3" t="str">
        <v>https://diariodarepublica.pt/dr/detalhe/despacho/5900-2026-1114075412</v>
      </c>
    </row>
    <row r="214" ht="60" customHeight="1">
      <c r="A214" s="3" t="str">
        <v>GT-2026-013</v>
      </c>
      <c r="B214" s="3" t="str">
        <v>XXV</v>
      </c>
      <c r="C214" s="3" t="str">
        <v>Finance</v>
      </c>
      <c r="D214" s="3" t="str">
        <v>Finanças e Justiça - Gabinete do Ministro de Estado e das Finanças e Gabinete da Ministra da Justiça</v>
      </c>
      <c r="E214" s="3" t="str">
        <v>https://diariodarepublica.pt/dr/detalhe/despacho/6859-2026-1127910940</v>
      </c>
    </row>
    <row r="215" ht="60" customHeight="1">
      <c r="A215" s="3" t="str">
        <v>GT-2026-013</v>
      </c>
      <c r="B215" s="3" t="str">
        <v>XXV</v>
      </c>
      <c r="C215" s="3" t="str">
        <v>Justice</v>
      </c>
      <c r="D215" s="3" t="str">
        <v>Finanças e Justiça - Gabinete do Ministro de Estado e das Finanças e Gabinete da Ministra da Justiça</v>
      </c>
      <c r="E215" s="3" t="str">
        <v>https://diariodarepublica.pt/dr/detalhe/despacho/6859-2026-1127910940</v>
      </c>
    </row>
    <row r="216" ht="60" customHeight="1">
      <c r="A216" s="3" t="str">
        <v>GT-2026-014</v>
      </c>
      <c r="B216" s="3" t="str">
        <v>XXV</v>
      </c>
      <c r="C216" s="3" t="str">
        <v>Environment / Energy</v>
      </c>
      <c r="D216" s="3" t="str">
        <v>Ambiente e Energia - Gabinete do Secretário de Estado Adjunto e da Energia</v>
      </c>
      <c r="E216" s="3" t="str">
        <v>https://diariodarepublica.pt/dr/detalhe/despacho/6941-2026-1128499274</v>
      </c>
    </row>
    <row r="217" ht="60" customHeight="1">
      <c r="A217" s="3" t="str">
        <v>GT-2026-015</v>
      </c>
      <c r="B217" s="3" t="str">
        <v>XXV</v>
      </c>
      <c r="C217" s="3" t="str">
        <v>Labour / Social security</v>
      </c>
      <c r="D217" s="3" t="str">
        <v>Trabalho, Solidariedade e Segurança Social - Gabinete do Secretário de Estado Adjunto e do Trabalho</v>
      </c>
      <c r="E217" s="3" t="str">
        <v>https://diariodarepublica.pt/dr/detalhe/despacho/7229-2026-1130120993</v>
      </c>
    </row>
    <row r="218" ht="60" customHeight="1">
      <c r="A218" s="3" t="str">
        <v>GT-2026-016</v>
      </c>
      <c r="B218" s="3" t="str">
        <v>XXV</v>
      </c>
      <c r="C218" s="3" t="str">
        <v>Finance</v>
      </c>
      <c r="D218" s="3" t="str">
        <v>Finanças e Justiça - Gabinete da Ministra da Justiça e Gabinete da Secretária de Estado da Administração Pública</v>
      </c>
      <c r="E218" s="3" t="str">
        <v>https://diariodarepublica.pt/dr/detalhe/despacho/7381-2026-1131612628</v>
      </c>
    </row>
    <row r="219" ht="60" customHeight="1">
      <c r="A219" s="3" t="str">
        <v>GT-2026-016</v>
      </c>
      <c r="B219" s="3" t="str">
        <v>XXV</v>
      </c>
      <c r="C219" s="3" t="str">
        <v>Justice</v>
      </c>
      <c r="D219" s="3" t="str">
        <v>Finanças e Justiça - Gabinete da Ministra da Justiça e Gabinete da Secretária de Estado da Administração Pública</v>
      </c>
      <c r="E219" s="3" t="str">
        <v>https://diariodarepublica.pt/dr/detalhe/despacho/7381-2026-1131612628</v>
      </c>
    </row>
    <row r="220" ht="60" customHeight="1">
      <c r="A220" s="3" t="str">
        <v>GT-2026-017</v>
      </c>
      <c r="B220" s="3" t="str">
        <v>XXV</v>
      </c>
      <c r="C220" s="3" t="str">
        <v>Health</v>
      </c>
      <c r="D220" s="3" t="str">
        <v>Saúde - Gabinete da Ministra da Saúde</v>
      </c>
      <c r="E220" s="3" t="str">
        <v>https://diariodarepublica.pt/dr/detalhe/despacho/7541-2026-1132818510</v>
      </c>
    </row>
    <row r="221" ht="60" customHeight="1">
      <c r="A221" s="3" t="str">
        <v>GT-2026-018</v>
      </c>
      <c r="B221" s="3" t="str">
        <v>XXV</v>
      </c>
      <c r="C221" s="3" t="str">
        <v>Health</v>
      </c>
      <c r="D221" s="3" t="str">
        <v>Saúde - Gabinete da Ministra da Saúde</v>
      </c>
      <c r="E221" s="3" t="str">
        <v>https://diariodarepublica.pt/dr/detalhe/despacho/7542-2026-1132818511</v>
      </c>
    </row>
    <row r="222" ht="60" customHeight="1">
      <c r="A222" s="3" t="str">
        <v>GT-2026-019</v>
      </c>
      <c r="B222" s="3" t="str">
        <v>XXV</v>
      </c>
      <c r="C222" s="3" t="str">
        <v>Health</v>
      </c>
      <c r="D222" s="3" t="str">
        <v>Saúde - Gabinete da Ministra da Saúde</v>
      </c>
      <c r="E222" s="3" t="str">
        <v>https://diariodarepublica.pt/dr/detalhe/despacho/7543-2026-1132818512</v>
      </c>
    </row>
    <row r="223" ht="60" customHeight="1">
      <c r="A223" s="3" t="str">
        <v>GT-2026-020</v>
      </c>
      <c r="B223" s="3" t="str">
        <v>XXV</v>
      </c>
      <c r="C223" s="3" t="str">
        <v>Health</v>
      </c>
      <c r="D223" s="3" t="str">
        <v>Saúde - Gabinete da Ministra da Saúde</v>
      </c>
      <c r="E223" s="3" t="str">
        <v>https://diariodarepublica.pt/dr/detalhe/despacho/7650-2026-1133910824</v>
      </c>
    </row>
    <row r="224" ht="60" customHeight="1">
      <c r="A224" s="3" t="str">
        <v>GT-2026-021</v>
      </c>
      <c r="B224" s="3" t="str">
        <v>XXV</v>
      </c>
      <c r="C224" s="3" t="str">
        <v>Finance</v>
      </c>
      <c r="D224" s="3" t="str">
        <v>Finanças - Gabinete do Secretário de Estado Adjunto e do Orçamento, Gabinete da Secretária de Estado dos Assuntos Fiscais e Gabinete da Secretária de Estado da Administração Pública</v>
      </c>
      <c r="E224" s="3" t="str">
        <v>https://diariodarepublica.pt/dr/detalhe/despacho/7971-2026-1138363947</v>
      </c>
    </row>
    <row r="225" ht="60" customHeight="1">
      <c r="A225" s="3" t="str">
        <v>GT-2026-022</v>
      </c>
      <c r="B225" s="3" t="str">
        <v>XXV</v>
      </c>
      <c r="C225" s="3" t="str">
        <v>Presidency / Council of Ministers</v>
      </c>
      <c r="D225" s="3" t="str">
        <v>Presidência do Conselho de Ministros</v>
      </c>
      <c r="E225" s="3" t="str">
        <v>https://diariodarepublica.pt/dr/detalhe/resolucao-conselho-ministros/144-2026-1147043702</v>
      </c>
    </row>
    <row r="226" ht="60" customHeight="1">
      <c r="A226" s="3" t="str">
        <v>GT-2026-023</v>
      </c>
      <c r="B226" s="3" t="str">
        <v>XXV</v>
      </c>
      <c r="C226" s="3" t="str">
        <v>Justice</v>
      </c>
      <c r="D226" s="3" t="str">
        <v>Justiça, Administração Interna e Cultura, Juventude e Desporto - Gabinete da Ministra da Justiça, Gabinete do Ministro da Administração Interna e Gabinete da Ministra da Cultura, Juventude e Desporto</v>
      </c>
      <c r="E226" s="3" t="str">
        <v>https://diariodarepublica.pt/dr/detalhe/despacho/8971-2026-1148259710</v>
      </c>
    </row>
    <row r="227" ht="60" customHeight="1">
      <c r="A227" s="3" t="str">
        <v>GT-2026-023</v>
      </c>
      <c r="B227" s="3" t="str">
        <v>XXV</v>
      </c>
      <c r="C227" s="3" t="str">
        <v>Internal affairs</v>
      </c>
      <c r="D227" s="3" t="str">
        <v>Justiça, Administração Interna e Cultura, Juventude e Desporto - Gabinete da Ministra da Justiça, Gabinete do Ministro da Administração Interna e Gabinete da Ministra da Cultura, Juventude e Desporto</v>
      </c>
      <c r="E227" s="3" t="str">
        <v>https://diariodarepublica.pt/dr/detalhe/despacho/8971-2026-1148259710</v>
      </c>
    </row>
    <row r="228" ht="60" customHeight="1">
      <c r="A228" s="3" t="str">
        <v>GT-2026-023</v>
      </c>
      <c r="B228" s="3" t="str">
        <v>XXV</v>
      </c>
      <c r="C228" s="3" t="str">
        <v>Culture</v>
      </c>
      <c r="D228" s="3" t="str">
        <v>Justiça, Administração Interna e Cultura, Juventude e Desporto - Gabinete da Ministra da Justiça, Gabinete do Ministro da Administração Interna e Gabinete da Ministra da Cultura, Juventude e Desporto</v>
      </c>
      <c r="E228" s="3" t="str">
        <v>https://diariodarepublica.pt/dr/detalhe/despacho/8971-2026-1148259710</v>
      </c>
    </row>
    <row r="229" ht="60" customHeight="1">
      <c r="A229" s="3" t="str">
        <v>GT-2026-023</v>
      </c>
      <c r="B229" s="3" t="str">
        <v>XXV</v>
      </c>
      <c r="C229" s="3" t="str">
        <v>Youth / Sport</v>
      </c>
      <c r="D229" s="3" t="str">
        <v>Justiça, Administração Interna e Cultura, Juventude e Desporto - Gabinete da Ministra da Justiça, Gabinete do Ministro da Administração Interna e Gabinete da Ministra da Cultura, Juventude e Desporto</v>
      </c>
      <c r="E229" s="3" t="str">
        <v>https://diariodarepublica.pt/dr/detalhe/despacho/8971-2026-1148259710</v>
      </c>
    </row>
    <row r="230" ht="60" customHeight="1">
      <c r="A230" s="3" t="str">
        <v>GT-2026-024</v>
      </c>
      <c r="B230" s="3" t="str">
        <v>XXV</v>
      </c>
      <c r="C230" s="3" t="str">
        <v>Labour / Social security</v>
      </c>
      <c r="D230" s="3" t="str">
        <v>Trabalho, Solidariedade e Segurança Social e Cultura, Juventude e Desporto - Gabinete da Secretária de Estado da Ação Social e da Inclusão e Gabinete da Secretária de Estado Adjunta e da Juventude e da Igualdade</v>
      </c>
      <c r="E230" s="3" t="str">
        <v>https://diariodarepublica.pt/dr/detalhe/despacho/9999-2026-1155101848</v>
      </c>
    </row>
    <row r="231" ht="60" customHeight="1">
      <c r="A231" s="3" t="str">
        <v>GT-2026-024</v>
      </c>
      <c r="B231" s="3" t="str">
        <v>XXV</v>
      </c>
      <c r="C231" s="3" t="str">
        <v>Culture</v>
      </c>
      <c r="D231" s="3" t="str">
        <v>Trabalho, Solidariedade e Segurança Social e Cultura, Juventude e Desporto - Gabinete da Secretária de Estado da Ação Social e da Inclusão e Gabinete da Secretária de Estado Adjunta e da Juventude e da Igualdade</v>
      </c>
      <c r="E231" s="3" t="str">
        <v>https://diariodarepublica.pt/dr/detalhe/despacho/9999-2026-1155101848</v>
      </c>
    </row>
    <row r="232" ht="60" customHeight="1">
      <c r="A232" s="3" t="str">
        <v>GT-2026-024</v>
      </c>
      <c r="B232" s="3" t="str">
        <v>XXV</v>
      </c>
      <c r="C232" s="3" t="str">
        <v>Youth / Sport</v>
      </c>
      <c r="D232" s="3" t="str">
        <v>Trabalho, Solidariedade e Segurança Social e Cultura, Juventude e Desporto - Gabinete da Secretária de Estado da Ação Social e da Inclusão e Gabinete da Secretária de Estado Adjunta e da Juventude e da Igualdade</v>
      </c>
      <c r="E232" s="3" t="str">
        <v>https://diariodarepublica.pt/dr/detalhe/despacho/9999-2026-1155101848</v>
      </c>
    </row>
    <row r="233" ht="60" customHeight="1">
      <c r="A233" s="3" t="str">
        <v>GT-2026-025</v>
      </c>
      <c r="B233" s="3" t="str">
        <v>XXV</v>
      </c>
      <c r="C233" s="3" t="str">
        <v>Economy</v>
      </c>
      <c r="D233" s="3" t="str">
        <v>Economia e Coesão Territorial - Gabinete do Secretário de Estado do Planeamento e Desenvolvimento Regional e Gabinete do Secretário de Estado da Administração Local e Ordenamento do Território</v>
      </c>
      <c r="E233" s="3" t="str">
        <v>https://diariodarepublica.pt/dr/detalhe/despacho/10174-2026-1156689146</v>
      </c>
    </row>
    <row r="234" ht="60" customHeight="1">
      <c r="A234" s="3" t="str">
        <v>GT-2026-025</v>
      </c>
      <c r="B234" s="3" t="str">
        <v>XXV</v>
      </c>
      <c r="C234" s="3" t="str">
        <v>Territorial cohesion</v>
      </c>
      <c r="D234" s="3" t="str">
        <v>Economia e Coesão Territorial - Gabinete do Secretário de Estado do Planeamento e Desenvolvimento Regional e Gabinete do Secretário de Estado da Administração Local e Ordenamento do Território</v>
      </c>
      <c r="E234" s="3" t="str">
        <v>https://diariodarepublica.pt/dr/detalhe/despacho/10174-2026-1156689146</v>
      </c>
    </row>
    <row r="235" ht="60" customHeight="1">
      <c r="A235" s="3" t="str">
        <v>GT-2026-026</v>
      </c>
      <c r="B235" s="3" t="str">
        <v>XXV</v>
      </c>
      <c r="C235" s="3" t="str">
        <v>Culture</v>
      </c>
      <c r="D235" s="3" t="str">
        <v>Cultura, Juventude e Desporto - Gabinete da Secretária de Estado Adjunta e da Juventude e da Igualdade</v>
      </c>
      <c r="E235" s="3" t="str">
        <v>https://diariodarepublica.pt/dr/detalhe/despacho/11130-2026-1168075404</v>
      </c>
    </row>
    <row r="236" ht="60" customHeight="1">
      <c r="A236" s="3" t="str">
        <v>GT-2026-026</v>
      </c>
      <c r="B236" s="3" t="str">
        <v>XXV</v>
      </c>
      <c r="C236" s="3" t="str">
        <v>Youth / Sport</v>
      </c>
      <c r="D236" s="3" t="str">
        <v>Cultura, Juventude e Desporto - Gabinete da Secretária de Estado Adjunta e da Juventude e da Igualdade</v>
      </c>
      <c r="E236" s="3" t="str">
        <v>https://diariodarepublica.pt/dr/detalhe/despacho/11130-2026-1168075404</v>
      </c>
    </row>
    <row r="237" ht="60" customHeight="1">
      <c r="A237" s="3" t="str">
        <v>GT-2026-027</v>
      </c>
      <c r="B237" s="3" t="str">
        <v>XXV</v>
      </c>
      <c r="C237" s="3" t="str">
        <v>Presidency / Council of Ministers</v>
      </c>
      <c r="D237" s="3" t="str">
        <v>Presidência do Conselho de Ministros - Gabinete do Secretário de Estado das Infraestruturas e Gabinete da Secretária de Estado da Mobilidade</v>
      </c>
      <c r="E237" s="3" t="str">
        <v>https://diariodarepublica.pt/dr/detalhe/despacho/11488-2026-1171481959</v>
      </c>
    </row>
    <row r="238" ht="60" customHeight="1">
      <c r="A238" s="3" t="str">
        <v>GT-2026-027</v>
      </c>
      <c r="B238" s="3" t="str">
        <v>XXV</v>
      </c>
      <c r="C238" s="3" t="str">
        <v>Infrastructure / Housing</v>
      </c>
      <c r="D238" s="3" t="str">
        <v>Presidência do Conselho de Ministros - Gabinete do Secretário de Estado das Infraestruturas e Gabinete da Secretária de Estado da Mobilidade</v>
      </c>
      <c r="E238" s="3" t="str">
        <v>https://diariodarepublica.pt/dr/detalhe/despacho/11488-2026-1171481959</v>
      </c>
    </row>
    <row r="239" ht="60" customHeight="1">
      <c r="A239" s="3" t="str">
        <v>GT-2026-028</v>
      </c>
      <c r="B239" s="3" t="str">
        <v>XXV</v>
      </c>
      <c r="C239" s="3" t="str">
        <v>Internal affairs</v>
      </c>
      <c r="D239" s="3" t="str">
        <v>Administração Interna - Gabinete do Secretário de Estado da Administração Interna</v>
      </c>
      <c r="E239" s="3" t="str">
        <v>https://diariodarepublica.pt/dr/detalhe/despacho/11672-2026-1172867984</v>
      </c>
    </row>
  </sheetData>
  <hyperlinks>
    <hyperlink ref="E6" r:id="nativeLink1"/>
    <hyperlink ref="E7" r:id="nativeLink2"/>
    <hyperlink ref="E8" r:id="nativeLink3"/>
    <hyperlink ref="E9" r:id="nativeLink4"/>
    <hyperlink ref="E10" r:id="nativeLink5"/>
    <hyperlink ref="E11" r:id="nativeLink6"/>
    <hyperlink ref="E12" r:id="nativeLink7"/>
    <hyperlink ref="E13" r:id="nativeLink8"/>
    <hyperlink ref="E14" r:id="nativeLink9"/>
    <hyperlink ref="E15" r:id="nativeLink10"/>
    <hyperlink ref="E16" r:id="nativeLink11"/>
    <hyperlink ref="E17" r:id="nativeLink12"/>
    <hyperlink ref="E18" r:id="nativeLink13"/>
    <hyperlink ref="E19" r:id="nativeLink14"/>
    <hyperlink ref="E20" r:id="nativeLink15"/>
    <hyperlink ref="E21" r:id="nativeLink16"/>
    <hyperlink ref="E22" r:id="nativeLink17"/>
    <hyperlink ref="E23" r:id="nativeLink18"/>
    <hyperlink ref="E24" r:id="nativeLink19"/>
    <hyperlink ref="E25" r:id="nativeLink20"/>
    <hyperlink ref="E26" r:id="nativeLink21"/>
    <hyperlink ref="E27" r:id="nativeLink22"/>
    <hyperlink ref="E28" r:id="nativeLink23"/>
    <hyperlink ref="E29" r:id="nativeLink24"/>
    <hyperlink ref="E30" r:id="nativeLink25"/>
    <hyperlink ref="E31" r:id="nativeLink26"/>
    <hyperlink ref="E32" r:id="nativeLink27"/>
    <hyperlink ref="E33" r:id="nativeLink28"/>
    <hyperlink ref="E34" r:id="nativeLink29"/>
    <hyperlink ref="E35" r:id="nativeLink30"/>
    <hyperlink ref="E36" r:id="nativeLink31"/>
    <hyperlink ref="E37" r:id="nativeLink32"/>
    <hyperlink ref="E38" r:id="nativeLink33"/>
    <hyperlink ref="E39" r:id="nativeLink34"/>
    <hyperlink ref="E40" r:id="nativeLink35"/>
    <hyperlink ref="E41" r:id="nativeLink36"/>
    <hyperlink ref="E42" r:id="nativeLink37"/>
    <hyperlink ref="E43" r:id="nativeLink38"/>
    <hyperlink ref="E44" r:id="nativeLink39"/>
    <hyperlink ref="E45" r:id="nativeLink40"/>
    <hyperlink ref="E46" r:id="nativeLink41"/>
    <hyperlink ref="E47" r:id="nativeLink42"/>
    <hyperlink ref="E48" r:id="nativeLink43"/>
    <hyperlink ref="E49" r:id="nativeLink44"/>
    <hyperlink ref="E50" r:id="nativeLink45"/>
    <hyperlink ref="E51" r:id="nativeLink46"/>
    <hyperlink ref="E52" r:id="nativeLink47"/>
    <hyperlink ref="E53" r:id="nativeLink48"/>
    <hyperlink ref="E54" r:id="nativeLink49"/>
    <hyperlink ref="E55" r:id="nativeLink50"/>
    <hyperlink ref="E56" r:id="nativeLink51"/>
    <hyperlink ref="E57" r:id="nativeLink52"/>
    <hyperlink ref="E58" r:id="nativeLink53"/>
    <hyperlink ref="E59" r:id="nativeLink54"/>
    <hyperlink ref="E60" r:id="nativeLink55"/>
    <hyperlink ref="E61" r:id="nativeLink56"/>
    <hyperlink ref="E62" r:id="nativeLink57"/>
    <hyperlink ref="E63" r:id="nativeLink58"/>
    <hyperlink ref="E64" r:id="nativeLink59"/>
    <hyperlink ref="E65" r:id="nativeLink60"/>
    <hyperlink ref="E66" r:id="nativeLink61"/>
    <hyperlink ref="E67" r:id="nativeLink62"/>
    <hyperlink ref="E68" r:id="nativeLink63"/>
    <hyperlink ref="E69" r:id="nativeLink64"/>
    <hyperlink ref="E70" r:id="nativeLink65"/>
    <hyperlink ref="E71" r:id="nativeLink66"/>
    <hyperlink ref="E72" r:id="nativeLink67"/>
    <hyperlink ref="E73" r:id="nativeLink68"/>
    <hyperlink ref="E74" r:id="nativeLink69"/>
    <hyperlink ref="E75" r:id="nativeLink70"/>
    <hyperlink ref="E76" r:id="nativeLink71"/>
    <hyperlink ref="E77" r:id="nativeLink72"/>
    <hyperlink ref="E78" r:id="nativeLink73"/>
    <hyperlink ref="E79" r:id="nativeLink74"/>
    <hyperlink ref="E80" r:id="nativeLink75"/>
    <hyperlink ref="E81" r:id="nativeLink76"/>
    <hyperlink ref="E82" r:id="nativeLink77"/>
    <hyperlink ref="E83" r:id="nativeLink78"/>
    <hyperlink ref="E84" r:id="nativeLink79"/>
    <hyperlink ref="E85" r:id="nativeLink80"/>
    <hyperlink ref="E86" r:id="nativeLink81"/>
    <hyperlink ref="E87" r:id="nativeLink82"/>
    <hyperlink ref="E88" r:id="nativeLink83"/>
    <hyperlink ref="E89" r:id="nativeLink84"/>
    <hyperlink ref="E90" r:id="nativeLink85"/>
    <hyperlink ref="E91" r:id="nativeLink86"/>
    <hyperlink ref="E92" r:id="nativeLink87"/>
    <hyperlink ref="E93" r:id="nativeLink88"/>
    <hyperlink ref="E94" r:id="nativeLink89"/>
    <hyperlink ref="E95" r:id="nativeLink90"/>
    <hyperlink ref="E96" r:id="nativeLink91"/>
    <hyperlink ref="E97" r:id="nativeLink92"/>
    <hyperlink ref="E98" r:id="nativeLink93"/>
    <hyperlink ref="E99" r:id="nativeLink94"/>
    <hyperlink ref="E100" r:id="nativeLink95"/>
    <hyperlink ref="E101" r:id="nativeLink96"/>
    <hyperlink ref="E102" r:id="nativeLink97"/>
    <hyperlink ref="E103" r:id="nativeLink98"/>
    <hyperlink ref="E104" r:id="nativeLink99"/>
    <hyperlink ref="E105" r:id="nativeLink100"/>
    <hyperlink ref="E106" r:id="nativeLink101"/>
    <hyperlink ref="E107" r:id="nativeLink102"/>
    <hyperlink ref="E108" r:id="nativeLink103"/>
    <hyperlink ref="E109" r:id="nativeLink104"/>
    <hyperlink ref="E110" r:id="nativeLink105"/>
    <hyperlink ref="E111" r:id="nativeLink106"/>
    <hyperlink ref="E112" r:id="nativeLink107"/>
    <hyperlink ref="E113" r:id="nativeLink108"/>
    <hyperlink ref="E114" r:id="nativeLink109"/>
    <hyperlink ref="E115" r:id="nativeLink110"/>
    <hyperlink ref="E116" r:id="nativeLink111"/>
    <hyperlink ref="E117" r:id="nativeLink112"/>
    <hyperlink ref="E118" r:id="nativeLink113"/>
    <hyperlink ref="E119" r:id="nativeLink114"/>
    <hyperlink ref="E120" r:id="nativeLink115"/>
    <hyperlink ref="E121" r:id="nativeLink116"/>
    <hyperlink ref="E122" r:id="nativeLink117"/>
    <hyperlink ref="E123" r:id="nativeLink118"/>
    <hyperlink ref="E124" r:id="nativeLink119"/>
    <hyperlink ref="E125" r:id="nativeLink120"/>
    <hyperlink ref="E126" r:id="nativeLink121"/>
    <hyperlink ref="E127" r:id="nativeLink122"/>
    <hyperlink ref="E128" r:id="nativeLink123"/>
    <hyperlink ref="E129" r:id="nativeLink124"/>
    <hyperlink ref="E130" r:id="nativeLink125"/>
    <hyperlink ref="E131" r:id="nativeLink126"/>
    <hyperlink ref="E132" r:id="nativeLink127"/>
    <hyperlink ref="E133" r:id="nativeLink128"/>
    <hyperlink ref="E134" r:id="nativeLink129"/>
    <hyperlink ref="E135" r:id="nativeLink130"/>
    <hyperlink ref="E136" r:id="nativeLink131"/>
    <hyperlink ref="E137" r:id="nativeLink132"/>
    <hyperlink ref="E138" r:id="nativeLink133"/>
    <hyperlink ref="E139" r:id="nativeLink134"/>
    <hyperlink ref="E140" r:id="nativeLink135"/>
    <hyperlink ref="E141" r:id="nativeLink136"/>
    <hyperlink ref="E142" r:id="nativeLink137"/>
    <hyperlink ref="E143" r:id="nativeLink138"/>
    <hyperlink ref="E144" r:id="nativeLink139"/>
    <hyperlink ref="E145" r:id="nativeLink140"/>
    <hyperlink ref="E146" r:id="nativeLink141"/>
    <hyperlink ref="E147" r:id="nativeLink142"/>
    <hyperlink ref="E148" r:id="nativeLink143"/>
    <hyperlink ref="E149" r:id="nativeLink144"/>
    <hyperlink ref="E150" r:id="nativeLink145"/>
    <hyperlink ref="E151" r:id="nativeLink146"/>
    <hyperlink ref="E152" r:id="nativeLink147"/>
    <hyperlink ref="E153" r:id="nativeLink148"/>
    <hyperlink ref="E154" r:id="nativeLink149"/>
    <hyperlink ref="E155" r:id="nativeLink150"/>
    <hyperlink ref="E156" r:id="nativeLink151"/>
    <hyperlink ref="E157" r:id="nativeLink152"/>
    <hyperlink ref="E158" r:id="nativeLink153"/>
    <hyperlink ref="E159" r:id="nativeLink154"/>
    <hyperlink ref="E160" r:id="nativeLink155"/>
    <hyperlink ref="E161" r:id="nativeLink156"/>
    <hyperlink ref="E162" r:id="nativeLink157"/>
    <hyperlink ref="E163" r:id="nativeLink158"/>
    <hyperlink ref="E164" r:id="nativeLink159"/>
    <hyperlink ref="E165" r:id="nativeLink160"/>
    <hyperlink ref="E166" r:id="nativeLink161"/>
    <hyperlink ref="E167" r:id="nativeLink162"/>
    <hyperlink ref="E168" r:id="nativeLink163"/>
    <hyperlink ref="E169" r:id="nativeLink164"/>
    <hyperlink ref="E170" r:id="nativeLink165"/>
    <hyperlink ref="E171" r:id="nativeLink166"/>
    <hyperlink ref="E172" r:id="nativeLink167"/>
    <hyperlink ref="E173" r:id="nativeLink168"/>
    <hyperlink ref="E174" r:id="nativeLink169"/>
    <hyperlink ref="E175" r:id="nativeLink170"/>
    <hyperlink ref="E176" r:id="nativeLink171"/>
    <hyperlink ref="E177" r:id="nativeLink172"/>
    <hyperlink ref="E178" r:id="nativeLink173"/>
    <hyperlink ref="E179" r:id="nativeLink174"/>
    <hyperlink ref="E180" r:id="nativeLink175"/>
    <hyperlink ref="E181" r:id="nativeLink176"/>
    <hyperlink ref="E182" r:id="nativeLink177"/>
    <hyperlink ref="E183" r:id="nativeLink178"/>
    <hyperlink ref="E184" r:id="nativeLink179"/>
    <hyperlink ref="E185" r:id="nativeLink180"/>
    <hyperlink ref="E186" r:id="nativeLink181"/>
    <hyperlink ref="E187" r:id="nativeLink182"/>
    <hyperlink ref="E188" r:id="nativeLink183"/>
    <hyperlink ref="E189" r:id="nativeLink184"/>
    <hyperlink ref="E190" r:id="nativeLink185"/>
    <hyperlink ref="E191" r:id="nativeLink186"/>
    <hyperlink ref="E192" r:id="nativeLink187"/>
    <hyperlink ref="E193" r:id="nativeLink188"/>
    <hyperlink ref="E194" r:id="nativeLink189"/>
    <hyperlink ref="E195" r:id="nativeLink190"/>
    <hyperlink ref="E196" r:id="nativeLink191"/>
    <hyperlink ref="E197" r:id="nativeLink192"/>
    <hyperlink ref="E198" r:id="nativeLink193"/>
    <hyperlink ref="E199" r:id="nativeLink194"/>
    <hyperlink ref="E200" r:id="nativeLink195"/>
    <hyperlink ref="E201" r:id="nativeLink196"/>
    <hyperlink ref="E202" r:id="nativeLink197"/>
    <hyperlink ref="E203" r:id="nativeLink198"/>
    <hyperlink ref="E204" r:id="nativeLink199"/>
    <hyperlink ref="E205" r:id="nativeLink200"/>
    <hyperlink ref="E206" r:id="nativeLink201"/>
    <hyperlink ref="E207" r:id="nativeLink202"/>
    <hyperlink ref="E208" r:id="nativeLink203"/>
    <hyperlink ref="E209" r:id="nativeLink204"/>
    <hyperlink ref="E210" r:id="nativeLink205"/>
    <hyperlink ref="E211" r:id="nativeLink206"/>
    <hyperlink ref="E212" r:id="nativeLink207"/>
    <hyperlink ref="E213" r:id="nativeLink208"/>
    <hyperlink ref="E214" r:id="nativeLink209"/>
    <hyperlink ref="E215" r:id="nativeLink210"/>
    <hyperlink ref="E216" r:id="nativeLink211"/>
    <hyperlink ref="E217" r:id="nativeLink212"/>
    <hyperlink ref="E218" r:id="nativeLink213"/>
    <hyperlink ref="E219" r:id="nativeLink214"/>
    <hyperlink ref="E220" r:id="nativeLink215"/>
    <hyperlink ref="E221" r:id="nativeLink216"/>
    <hyperlink ref="E222" r:id="nativeLink217"/>
    <hyperlink ref="E223" r:id="nativeLink218"/>
    <hyperlink ref="E224" r:id="nativeLink219"/>
    <hyperlink ref="E225" r:id="nativeLink220"/>
    <hyperlink ref="E226" r:id="nativeLink221"/>
    <hyperlink ref="E227" r:id="nativeLink222"/>
    <hyperlink ref="E228" r:id="nativeLink223"/>
    <hyperlink ref="E229" r:id="nativeLink224"/>
    <hyperlink ref="E230" r:id="nativeLink225"/>
    <hyperlink ref="E231" r:id="nativeLink226"/>
    <hyperlink ref="E232" r:id="nativeLink227"/>
    <hyperlink ref="E233" r:id="nativeLink228"/>
    <hyperlink ref="E234" r:id="nativeLink229"/>
    <hyperlink ref="E235" r:id="nativeLink230"/>
    <hyperlink ref="E236" r:id="nativeLink231"/>
    <hyperlink ref="E237" r:id="nativeLink232"/>
    <hyperlink ref="E238" r:id="nativeLink233"/>
    <hyperlink ref="E239" r:id="nativeLink234"/>
  </hyperlinks>
  <pageMargins left="0.7" right="0.7" top="0.75" bottom="0.75" header="0.3" footer="0.3"/>
  <tableParts count="1">
    <tablePart r:id="R952e39d0e0c6451b"/>
  </tableParts>
</worksheet>
</file>

<file path=xl/worksheets/sheet5.xml><?xml version="1.0" encoding="utf-8"?>
<worksheet xmlns="http://schemas.openxmlformats.org/spreadsheetml/2006/main" xmlns:r="http://schemas.openxmlformats.org/officeDocument/2006/relationships">
  <sheetViews>
    <sheetView showGridLines="0" workbookViewId="0">
      <pane xSplit="2" ySplit="5" topLeftCell="C6" activePane="bottomRight" state="frozen"/>
    </sheetView>
  </sheetViews>
  <sheetFormatPr defaultRowHeight="15"/>
  <cols>
    <col min="1" max="1" width="75" hidden="0" customWidth="1"/>
    <col min="2" max="2" width="30" hidden="0" customWidth="1"/>
    <col min="3" max="3" width="48" hidden="0" customWidth="1"/>
    <col min="4" max="4" width="16" hidden="0" customWidth="1"/>
    <col min="5" max="5" width="70" hidden="0" customWidth="1"/>
    <col min="6" max="6" width="90" hidden="0" customWidth="1"/>
    <col min="7" max="7" width="85" hidden="0" customWidth="1"/>
    <col min="8" max="8" width="90" hidden="0" customWidth="1"/>
  </cols>
  <sheetData>
    <row r="1">
      <c r="A1" s="3"/>
      <c r="B1" s="3"/>
      <c r="C1" s="3"/>
      <c r="D1" s="3"/>
      <c r="E1" s="3"/>
      <c r="F1" s="3"/>
      <c r="G1" s="3"/>
      <c r="H1" s="3"/>
    </row>
    <row r="2" ht="28" customHeight="1">
      <c r="A2" s="5" t="str">
        <v>Related bodies</v>
      </c>
      <c r="B2" s="5"/>
      <c r="C2" s="5"/>
      <c r="D2" s="5"/>
      <c r="E2" s="5"/>
      <c r="F2" s="5"/>
      <c r="G2" s="5"/>
      <c r="H2" s="5"/>
    </row>
    <row r="3" ht="23" customHeight="1">
      <c r="A3" s="7" t="str">
        <v>Evidence checked 10 October 2026 · Full text retained in cells; use filters and expand rows for long provisions.</v>
      </c>
      <c r="B3" s="7"/>
      <c r="C3" s="7"/>
      <c r="D3" s="7"/>
      <c r="E3" s="7"/>
      <c r="F3" s="7"/>
      <c r="G3" s="7"/>
      <c r="H3" s="7"/>
    </row>
    <row r="4">
      <c r="A4" s="8"/>
      <c r="B4" s="8"/>
      <c r="C4" s="8"/>
      <c r="D4" s="8"/>
      <c r="E4" s="8"/>
      <c r="F4" s="8"/>
      <c r="G4" s="8"/>
      <c r="H4" s="8"/>
    </row>
    <row r="5" ht="52" customHeight="1">
      <c r="A5" s="17" t="str">
        <v>Body name · Português</v>
      </c>
      <c r="B5" s="18" t="str">
        <v>Body type</v>
      </c>
      <c r="C5" s="18" t="str">
        <v>Evidence act</v>
      </c>
      <c r="D5" s="18" t="str">
        <v>Published</v>
      </c>
      <c r="E5" s="18" t="str">
        <v>Issuing ministries / offices</v>
      </c>
      <c r="F5" s="18" t="str">
        <v>Purpose / creating-act summary</v>
      </c>
      <c r="G5" s="18" t="str">
        <v>Notes</v>
      </c>
      <c r="H5" s="19" t="str">
        <v>DR URL</v>
      </c>
    </row>
    <row r="6" ht="90" customHeight="1">
      <c r="A6" s="3" t="str">
        <v>Comissão para a Revisão do Processo e Procedimento Tributário e das Garantias dos Contribuintes</v>
      </c>
      <c r="B6" s="3" t="str">
        <v>Comissão</v>
      </c>
      <c r="C6" s="3" t="str">
        <v>Despacho n.º 8340/2024, de 25 de julho</v>
      </c>
      <c r="D6" s="20" t="d">
        <v>2024-07-25T00:00:00.000Z</v>
      </c>
      <c r="E6" s="3" t="str">
        <v>Finanças - Gabinete do Ministro de Estado e das Finanças</v>
      </c>
      <c r="F6" s="3" t="str">
        <v>Constituição de Comissão para a Revisão do Processo e Procedimento Tributário e das ­Garantias dos Contribuintes.</v>
      </c>
      <c r="G6" s="3" t="str">
        <v>Separate body type; excluded from working-group totals.</v>
      </c>
      <c r="H6" s="3" t="str">
        <v>https://diariodarepublica.pt/dr/detalhe/despacho/8340-2024-873447590</v>
      </c>
    </row>
    <row r="7" ht="90" customHeight="1">
      <c r="A7" s="3" t="str">
        <v>Comissão Nacional da Saúde da Mulher, da Criança e do Adolescente</v>
      </c>
      <c r="B7" s="3" t="str">
        <v>Comissão</v>
      </c>
      <c r="C7" s="3" t="str">
        <v>Despacho n.º 8434/2024, de 26 de julho</v>
      </c>
      <c r="D7" s="20" t="d">
        <v>2024-07-26T00:00:00.000Z</v>
      </c>
      <c r="E7" s="3" t="str">
        <v>Saúde - Gabinete da Ministra da Saúde</v>
      </c>
      <c r="F7" s="3" t="str">
        <v>Cria a Comissão Nacional da Saúde da Mulher, da Criança e do Adolescente.</v>
      </c>
      <c r="G7" s="3" t="str">
        <v>Creates the parent commission for later clinical working groups; commission counted separately.</v>
      </c>
      <c r="H7" s="3" t="str">
        <v>https://diariodarepublica.pt/dr/detalhe/despacho/8434-2024-873614433</v>
      </c>
    </row>
    <row r="8" ht="90" customHeight="1">
      <c r="A8" s="3" t="str">
        <v>Estrutura de Missão para a Comunicação Social</v>
      </c>
      <c r="B8" s="3" t="str">
        <v>Estrutura de missão</v>
      </c>
      <c r="C8" s="3" t="str">
        <v>Resolução do Conselho de Ministros n.º 105/2024, de 21 de agosto</v>
      </c>
      <c r="D8" s="20" t="d">
        <v>2024-08-21T00:00:00.000Z</v>
      </c>
      <c r="E8" s="3" t="str">
        <v>Presidência do Conselho de Ministros</v>
      </c>
      <c r="F8" s="3" t="str">
        <v>Cria a Estrutura de Missão para a Comunicação Social.</v>
      </c>
      <c r="G8" s="3" t="str">
        <v>Separate body type.</v>
      </c>
      <c r="H8" s="3" t="str">
        <v>https://diariodarepublica.pt/dr/detalhe/resolucao-conselho-ministros/105-2024-884941426</v>
      </c>
    </row>
    <row r="9" ht="90" customHeight="1">
      <c r="A9" s="3" t="str">
        <v>Comissão de trabalho prevista na RCM 71/2024</v>
      </c>
      <c r="B9" s="3" t="str">
        <v>Comissão de trabalho</v>
      </c>
      <c r="C9" s="3" t="str">
        <v>Despacho n.º 10791/2024, de 13 de setembro</v>
      </c>
      <c r="D9" s="20" t="d">
        <v>2024-09-13T00:00:00.000Z</v>
      </c>
      <c r="E9" s="3" t="str">
        <v>Finanças e Saúde - Gabinete do Ministro de Estado e das Finanças e Gabinete da Ministra da Saúde</v>
      </c>
      <c r="F9" s="3" t="str">
        <v>Cria a comissão de trabalho prevista no n.º 3 da Resolução do Conselho de Ministros n.º 71/2024, de 5 de junho.</v>
      </c>
      <c r="G9" s="3" t="str">
        <v>Kept outside main table because the creating act calls it a comissão de trabalho.</v>
      </c>
      <c r="H9" s="3" t="str">
        <v>https://diariodarepublica.pt/dr/detalhe/despacho/10791-2024-887629419</v>
      </c>
    </row>
    <row r="10" ht="90" customHeight="1">
      <c r="A10" s="3" t="str">
        <v>Comissão liquidatária das Administrações Regionais de Saúde, I. P.</v>
      </c>
      <c r="B10" s="3" t="str">
        <v>Comissão</v>
      </c>
      <c r="C10" s="3" t="str">
        <v>Despacho n.º 12785/2024, de 28 de outubro</v>
      </c>
      <c r="D10" s="20" t="d">
        <v>2024-10-28T00:00:00.000Z</v>
      </c>
      <c r="E10" s="3" t="str">
        <v>Finanças e Saúde - Gabinete do Ministro de Estado e das Finanças e Gabinete da Ministra da Saúde</v>
      </c>
      <c r="F10" s="3" t="str">
        <v>Criação da comissão liquidatária das Administrações Regionais de Saúde, I. P.</v>
      </c>
      <c r="G10" s="3" t="str">
        <v>Separate body type.</v>
      </c>
      <c r="H10" s="3" t="str">
        <v>https://diariodarepublica.pt/dr/detalhe/despacho/12785-2024-893675950</v>
      </c>
    </row>
    <row r="11" ht="90" customHeight="1">
      <c r="A11" s="3" t="str">
        <v>Conselho para o Digital na Administração Pública (CDAP)</v>
      </c>
      <c r="B11" s="3" t="str">
        <v>Conselho / governance</v>
      </c>
      <c r="C11" s="3" t="str">
        <v>Resolução do Conselho de Ministros n.º 94/2024, de 25 de julho</v>
      </c>
      <c r="D11" s="20" t="d">
        <v>2024-07-25T00:00:00.000Z</v>
      </c>
      <c r="E11" s="3" t="str">
        <v>Presidência do Conselho de Ministros</v>
      </c>
      <c r="F11" s="3" t="str">
        <v>Constitui o «Conselho para o Digital na Administração Pública».</v>
      </c>
      <c r="G11" s="3" t="str">
        <v>Thematic technical groups may be created under its governance; individual constitutions need separate verification.</v>
      </c>
      <c r="H11" s="3" t="str">
        <v>https://diariodarepublica.pt/dr/detalhe/resolucao-conselho-ministros/94-2024-873371754</v>
      </c>
    </row>
    <row r="12" ht="90" customHeight="1">
      <c r="A12" s="3" t="str">
        <v>Comité para a Eficiência, Inovação e Sustentabilidade (CEIS)</v>
      </c>
      <c r="B12" s="3" t="str">
        <v>Comité</v>
      </c>
      <c r="C12" s="3" t="str">
        <v>Despacho n.º 2564/2025, de 25 de fevereiro</v>
      </c>
      <c r="D12" s="20" t="d">
        <v>2025-02-25T00:00:00.000Z</v>
      </c>
      <c r="E12" s="3" t="str">
        <v>Justiça - Gabinete da Secretária de Estado da Justiça</v>
      </c>
      <c r="F12" s="3" t="str">
        <v>Criação do Comité para a Eficiência, Inovação e Sustentabilidade (CEIS).</v>
      </c>
      <c r="G12" s="3" t="str">
        <v>Separate body type.</v>
      </c>
      <c r="H12" s="3" t="str">
        <v>https://diariodarepublica.pt/dr/detalhe/despacho/2564-2025-908703872</v>
      </c>
    </row>
    <row r="13" ht="90" customHeight="1">
      <c r="A13" s="3" t="str">
        <v>Equipa de trabalho técnica e multissetorial — substituição do SIRESP</v>
      </c>
      <c r="B13" s="3" t="str">
        <v>Equipa de trabalho</v>
      </c>
      <c r="C13" s="3" t="str">
        <v>Despacho n.º 5274/2025, de 8 de maio</v>
      </c>
      <c r="D13" s="20" t="d">
        <v>2025-05-08T00:00:00.000Z</v>
      </c>
      <c r="E13" s="3" t="str">
        <v>Administração Interna e Infraestruturas e Habitação - Gabinete da Ministra da Administração Interna e Gabinete do Ministro das Infraestruturas e Habitação</v>
      </c>
      <c r="F13" s="3" t="str">
        <v>Determina a constituição de uma equipa de trabalho técnica e multissetorial com a missão de desenvolver um estudo técnico-estratégico para a substituição urgente do Sistema Integrado de Redes de Emergência e Segurança de Portugal (SIRESP).</v>
      </c>
      <c r="G13" s="3" t="str">
        <v>The act uses equipa de trabalho, not grupo de trabalho; tracked separately.</v>
      </c>
      <c r="H13" s="3" t="str">
        <v>https://diariodarepublica.pt/dr/detalhe/despacho/5274-2025-917251743</v>
      </c>
    </row>
    <row r="14" ht="90" customHeight="1">
      <c r="A14" s="3" t="str">
        <v>Grupo de Acompanhamento — expansão do Aeroporto Humberto Delgado</v>
      </c>
      <c r="B14" s="3" t="str">
        <v>Grupo de acompanhamento</v>
      </c>
      <c r="C14" s="3" t="str">
        <v>Despacho n.º 6486/2025, de 11 de junho</v>
      </c>
      <c r="D14" s="20" t="d">
        <v>2025-06-11T00:00:00.000Z</v>
      </c>
      <c r="E14" s="3" t="str">
        <v>Finanças e Infraestruturas e Habitação - Gabinete do Secretário de Estado do Tesouro e das Finanças e Gabinete do Secretário de Estado das Infraestruturas</v>
      </c>
      <c r="F14" s="3" t="str">
        <v>Procede à ratificação e segunda alteração do Despacho n.º 8171/2024, de 23 de julho, que cria o Grupo de Acompanhamento para o processo de expansão da capacidade do Aeroporto Humberto Delgado, previsto na Resolução do Conselho de Ministros n.º 67/2024, de 27 de maio.</v>
      </c>
      <c r="G14" s="3" t="str">
        <v>This is an amendment/ratification referencing original Despacho 8171/2024, not a new 2025 creation.</v>
      </c>
      <c r="H14" s="3" t="str">
        <v>https://diariodarepublica.pt/dr/detalhe/despacho/6486-2025-921001117</v>
      </c>
    </row>
    <row r="15" ht="90" customHeight="1">
      <c r="A15" s="3" t="str">
        <v>Unidade de Combate à Fraude no Serviço Nacional de Saúde</v>
      </c>
      <c r="B15" s="3" t="str">
        <v>Unidade / estrutura</v>
      </c>
      <c r="C15" s="3" t="str">
        <v>Resolução do Conselho de Ministros n.º 182/2025, de 26 de novembro</v>
      </c>
      <c r="D15" s="20" t="d">
        <v>2025-11-26T00:00:00.000Z</v>
      </c>
      <c r="E15" s="3" t="str">
        <v>Presidência do Conselho de Ministros</v>
      </c>
      <c r="F15" s="3" t="str">
        <v>Cria a Unidade de Combate à Fraude no Serviço Nacional de Saúde.</v>
      </c>
      <c r="G15" s="3" t="str">
        <v>Separate body type.</v>
      </c>
      <c r="H15" s="3" t="str">
        <v>https://diariodarepublica.pt/dr/detalhe/resolucao-conselho-ministros/182-2025-953220525</v>
      </c>
    </row>
    <row r="16" ht="90" customHeight="1">
      <c r="A16" s="3" t="str">
        <v>Comissão de acompanhamento da exposição Camões na Biblioteca Nacional de Espanha</v>
      </c>
      <c r="B16" s="3" t="str">
        <v>Comissão</v>
      </c>
      <c r="C16" s="3" t="str">
        <v>Despacho n.º 4650/2026, de 9 de abril</v>
      </c>
      <c r="D16" s="20" t="d">
        <v>2026-04-09T00:00:00.000Z</v>
      </c>
      <c r="E16" s="3" t="str">
        <v>Negócios Estrangeiros, Finanças e Cultura, Juventude e Desporto - Gabinete do Ministro de Estado e dos Negócios Estrangeiros, Gabinete do Ministro de Estado e das Finanças e Gabinete da Ministra da Cultura, Juventude e Desporto</v>
      </c>
      <c r="F16" s="3" t="str">
        <v>Cria a comissão de acompanhamento da exposição «Camões na Biblioteca Nacional de Espanha», para assegurar a coordenação eficaz e integrada dos trabalhos da exposição, na parte respeitante a Portugal.</v>
      </c>
      <c r="G16" s="3" t="str">
        <v>Separate body type.</v>
      </c>
      <c r="H16" s="3" t="str">
        <v>https://diariodarepublica.pt/dr/detalhe/despacho/4650-2026-1082906767</v>
      </c>
    </row>
    <row r="17" ht="90" customHeight="1">
      <c r="A17" s="3" t="str">
        <v>Governação do Plano Nacional da Saúde para as Demências</v>
      </c>
      <c r="B17" s="3" t="str">
        <v>Comissão / governance</v>
      </c>
      <c r="C17" s="3" t="str">
        <v>Despacho n.º 4762/2026, de 13 de abril</v>
      </c>
      <c r="D17" s="20" t="d">
        <v>2026-04-13T00:00:00.000Z</v>
      </c>
      <c r="E17" s="3" t="str">
        <v>Saúde - Gabinete da Ministra da Saúde</v>
      </c>
      <c r="F17" s="3" t="str">
        <v>Aprova o modelo de governação do Plano Nacional da Saúde para as Demências, no quadro da Estratégia da Saúde na Área das Demências.</v>
      </c>
      <c r="G17" s="3" t="str">
        <v>Commission and coordination arrangements; excluded from the main working-group count.</v>
      </c>
      <c r="H17" s="3" t="str">
        <v>https://diariodarepublica.pt/dr/detalhe/despacho/4762-2026-1084035742</v>
      </c>
    </row>
    <row r="18" ht="90" customHeight="1">
      <c r="A18" s="3" t="str">
        <v>Estrutura Nacional SAFE</v>
      </c>
      <c r="B18" s="3" t="str">
        <v>Estrutura de missão</v>
      </c>
      <c r="C18" s="3" t="str">
        <v>Resolução do Conselho de Ministros n.º 175/2026, de 28 de agosto</v>
      </c>
      <c r="D18" s="20" t="d">
        <v>2026-08-28T00:00:00.000Z</v>
      </c>
      <c r="E18" s="3" t="str">
        <v>Presidência do Conselho de Ministros</v>
      </c>
      <c r="F18" s="3" t="str">
        <v>Cria a Estrutura de Missão denominada Estrutura Nacional SAFE.</v>
      </c>
      <c r="G18" s="3" t="str">
        <v>Successor governance structure to an officially acknowledged SAFE working group whose original published creating act was not found.</v>
      </c>
      <c r="H18" s="3" t="str">
        <v>https://diariodarepublica.pt/dr/detalhe/resolucao-conselho-ministros/175-2026-1163562936</v>
      </c>
    </row>
    <row r="19" ht="90" customHeight="1">
      <c r="A19" s="3" t="str">
        <v>Comissão Interministerial de Coordenação — Plano Nacional de Restauro da Natureza</v>
      </c>
      <c r="B19" s="3" t="str">
        <v>Comissão</v>
      </c>
      <c r="C19" s="3" t="str">
        <v>Despacho n.º 12734/2024, de 25 de outubro</v>
      </c>
      <c r="D19" s="20" t="d">
        <v>2024-10-25T00:00:00.000Z</v>
      </c>
      <c r="E19"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F19" s="3" t="str">
        <v>Clause 1: supervise preparation of the national restoration plan.</v>
      </c>
      <c r="G19" s="3" t="str">
        <v>Separate from the GT-RN in clause 2; members must not be mixed into GT-RN membership.</v>
      </c>
      <c r="H19" s="3" t="str">
        <v>https://diariodarepublica.pt/dr/detalhe/despacho/12734-2024-892664373</v>
      </c>
    </row>
    <row r="20" ht="90" customHeight="1">
      <c r="A20" s="3" t="str">
        <v>Comissão de Acompanhamento — Plano Nacional de Restauro da Natureza</v>
      </c>
      <c r="B20" s="3" t="str">
        <v>Comissão</v>
      </c>
      <c r="C20" s="3" t="str">
        <v>Despacho n.º 12734/2024, de 25 de outubro</v>
      </c>
      <c r="D20" s="20" t="d">
        <v>2024-10-25T00:00:00.000Z</v>
      </c>
      <c r="E20"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F20" s="3" t="str">
        <v>Clause 6: monitor the plan and support thematic discussion.</v>
      </c>
      <c r="G20" s="3" t="str">
        <v>Separate from the GT-RN in clause 2; members must not be mixed into GT-RN membership.</v>
      </c>
      <c r="H20" s="3" t="str">
        <v>https://diariodarepublica.pt/dr/detalhe/despacho/12734-2024-892664373</v>
      </c>
    </row>
  </sheetData>
  <hyperlinks>
    <hyperlink ref="H6" r:id="nativeLink1"/>
    <hyperlink ref="H7" r:id="nativeLink2"/>
    <hyperlink ref="H8" r:id="nativeLink3"/>
    <hyperlink ref="H9" r:id="nativeLink4"/>
    <hyperlink ref="H10" r:id="nativeLink5"/>
    <hyperlink ref="H11" r:id="nativeLink6"/>
    <hyperlink ref="H12" r:id="nativeLink7"/>
    <hyperlink ref="H13" r:id="nativeLink8"/>
    <hyperlink ref="H14" r:id="nativeLink9"/>
    <hyperlink ref="H15" r:id="nativeLink10"/>
    <hyperlink ref="H16" r:id="nativeLink11"/>
    <hyperlink ref="H17" r:id="nativeLink12"/>
    <hyperlink ref="H18" r:id="nativeLink13"/>
    <hyperlink ref="H19" r:id="nativeLink14"/>
    <hyperlink ref="H20" r:id="nativeLink15"/>
  </hyperlinks>
  <pageMargins left="0.7" right="0.7" top="0.75" bottom="0.75" header="0.3" footer="0.3"/>
  <tableParts count="1">
    <tablePart r:id="Rfa1a79f86fbb4c24"/>
  </tableParts>
</worksheet>
</file>

<file path=xl/worksheets/sheet6.xml><?xml version="1.0" encoding="utf-8"?>
<worksheet xmlns="http://schemas.openxmlformats.org/spreadsheetml/2006/main" xmlns:r="http://schemas.openxmlformats.org/officeDocument/2006/relationships">
  <sheetViews>
    <sheetView showGridLines="0" workbookViewId="0">
      <pane xSplit="2" ySplit="5" topLeftCell="C6" activePane="bottomRight" state="frozen"/>
    </sheetView>
  </sheetViews>
  <sheetFormatPr defaultRowHeight="15"/>
  <cols>
    <col min="1" max="1" width="65" hidden="0" customWidth="1"/>
    <col min="2" max="2" width="65" hidden="0" customWidth="1"/>
    <col min="3" max="3" width="17" hidden="0" customWidth="1"/>
    <col min="4" max="4" width="100" hidden="0" customWidth="1"/>
    <col min="5" max="5" width="90" hidden="0" customWidth="1"/>
    <col min="6" max="6" width="95" hidden="0" customWidth="1"/>
  </cols>
  <sheetData>
    <row r="1">
      <c r="A1" s="3"/>
      <c r="B1" s="3"/>
      <c r="C1" s="3"/>
      <c r="D1" s="3"/>
      <c r="E1" s="3"/>
      <c r="F1" s="3"/>
    </row>
    <row r="2" ht="28" customHeight="1">
      <c r="A2" s="5" t="str">
        <v>Discovery gaps</v>
      </c>
      <c r="B2" s="5"/>
      <c r="C2" s="5"/>
      <c r="D2" s="5"/>
      <c r="E2" s="5"/>
      <c r="F2" s="5"/>
    </row>
    <row r="3" ht="23" customHeight="1">
      <c r="A3" s="7" t="str">
        <v>Evidence checked 10 October 2026 · Full text retained in cells; use filters and expand rows for long provisions.</v>
      </c>
      <c r="B3" s="7"/>
      <c r="C3" s="7"/>
      <c r="D3" s="7"/>
      <c r="E3" s="7"/>
      <c r="F3" s="7"/>
    </row>
    <row r="4">
      <c r="A4" s="8"/>
      <c r="B4" s="8"/>
      <c r="C4" s="8"/>
      <c r="D4" s="8"/>
      <c r="E4" s="8"/>
      <c r="F4" s="8"/>
    </row>
    <row r="5" ht="52" customHeight="1">
      <c r="A5" s="17" t="str">
        <v>Lead / scope record</v>
      </c>
      <c r="B5" s="18" t="str">
        <v>Official evidence</v>
      </c>
      <c r="C5" s="18" t="str">
        <v>Published / lead date</v>
      </c>
      <c r="D5" s="18" t="str">
        <v>Why excluded from confirmed total</v>
      </c>
      <c r="E5" s="18" t="str">
        <v>Record needed / next step</v>
      </c>
      <c r="F5" s="19" t="str">
        <v>Official source URL(s)</v>
      </c>
    </row>
    <row r="6" ht="100" customHeight="1">
      <c r="A6" s="3" t="str">
        <v>Grupo de Trabalho Nacional — macroalga Rugulopteryx okamurae</v>
      </c>
      <c r="B6" s="3" t="str">
        <v>Portaria n.º 270-A/2025/1, de 23 de julho</v>
      </c>
      <c r="C6" s="20" t="d">
        <v>2025-07-23T00:00:00.000Z</v>
      </c>
      <c r="D6" s="3" t="str">
        <v>Article 5 says a national group is to be constituted under APA coordination; actual constitution is not established. Excluded from confirmed totals.</v>
      </c>
      <c r="E6" s="3" t="str">
        <v>Find APA’s constituting/designation act and actual start date.</v>
      </c>
      <c r="F6" s="3" t="str">
        <v>https://diariodarepublica.pt/dr/detalhe/portaria/270-a-2025-925934050</v>
      </c>
    </row>
    <row r="7" ht="100" customHeight="1">
      <c r="A7" s="3" t="str">
        <v>Grupos de trabalho — Estratégia Única dos Direitos das Crianças e Jovens</v>
      </c>
      <c r="B7" s="3" t="str">
        <v>Resolução do Conselho de Ministros n.º 158/2025, de 13 de outubro</v>
      </c>
      <c r="C7" s="20" t="d">
        <v>2025-10-13T00:00:00.000Z</v>
      </c>
      <c r="D7" s="3" t="str">
        <v>Collective provision for groups across eight strategic areas does not establish a verified roster of individually constituted bodies. No inferred count.</v>
      </c>
      <c r="E7" s="3" t="str">
        <v>Obtain each group’s constituting act, name, members and start date.</v>
      </c>
      <c r="F7" s="3" t="str">
        <v>https://diariodarepublica.pt/dr/detalhe/resolucao-conselho-ministros/158-2025-939474962</v>
      </c>
    </row>
    <row r="8" ht="100" customHeight="1">
      <c r="A8" s="3" t="str">
        <v>Grupos de trabalho — Estratégia para os Direitos das Pessoas com Deficiência</v>
      </c>
      <c r="B8" s="3" t="str">
        <v>Resolução do Conselho de Ministros n.º 64-A/2026, de 31 de março</v>
      </c>
      <c r="C8" s="20" t="d">
        <v>2026-03-31T00:00:00.000Z</v>
      </c>
      <c r="D8" s="3" t="str">
        <v>Collective governance provision spans five strategic areas and transversal work; distinct group count and actual constitutions unverified.</v>
      </c>
      <c r="E8" s="3" t="str">
        <v>Obtain CTA decisions and individual constituting/designation records.</v>
      </c>
      <c r="F8" s="3" t="str">
        <v>https://diariodarepublica.pt/dr/detalhe/resolucao-conselho-ministros/64-a-2026-1080481227</v>
      </c>
    </row>
    <row r="9" ht="100" customHeight="1">
      <c r="A9" s="3" t="str">
        <v>Grupos técnicos temáticos no âmbito do CDAP</v>
      </c>
      <c r="B9" s="3" t="str">
        <v>Resolução do Conselho de Ministros n.º 94/2024, de 25 de julho</v>
      </c>
      <c r="C9" s="20" t="d">
        <v>2024-07-25T00:00:00.000Z</v>
      </c>
      <c r="D9" s="3" t="str">
        <v>Framework allows thematic technical groups but does not itself identify every subsequently constituted group. EDN and Raparigas STEM constitutions are included separately.</v>
      </c>
      <c r="E9" s="3" t="str">
        <v>Review all CDAP minutes and designation decisions; identify missing individual groups.</v>
      </c>
      <c r="F9" s="3" t="str">
        <v>https://diariodarepublica.pt/dr/detalhe/resolucao-conselho-ministros/94-2024-873371754</v>
      </c>
    </row>
    <row r="10" ht="100" customHeight="1">
      <c r="A10" s="3" t="str">
        <v>Grupo de trabalho SAFE — despacho ministerial de 30 June 2025</v>
      </c>
      <c r="B10" s="3" t="str">
        <v>Resolução do Conselho de Ministros n.º 175/2026, de 28 de agosto</v>
      </c>
      <c r="C10" s="20" t="d">
        <v>2026-08-28T00:00:00.000Z</v>
      </c>
      <c r="D10" s="3" t="str">
        <v>Later DR act and official government announcement acknowledge a group created by ministerial order. Original published DR creating act was not found.</v>
      </c>
      <c r="E10" s="3" t="str">
        <v>Request/retrieve the original ministerial despacho; then add a source-complete main row.</v>
      </c>
      <c r="F10" s="3" t="str">
        <v>https://diariodarepublica.pt/dr/detalhe/resolucao-conselho-ministros/175-2026-1163562936
https://portugal.gov.pt/pt/gc25/comunicacao/noticias/ministro-da-defesa-cria-grupo-de-trabalho-para-reforcar-investimento-atraves-do-safe</v>
      </c>
    </row>
    <row r="11" ht="100" customHeight="1">
      <c r="A11" s="3" t="str">
        <v>Grupo de trabalho de polinizadores — trabalho iniciado June 2024</v>
      </c>
      <c r="B11" s="3" t="str">
        <v>Despacho n.º 4214/2026, de 31 de março</v>
      </c>
      <c r="C11" s="20" t="d">
        <v>2026-03-31T00:00:00.000Z</v>
      </c>
      <c r="D11" s="3" t="str">
        <v>Later action-plan act acknowledges earlier preparatory work; original creation by a member of Government, date and membership not verified.</v>
      </c>
      <c r="E11" s="3" t="str">
        <v>Find original ICNF/government constituting decision and confirm it is within scope.</v>
      </c>
      <c r="F11" s="3" t="str">
        <v>https://diariodarepublica.pt/dr/detalhe/despacho/4214-2026-1080130550</v>
      </c>
    </row>
    <row r="12" ht="100" customHeight="1">
      <c r="A12" s="3" t="str">
        <v>Resposta pré-hospitalar na Península de Setúbal</v>
      </c>
      <c r="B12" s="3" t="str">
        <v>Parliamentary question/reply record, BID 187966</v>
      </c>
      <c r="C12" s="20" t="d">
        <v>2025-07-14T00:00:00.000Z</v>
      </c>
      <c r="D12" s="3" t="str">
        <v>Official parliamentary lead refers to a group; original government creating act and precise constitution are not established.</v>
      </c>
      <c r="E12" s="3" t="str">
        <v>Retrieve the ministerial reply and cited constituting decision.</v>
      </c>
      <c r="F12" s="3" t="str">
        <v>https://www.parlamento.pt/ActividadeParlamentar/Paginas/DetalhePerguntaRequerimento.aspx?BID=187966</v>
      </c>
    </row>
    <row r="13" ht="100" customHeight="1">
      <c r="A13" s="3" t="str">
        <v>Published after 2 April, adopted under XXIII</v>
      </c>
      <c r="B13" s="3" t="str">
        <v>Resolução do Conselho de Ministros n.º 61/2024, de 2 de abril</v>
      </c>
      <c r="C13" s="20" t="d">
        <v>2024-04-02T00:00:00.000Z</v>
      </c>
      <c r="D13" s="3" t="str">
        <v>Publication alone does not make an act a XXIV creation: the adoption/signature precedes 2 April 2024. Excluded.</v>
      </c>
      <c r="E13" s="3" t="str">
        <v>No further action unless a later act expressly reconstitutes a new group.</v>
      </c>
      <c r="F13" s="3" t="str">
        <v>https://diariodarepublica.pt/dr/detalhe/resolucao-conselho-ministros/61-2024-858576211</v>
      </c>
    </row>
    <row r="14" ht="100" customHeight="1">
      <c r="A14" s="3" t="str">
        <v>Published after 2 April, adopted under XXIII</v>
      </c>
      <c r="B14" s="3" t="str">
        <v>Resolução do Conselho de Ministros n.º 62/2024, de 3 de abril</v>
      </c>
      <c r="C14" s="20" t="d">
        <v>2024-04-03T00:00:00.000Z</v>
      </c>
      <c r="D14" s="3" t="str">
        <v>Publication alone does not make an act a XXIV creation: the adoption/signature precedes 2 April 2024. Excluded.</v>
      </c>
      <c r="E14" s="3" t="str">
        <v>No further action unless a later act expressly reconstitutes a new group.</v>
      </c>
      <c r="F14" s="3" t="str">
        <v>https://diariodarepublica.pt/dr/detalhe/resolucao-conselho-ministros/62-2024-858631718</v>
      </c>
    </row>
  </sheetData>
  <hyperlinks>
    <hyperlink ref="F6" r:id="nativeLink1"/>
    <hyperlink ref="F7" r:id="nativeLink2"/>
    <hyperlink ref="F8" r:id="nativeLink3"/>
    <hyperlink ref="F9" r:id="nativeLink4"/>
    <hyperlink ref="F10" r:id="nativeLink5"/>
    <hyperlink ref="F11" r:id="nativeLink6"/>
    <hyperlink ref="F12" r:id="nativeLink7"/>
    <hyperlink ref="F13" r:id="nativeLink8"/>
    <hyperlink ref="F14" r:id="nativeLink9"/>
  </hyperlinks>
  <pageMargins left="0.7" right="0.7" top="0.75" bottom="0.75" header="0.3" footer="0.3"/>
  <tableParts count="1">
    <tablePart r:id="Rc332c81f4c7b4fa3"/>
  </tableParts>
</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9" hidden="0" customWidth="1"/>
    <x:col min="2" max="2" width="16" hidden="0" customWidth="1"/>
    <x:col min="3" max="3" width="16" hidden="0" customWidth="1"/>
    <x:col min="4" max="4" width="20" hidden="0" customWidth="1"/>
    <x:col min="5" max="5" width="20" hidden="0" customWidth="1"/>
    <x:col min="6" max="6" width="20" hidden="0" customWidth="1"/>
    <x:col min="7" max="7" width="20" hidden="0" customWidth="1"/>
    <x:col min="8" max="8" width="15" hidden="0" customWidth="1"/>
    <x:col min="9" max="9" width="15" hidden="0" customWidth="1"/>
    <x:col min="10" max="10" width="100" hidden="0" customWidth="1"/>
  </x:cols>
  <x:sheetData>
    <x:row r="1">
      <x:c r="A1" s="3"/>
      <x:c r="B1" s="3"/>
      <x:c r="C1" s="3"/>
      <x:c r="D1" s="3"/>
      <x:c r="E1" s="3"/>
      <x:c r="F1" s="3"/>
      <x:c r="G1" s="3"/>
      <x:c r="H1" s="3"/>
      <x:c r="I1" s="3"/>
      <x:c r="J1" s="3"/>
    </x:row>
    <x:row r="2" ht="28" customHeight="1">
      <x:c r="A2" s="5" t="str">
        <x:v>Coverage</x:v>
      </x:c>
      <x:c r="B2" s="5"/>
      <x:c r="C2" s="5"/>
      <x:c r="D2" s="5"/>
      <x:c r="E2" s="5"/>
      <x:c r="F2" s="5"/>
      <x:c r="G2" s="5"/>
      <x:c r="H2" s="5"/>
      <x:c r="I2" s="5"/>
      <x:c r="J2" s="5"/>
    </x:row>
    <x:row r="3" ht="23" customHeight="1">
      <x:c r="A3" s="7" t="str">
        <x:v>Evidence checked 10 October 2026 · Full text retained in cells; use filters and expand rows for long provisions.</x:v>
      </x:c>
      <x:c r="B3" s="7"/>
      <x:c r="C3" s="7"/>
      <x:c r="D3" s="7"/>
      <x:c r="E3" s="7"/>
      <x:c r="F3" s="7"/>
      <x:c r="G3" s="7"/>
      <x:c r="H3" s="7"/>
      <x:c r="I3" s="7"/>
      <x:c r="J3" s="7"/>
    </x:row>
    <x:row r="4">
      <x:c r="A4" s="8"/>
      <x:c r="B4" s="8"/>
      <x:c r="C4" s="8"/>
      <x:c r="D4" s="8"/>
      <x:c r="E4" s="8"/>
      <x:c r="F4" s="8"/>
      <x:c r="G4" s="8"/>
      <x:c r="H4" s="8"/>
      <x:c r="I4" s="8"/>
      <x:c r="J4" s="8"/>
    </x:row>
    <x:row r="5" ht="52" customHeight="1">
      <x:c r="A5" s="17" t="str">
        <x:v>Publication month</x:v>
      </x:c>
      <x:c r="B5" s="18" t="str">
        <x:v>From</x:v>
      </x:c>
      <x:c r="C5" s="18" t="str">
        <x:v>Through</x:v>
      </x:c>
      <x:c r="D5" s="18" t="str">
        <x:v>Distinct DR result URLs</x:v>
      </x:c>
      <x:c r="E5" s="18" t="str">
        <x:v>Full shortlisted acts read</x:v>
      </x:c>
      <x:c r="F5" s="18" t="str">
        <x:v>Creating acts found</x:v>
      </x:c>
      <x:c r="G5" s="18" t="str">
        <x:v>Groups in register</x:v>
      </x:c>
      <x:c r="H5" s="18" t="str">
        <x:v>XXIV</x:v>
      </x:c>
      <x:c r="I5" s="18" t="str">
        <x:v>XXV</x:v>
      </x:c>
      <x:c r="J5" s="19" t="str">
        <x:v>Coverage method / limits</x:v>
      </x:c>
    </x:row>
    <x:row r="6" ht="48" customHeight="1">
      <x:c r="A6" s="23" t="d">
        <x:v>2024-04-01T00:00:00.000Z</x:v>
      </x:c>
      <x:c r="B6" s="20" t="d">
        <x:v>2024-04-02T00:00:00.000Z</x:v>
      </x:c>
      <x:c r="C6" s="20" t="d">
        <x:v>2024-04-30T00:00:00.000Z</x:v>
      </x:c>
      <x:c r="D6" s="21" t="n">
        <x:v>103</x:v>
      </x:c>
      <x:c r="E6" s="21" t="n">
        <x:v>7</x:v>
      </x:c>
      <x:c r="F6" s="21" t="n">
        <x:v>0</x:v>
      </x:c>
      <x:c r="G6" s="21" t="n">
        <x:v>0</x:v>
      </x:c>
      <x:c r="H6" s="21" t="n">
        <x:v>0</x:v>
      </x:c>
      <x:c r="I6" s="21" t="n">
        <x:v>0</x:v>
      </x:c>
      <x:c r="J6" s="3" t="str">
        <x:v>All returned phrase-search pages captured; summaries screened. Full text read for shortlisted central-government creation/lifecycle leads.</x:v>
      </x:c>
    </x:row>
    <x:row r="7" ht="48" customHeight="1">
      <x:c r="A7" s="23" t="d">
        <x:v>2024-05-01T00:00:00.000Z</x:v>
      </x:c>
      <x:c r="B7" s="20" t="d">
        <x:v>2024-05-01T00:00:00.000Z</x:v>
      </x:c>
      <x:c r="C7" s="20" t="d">
        <x:v>2024-05-31T00:00:00.000Z</x:v>
      </x:c>
      <x:c r="D7" s="21" t="n">
        <x:v>115</x:v>
      </x:c>
      <x:c r="E7" s="21" t="n">
        <x:v>2</x:v>
      </x:c>
      <x:c r="F7" s="21" t="n">
        <x:v>1</x:v>
      </x:c>
      <x:c r="G7" s="21" t="n">
        <x:v>1</x:v>
      </x:c>
      <x:c r="H7" s="21" t="n">
        <x:v>1</x:v>
      </x:c>
      <x:c r="I7" s="21" t="n">
        <x:v>0</x:v>
      </x:c>
      <x:c r="J7" s="3" t="str">
        <x:v>All returned phrase-search pages captured; summaries screened. Full text read for shortlisted central-government creation/lifecycle leads.</x:v>
      </x:c>
    </x:row>
    <x:row r="8" ht="48" customHeight="1">
      <x:c r="A8" s="23" t="d">
        <x:v>2024-06-01T00:00:00.000Z</x:v>
      </x:c>
      <x:c r="B8" s="20" t="d">
        <x:v>2024-06-01T00:00:00.000Z</x:v>
      </x:c>
      <x:c r="C8" s="20" t="d">
        <x:v>2024-06-30T00:00:00.000Z</x:v>
      </x:c>
      <x:c r="D8" s="21" t="n">
        <x:v>92</x:v>
      </x:c>
      <x:c r="E8" s="21" t="n">
        <x:v>8</x:v>
      </x:c>
      <x:c r="F8" s="21" t="n">
        <x:v>4</x:v>
      </x:c>
      <x:c r="G8" s="21" t="n">
        <x:v>4</x:v>
      </x:c>
      <x:c r="H8" s="21" t="n">
        <x:v>4</x:v>
      </x:c>
      <x:c r="I8" s="21" t="n">
        <x:v>0</x:v>
      </x:c>
      <x:c r="J8" s="3" t="str">
        <x:v>All returned phrase-search pages captured; summaries screened. Full text read for shortlisted central-government creation/lifecycle leads.</x:v>
      </x:c>
    </x:row>
    <x:row r="9" ht="48" customHeight="1">
      <x:c r="A9" s="23" t="d">
        <x:v>2024-07-01T00:00:00.000Z</x:v>
      </x:c>
      <x:c r="B9" s="20" t="d">
        <x:v>2024-07-01T00:00:00.000Z</x:v>
      </x:c>
      <x:c r="C9" s="20" t="d">
        <x:v>2024-07-31T00:00:00.000Z</x:v>
      </x:c>
      <x:c r="D9" s="21" t="n">
        <x:v>153</x:v>
      </x:c>
      <x:c r="E9" s="21" t="n">
        <x:v>16</x:v>
      </x:c>
      <x:c r="F9" s="21" t="n">
        <x:v>9</x:v>
      </x:c>
      <x:c r="G9" s="21" t="n">
        <x:v>9</x:v>
      </x:c>
      <x:c r="H9" s="21" t="n">
        <x:v>9</x:v>
      </x:c>
      <x:c r="I9" s="21" t="n">
        <x:v>0</x:v>
      </x:c>
      <x:c r="J9" s="3" t="str">
        <x:v>All returned phrase-search pages captured; summaries screened. Full text read for shortlisted central-government creation/lifecycle leads.</x:v>
      </x:c>
    </x:row>
    <x:row r="10" ht="48" customHeight="1">
      <x:c r="A10" s="23" t="d">
        <x:v>2024-08-01T00:00:00.000Z</x:v>
      </x:c>
      <x:c r="B10" s="20" t="d">
        <x:v>2024-08-01T00:00:00.000Z</x:v>
      </x:c>
      <x:c r="C10" s="20" t="d">
        <x:v>2024-08-31T00:00:00.000Z</x:v>
      </x:c>
      <x:c r="D10" s="21" t="n">
        <x:v>136</x:v>
      </x:c>
      <x:c r="E10" s="21" t="n">
        <x:v>15</x:v>
      </x:c>
      <x:c r="F10" s="21" t="n">
        <x:v>10</x:v>
      </x:c>
      <x:c r="G10" s="21" t="n">
        <x:v>12</x:v>
      </x:c>
      <x:c r="H10" s="21" t="n">
        <x:v>12</x:v>
      </x:c>
      <x:c r="I10" s="21" t="n">
        <x:v>0</x:v>
      </x:c>
      <x:c r="J10" s="3" t="str">
        <x:v>All returned phrase-search pages captured; summaries screened. Full text read for shortlisted central-government creation/lifecycle leads.</x:v>
      </x:c>
    </x:row>
    <x:row r="11" ht="48" customHeight="1">
      <x:c r="A11" s="23" t="d">
        <x:v>2024-09-01T00:00:00.000Z</x:v>
      </x:c>
      <x:c r="B11" s="20" t="d">
        <x:v>2024-09-01T00:00:00.000Z</x:v>
      </x:c>
      <x:c r="C11" s="20" t="d">
        <x:v>2024-09-30T00:00:00.000Z</x:v>
      </x:c>
      <x:c r="D11" s="21" t="n">
        <x:v>71</x:v>
      </x:c>
      <x:c r="E11" s="21" t="n">
        <x:v>8</x:v>
      </x:c>
      <x:c r="F11" s="21" t="n">
        <x:v>5</x:v>
      </x:c>
      <x:c r="G11" s="21" t="n">
        <x:v>5</x:v>
      </x:c>
      <x:c r="H11" s="21" t="n">
        <x:v>5</x:v>
      </x:c>
      <x:c r="I11" s="21" t="n">
        <x:v>0</x:v>
      </x:c>
      <x:c r="J11" s="3" t="str">
        <x:v>All returned phrase-search pages captured; summaries screened. Full text read for shortlisted central-government creation/lifecycle leads.</x:v>
      </x:c>
    </x:row>
    <x:row r="12" ht="48" customHeight="1">
      <x:c r="A12" s="23" t="d">
        <x:v>2024-10-01T00:00:00.000Z</x:v>
      </x:c>
      <x:c r="B12" s="20" t="d">
        <x:v>2024-10-01T00:00:00.000Z</x:v>
      </x:c>
      <x:c r="C12" s="20" t="d">
        <x:v>2024-10-31T00:00:00.000Z</x:v>
      </x:c>
      <x:c r="D12" s="21" t="n">
        <x:v>122</x:v>
      </x:c>
      <x:c r="E12" s="21" t="n">
        <x:v>14</x:v>
      </x:c>
      <x:c r="F12" s="21" t="n">
        <x:v>7</x:v>
      </x:c>
      <x:c r="G12" s="21" t="n">
        <x:v>7</x:v>
      </x:c>
      <x:c r="H12" s="21" t="n">
        <x:v>7</x:v>
      </x:c>
      <x:c r="I12" s="21" t="n">
        <x:v>0</x:v>
      </x:c>
      <x:c r="J12" s="3" t="str">
        <x:v>All returned phrase-search pages captured; summaries screened. Full text read for shortlisted central-government creation/lifecycle leads.</x:v>
      </x:c>
    </x:row>
    <x:row r="13" ht="48" customHeight="1">
      <x:c r="A13" s="23" t="d">
        <x:v>2024-11-01T00:00:00.000Z</x:v>
      </x:c>
      <x:c r="B13" s="20" t="d">
        <x:v>2024-11-01T00:00:00.000Z</x:v>
      </x:c>
      <x:c r="C13" s="20" t="d">
        <x:v>2024-11-30T00:00:00.000Z</x:v>
      </x:c>
      <x:c r="D13" s="21" t="n">
        <x:v>88</x:v>
      </x:c>
      <x:c r="E13" s="21" t="n">
        <x:v>11</x:v>
      </x:c>
      <x:c r="F13" s="21" t="n">
        <x:v>7</x:v>
      </x:c>
      <x:c r="G13" s="21" t="n">
        <x:v>7</x:v>
      </x:c>
      <x:c r="H13" s="21" t="n">
        <x:v>7</x:v>
      </x:c>
      <x:c r="I13" s="21" t="n">
        <x:v>0</x:v>
      </x:c>
      <x:c r="J13" s="3" t="str">
        <x:v>All returned phrase-search pages captured; summaries screened. Full text read for shortlisted central-government creation/lifecycle leads.</x:v>
      </x:c>
    </x:row>
    <x:row r="14" ht="48" customHeight="1">
      <x:c r="A14" s="23" t="d">
        <x:v>2024-12-01T00:00:00.000Z</x:v>
      </x:c>
      <x:c r="B14" s="20" t="d">
        <x:v>2024-12-01T00:00:00.000Z</x:v>
      </x:c>
      <x:c r="C14" s="20" t="d">
        <x:v>2024-12-31T00:00:00.000Z</x:v>
      </x:c>
      <x:c r="D14" s="21" t="n">
        <x:v>126</x:v>
      </x:c>
      <x:c r="E14" s="21" t="n">
        <x:v>14</x:v>
      </x:c>
      <x:c r="F14" s="21" t="n">
        <x:v>6</x:v>
      </x:c>
      <x:c r="G14" s="21" t="n">
        <x:v>6</x:v>
      </x:c>
      <x:c r="H14" s="21" t="n">
        <x:v>6</x:v>
      </x:c>
      <x:c r="I14" s="21" t="n">
        <x:v>0</x:v>
      </x:c>
      <x:c r="J14" s="3" t="str">
        <x:v>All returned phrase-search pages captured; summaries screened. Full text read for shortlisted central-government creation/lifecycle leads.</x:v>
      </x:c>
    </x:row>
    <x:row r="15" ht="48" customHeight="1">
      <x:c r="A15" s="23" t="d">
        <x:v>2025-01-01T00:00:00.000Z</x:v>
      </x:c>
      <x:c r="B15" s="20" t="d">
        <x:v>2025-01-01T00:00:00.000Z</x:v>
      </x:c>
      <x:c r="C15" s="20" t="d">
        <x:v>2025-01-31T00:00:00.000Z</x:v>
      </x:c>
      <x:c r="D15" s="21" t="n">
        <x:v>166</x:v>
      </x:c>
      <x:c r="E15" s="21" t="n">
        <x:v>12</x:v>
      </x:c>
      <x:c r="F15" s="21" t="n">
        <x:v>6</x:v>
      </x:c>
      <x:c r="G15" s="21" t="n">
        <x:v>6</x:v>
      </x:c>
      <x:c r="H15" s="21" t="n">
        <x:v>6</x:v>
      </x:c>
      <x:c r="I15" s="21" t="n">
        <x:v>0</x:v>
      </x:c>
      <x:c r="J15" s="3" t="str">
        <x:v>All returned phrase-search pages captured; summaries screened. Full text read for shortlisted central-government creation/lifecycle leads.</x:v>
      </x:c>
    </x:row>
    <x:row r="16" ht="48" customHeight="1">
      <x:c r="A16" s="23" t="d">
        <x:v>2025-02-01T00:00:00.000Z</x:v>
      </x:c>
      <x:c r="B16" s="20" t="d">
        <x:v>2025-02-01T00:00:00.000Z</x:v>
      </x:c>
      <x:c r="C16" s="20" t="d">
        <x:v>2025-02-28T00:00:00.000Z</x:v>
      </x:c>
      <x:c r="D16" s="21" t="n">
        <x:v>102</x:v>
      </x:c>
      <x:c r="E16" s="21" t="n">
        <x:v>10</x:v>
      </x:c>
      <x:c r="F16" s="21" t="n">
        <x:v>2</x:v>
      </x:c>
      <x:c r="G16" s="21" t="n">
        <x:v>2</x:v>
      </x:c>
      <x:c r="H16" s="21" t="n">
        <x:v>2</x:v>
      </x:c>
      <x:c r="I16" s="21" t="n">
        <x:v>0</x:v>
      </x:c>
      <x:c r="J16" s="3" t="str">
        <x:v>All returned phrase-search pages captured; summaries screened. Full text read for shortlisted central-government creation/lifecycle leads.</x:v>
      </x:c>
    </x:row>
    <x:row r="17" ht="48" customHeight="1">
      <x:c r="A17" s="23" t="d">
        <x:v>2025-03-01T00:00:00.000Z</x:v>
      </x:c>
      <x:c r="B17" s="20" t="d">
        <x:v>2025-03-01T00:00:00.000Z</x:v>
      </x:c>
      <x:c r="C17" s="20" t="d">
        <x:v>2025-03-31T00:00:00.000Z</x:v>
      </x:c>
      <x:c r="D17" s="21" t="n">
        <x:v>130</x:v>
      </x:c>
      <x:c r="E17" s="21" t="n">
        <x:v>19</x:v>
      </x:c>
      <x:c r="F17" s="21" t="n">
        <x:v>9</x:v>
      </x:c>
      <x:c r="G17" s="21" t="n">
        <x:v>9</x:v>
      </x:c>
      <x:c r="H17" s="21" t="n">
        <x:v>9</x:v>
      </x:c>
      <x:c r="I17" s="21" t="n">
        <x:v>0</x:v>
      </x:c>
      <x:c r="J17" s="3" t="str">
        <x:v>All returned phrase-search pages captured; summaries screened. Full text read for shortlisted central-government creation/lifecycle leads.</x:v>
      </x:c>
    </x:row>
    <x:row r="18" ht="48" customHeight="1">
      <x:c r="A18" s="23" t="d">
        <x:v>2025-04-01T00:00:00.000Z</x:v>
      </x:c>
      <x:c r="B18" s="20" t="d">
        <x:v>2025-04-01T00:00:00.000Z</x:v>
      </x:c>
      <x:c r="C18" s="20" t="d">
        <x:v>2025-04-30T00:00:00.000Z</x:v>
      </x:c>
      <x:c r="D18" s="21" t="n">
        <x:v>84</x:v>
      </x:c>
      <x:c r="E18" s="21" t="n">
        <x:v>7</x:v>
      </x:c>
      <x:c r="F18" s="21" t="n">
        <x:v>0</x:v>
      </x:c>
      <x:c r="G18" s="21" t="n">
        <x:v>0</x:v>
      </x:c>
      <x:c r="H18" s="21" t="n">
        <x:v>0</x:v>
      </x:c>
      <x:c r="I18" s="21" t="n">
        <x:v>0</x:v>
      </x:c>
      <x:c r="J18" s="3" t="str">
        <x:v>All returned phrase-search pages captured; summaries screened. Full text read for shortlisted central-government creation/lifecycle leads.</x:v>
      </x:c>
    </x:row>
    <x:row r="19" ht="48" customHeight="1">
      <x:c r="A19" s="23" t="d">
        <x:v>2025-05-01T00:00:00.000Z</x:v>
      </x:c>
      <x:c r="B19" s="20" t="d">
        <x:v>2025-05-01T00:00:00.000Z</x:v>
      </x:c>
      <x:c r="C19" s="20" t="d">
        <x:v>2025-05-31T00:00:00.000Z</x:v>
      </x:c>
      <x:c r="D19" s="21" t="n">
        <x:v>79</x:v>
      </x:c>
      <x:c r="E19" s="21" t="n">
        <x:v>7</x:v>
      </x:c>
      <x:c r="F19" s="21" t="n">
        <x:v>2</x:v>
      </x:c>
      <x:c r="G19" s="21" t="n">
        <x:v>6</x:v>
      </x:c>
      <x:c r="H19" s="21" t="n">
        <x:v>6</x:v>
      </x:c>
      <x:c r="I19" s="21" t="n">
        <x:v>0</x:v>
      </x:c>
      <x:c r="J19" s="3" t="str">
        <x:v>All returned phrase-search pages captured; summaries screened. Full text read for shortlisted central-government creation/lifecycle leads.</x:v>
      </x:c>
    </x:row>
    <x:row r="20" ht="48" customHeight="1">
      <x:c r="A20" s="23" t="d">
        <x:v>2025-06-01T00:00:00.000Z</x:v>
      </x:c>
      <x:c r="B20" s="20" t="d">
        <x:v>2025-06-01T00:00:00.000Z</x:v>
      </x:c>
      <x:c r="C20" s="20" t="d">
        <x:v>2025-06-30T00:00:00.000Z</x:v>
      </x:c>
      <x:c r="D20" s="21" t="n">
        <x:v>106</x:v>
      </x:c>
      <x:c r="E20" s="21" t="n">
        <x:v>3</x:v>
      </x:c>
      <x:c r="F20" s="21" t="n">
        <x:v>0</x:v>
      </x:c>
      <x:c r="G20" s="21" t="n">
        <x:v>0</x:v>
      </x:c>
      <x:c r="H20" s="21" t="n">
        <x:v>0</x:v>
      </x:c>
      <x:c r="I20" s="21" t="n">
        <x:v>0</x:v>
      </x:c>
      <x:c r="J20" s="3" t="str">
        <x:v>All returned phrase-search pages captured; summaries screened. Full text read for shortlisted central-government creation/lifecycle leads.</x:v>
      </x:c>
    </x:row>
    <x:row r="21" ht="48" customHeight="1">
      <x:c r="A21" s="23" t="d">
        <x:v>2025-07-01T00:00:00.000Z</x:v>
      </x:c>
      <x:c r="B21" s="20" t="d">
        <x:v>2025-07-01T00:00:00.000Z</x:v>
      </x:c>
      <x:c r="C21" s="20" t="d">
        <x:v>2025-07-31T00:00:00.000Z</x:v>
      </x:c>
      <x:c r="D21" s="21" t="n">
        <x:v>136</x:v>
      </x:c>
      <x:c r="E21" s="21" t="n">
        <x:v>4</x:v>
      </x:c>
      <x:c r="F21" s="21" t="n">
        <x:v>0</x:v>
      </x:c>
      <x:c r="G21" s="21" t="n">
        <x:v>0</x:v>
      </x:c>
      <x:c r="H21" s="21" t="n">
        <x:v>0</x:v>
      </x:c>
      <x:c r="I21" s="21" t="n">
        <x:v>0</x:v>
      </x:c>
      <x:c r="J21" s="3" t="str">
        <x:v>All returned phrase-search pages captured; summaries screened. Full text read for shortlisted central-government creation/lifecycle leads.</x:v>
      </x:c>
    </x:row>
    <x:row r="22" ht="48" customHeight="1">
      <x:c r="A22" s="23" t="d">
        <x:v>2025-08-01T00:00:00.000Z</x:v>
      </x:c>
      <x:c r="B22" s="20" t="d">
        <x:v>2025-08-01T00:00:00.000Z</x:v>
      </x:c>
      <x:c r="C22" s="20" t="d">
        <x:v>2025-08-31T00:00:00.000Z</x:v>
      </x:c>
      <x:c r="D22" s="21" t="n">
        <x:v>108</x:v>
      </x:c>
      <x:c r="E22" s="21" t="n">
        <x:v>11</x:v>
      </x:c>
      <x:c r="F22" s="21" t="n">
        <x:v>4</x:v>
      </x:c>
      <x:c r="G22" s="21" t="n">
        <x:v>4</x:v>
      </x:c>
      <x:c r="H22" s="21" t="n">
        <x:v>0</x:v>
      </x:c>
      <x:c r="I22" s="21" t="n">
        <x:v>4</x:v>
      </x:c>
      <x:c r="J22" s="3" t="str">
        <x:v>All returned phrase-search pages captured; summaries screened. Full text read for shortlisted central-government creation/lifecycle leads.</x:v>
      </x:c>
    </x:row>
    <x:row r="23" ht="48" customHeight="1">
      <x:c r="A23" s="23" t="d">
        <x:v>2025-09-01T00:00:00.000Z</x:v>
      </x:c>
      <x:c r="B23" s="20" t="d">
        <x:v>2025-09-01T00:00:00.000Z</x:v>
      </x:c>
      <x:c r="C23" s="20" t="d">
        <x:v>2025-09-30T00:00:00.000Z</x:v>
      </x:c>
      <x:c r="D23" s="21" t="n">
        <x:v>89</x:v>
      </x:c>
      <x:c r="E23" s="21" t="n">
        <x:v>15</x:v>
      </x:c>
      <x:c r="F23" s="21" t="n">
        <x:v>8</x:v>
      </x:c>
      <x:c r="G23" s="21" t="n">
        <x:v>8</x:v>
      </x:c>
      <x:c r="H23" s="21" t="n">
        <x:v>0</x:v>
      </x:c>
      <x:c r="I23" s="21" t="n">
        <x:v>8</x:v>
      </x:c>
      <x:c r="J23" s="3" t="str">
        <x:v>All returned phrase-search pages captured; summaries screened. Full text read for shortlisted central-government creation/lifecycle leads.</x:v>
      </x:c>
    </x:row>
    <x:row r="24" ht="48" customHeight="1">
      <x:c r="A24" s="23" t="d">
        <x:v>2025-10-01T00:00:00.000Z</x:v>
      </x:c>
      <x:c r="B24" s="20" t="d">
        <x:v>2025-10-01T00:00:00.000Z</x:v>
      </x:c>
      <x:c r="C24" s="20" t="d">
        <x:v>2025-10-31T00:00:00.000Z</x:v>
      </x:c>
      <x:c r="D24" s="21" t="n">
        <x:v>69</x:v>
      </x:c>
      <x:c r="E24" s="21" t="n">
        <x:v>5</x:v>
      </x:c>
      <x:c r="F24" s="21" t="n">
        <x:v>2</x:v>
      </x:c>
      <x:c r="G24" s="21" t="n">
        <x:v>2</x:v>
      </x:c>
      <x:c r="H24" s="21" t="n">
        <x:v>0</x:v>
      </x:c>
      <x:c r="I24" s="21" t="n">
        <x:v>2</x:v>
      </x:c>
      <x:c r="J24" s="3" t="str">
        <x:v>All returned phrase-search pages captured; summaries screened. Full text read for shortlisted central-government creation/lifecycle leads.</x:v>
      </x:c>
    </x:row>
    <x:row r="25" ht="48" customHeight="1">
      <x:c r="A25" s="23" t="d">
        <x:v>2025-11-01T00:00:00.000Z</x:v>
      </x:c>
      <x:c r="B25" s="20" t="d">
        <x:v>2025-11-01T00:00:00.000Z</x:v>
      </x:c>
      <x:c r="C25" s="20" t="d">
        <x:v>2025-11-30T00:00:00.000Z</x:v>
      </x:c>
      <x:c r="D25" s="21" t="n">
        <x:v>84</x:v>
      </x:c>
      <x:c r="E25" s="21" t="n">
        <x:v>5</x:v>
      </x:c>
      <x:c r="F25" s="21" t="n">
        <x:v>2</x:v>
      </x:c>
      <x:c r="G25" s="21" t="n">
        <x:v>2</x:v>
      </x:c>
      <x:c r="H25" s="21" t="n">
        <x:v>0</x:v>
      </x:c>
      <x:c r="I25" s="21" t="n">
        <x:v>2</x:v>
      </x:c>
      <x:c r="J25" s="3" t="str">
        <x:v>All returned phrase-search pages captured; summaries screened. Full text read for shortlisted central-government creation/lifecycle leads.</x:v>
      </x:c>
    </x:row>
    <x:row r="26" ht="48" customHeight="1">
      <x:c r="A26" s="23" t="d">
        <x:v>2025-12-01T00:00:00.000Z</x:v>
      </x:c>
      <x:c r="B26" s="20" t="d">
        <x:v>2025-12-01T00:00:00.000Z</x:v>
      </x:c>
      <x:c r="C26" s="20" t="d">
        <x:v>2025-12-31T00:00:00.000Z</x:v>
      </x:c>
      <x:c r="D26" s="21" t="n">
        <x:v>77</x:v>
      </x:c>
      <x:c r="E26" s="21" t="n">
        <x:v>14</x:v>
      </x:c>
      <x:c r="F26" s="21" t="n">
        <x:v>4</x:v>
      </x:c>
      <x:c r="G26" s="21" t="n">
        <x:v>4</x:v>
      </x:c>
      <x:c r="H26" s="21" t="n">
        <x:v>0</x:v>
      </x:c>
      <x:c r="I26" s="21" t="n">
        <x:v>4</x:v>
      </x:c>
      <x:c r="J26" s="3" t="str">
        <x:v>All returned phrase-search pages captured; summaries screened. Full text read for shortlisted central-government creation/lifecycle leads.</x:v>
      </x:c>
    </x:row>
    <x:row r="27" ht="48" customHeight="1">
      <x:c r="A27" s="23" t="d">
        <x:v>2026-01-01T00:00:00.000Z</x:v>
      </x:c>
      <x:c r="B27" s="20" t="d">
        <x:v>2026-01-01T00:00:00.000Z</x:v>
      </x:c>
      <x:c r="C27" s="20" t="d">
        <x:v>2026-01-31T00:00:00.000Z</x:v>
      </x:c>
      <x:c r="D27" s="21" t="n">
        <x:v>91</x:v>
      </x:c>
      <x:c r="E27" s="21" t="n">
        <x:v>10</x:v>
      </x:c>
      <x:c r="F27" s="21" t="n">
        <x:v>2</x:v>
      </x:c>
      <x:c r="G27" s="21" t="n">
        <x:v>2</x:v>
      </x:c>
      <x:c r="H27" s="21" t="n">
        <x:v>0</x:v>
      </x:c>
      <x:c r="I27" s="21" t="n">
        <x:v>2</x:v>
      </x:c>
      <x:c r="J27" s="3" t="str">
        <x:v>All returned phrase-search pages captured; summaries screened. Full text read for shortlisted central-government creation/lifecycle leads.</x:v>
      </x:c>
    </x:row>
    <x:row r="28" ht="48" customHeight="1">
      <x:c r="A28" s="23" t="d">
        <x:v>2026-02-01T00:00:00.000Z</x:v>
      </x:c>
      <x:c r="B28" s="20" t="d">
        <x:v>2026-02-01T00:00:00.000Z</x:v>
      </x:c>
      <x:c r="C28" s="20" t="d">
        <x:v>2026-02-28T00:00:00.000Z</x:v>
      </x:c>
      <x:c r="D28" s="21" t="n">
        <x:v>82</x:v>
      </x:c>
      <x:c r="E28" s="21" t="n">
        <x:v>4</x:v>
      </x:c>
      <x:c r="F28" s="21" t="n">
        <x:v>1</x:v>
      </x:c>
      <x:c r="G28" s="21" t="n">
        <x:v>1</x:v>
      </x:c>
      <x:c r="H28" s="21" t="n">
        <x:v>0</x:v>
      </x:c>
      <x:c r="I28" s="21" t="n">
        <x:v>1</x:v>
      </x:c>
      <x:c r="J28" s="3" t="str">
        <x:v>All returned phrase-search pages captured; summaries screened. Full text read for shortlisted central-government creation/lifecycle leads.</x:v>
      </x:c>
    </x:row>
    <x:row r="29" ht="48" customHeight="1">
      <x:c r="A29" s="23" t="d">
        <x:v>2026-03-01T00:00:00.000Z</x:v>
      </x:c>
      <x:c r="B29" s="20" t="d">
        <x:v>2026-03-01T00:00:00.000Z</x:v>
      </x:c>
      <x:c r="C29" s="20" t="d">
        <x:v>2026-03-31T00:00:00.000Z</x:v>
      </x:c>
      <x:c r="D29" s="21" t="n">
        <x:v>117</x:v>
      </x:c>
      <x:c r="E29" s="21" t="n">
        <x:v>13</x:v>
      </x:c>
      <x:c r="F29" s="21" t="n">
        <x:v>4</x:v>
      </x:c>
      <x:c r="G29" s="21" t="n">
        <x:v>4</x:v>
      </x:c>
      <x:c r="H29" s="21" t="n">
        <x:v>0</x:v>
      </x:c>
      <x:c r="I29" s="21" t="n">
        <x:v>4</x:v>
      </x:c>
      <x:c r="J29" s="3" t="str">
        <x:v>All returned phrase-search pages captured; summaries screened. Full text read for shortlisted central-government creation/lifecycle leads.</x:v>
      </x:c>
    </x:row>
    <x:row r="30" ht="48" customHeight="1">
      <x:c r="A30" s="23" t="d">
        <x:v>2026-04-01T00:00:00.000Z</x:v>
      </x:c>
      <x:c r="B30" s="20" t="d">
        <x:v>2026-04-01T00:00:00.000Z</x:v>
      </x:c>
      <x:c r="C30" s="20" t="d">
        <x:v>2026-04-30T00:00:00.000Z</x:v>
      </x:c>
      <x:c r="D30" s="21" t="n">
        <x:v>77</x:v>
      </x:c>
      <x:c r="E30" s="21" t="n">
        <x:v>9</x:v>
      </x:c>
      <x:c r="F30" s="21" t="n">
        <x:v>4</x:v>
      </x:c>
      <x:c r="G30" s="21" t="n">
        <x:v>4</x:v>
      </x:c>
      <x:c r="H30" s="21" t="n">
        <x:v>0</x:v>
      </x:c>
      <x:c r="I30" s="21" t="n">
        <x:v>4</x:v>
      </x:c>
      <x:c r="J30" s="3" t="str">
        <x:v>All returned phrase-search pages captured; summaries screened. Full text read for shortlisted central-government creation/lifecycle leads.</x:v>
      </x:c>
    </x:row>
    <x:row r="31" ht="48" customHeight="1">
      <x:c r="A31" s="23" t="d">
        <x:v>2026-05-01T00:00:00.000Z</x:v>
      </x:c>
      <x:c r="B31" s="20" t="d">
        <x:v>2026-05-01T00:00:00.000Z</x:v>
      </x:c>
      <x:c r="C31" s="20" t="d">
        <x:v>2026-05-31T00:00:00.000Z</x:v>
      </x:c>
      <x:c r="D31" s="21" t="n">
        <x:v>86</x:v>
      </x:c>
      <x:c r="E31" s="21" t="n">
        <x:v>4</x:v>
      </x:c>
      <x:c r="F31" s="21" t="n">
        <x:v>2</x:v>
      </x:c>
      <x:c r="G31" s="21" t="n">
        <x:v>2</x:v>
      </x:c>
      <x:c r="H31" s="21" t="n">
        <x:v>0</x:v>
      </x:c>
      <x:c r="I31" s="21" t="n">
        <x:v>2</x:v>
      </x:c>
      <x:c r="J31" s="3" t="str">
        <x:v>All returned phrase-search pages captured; summaries screened. Full text read for shortlisted central-government creation/lifecycle leads.</x:v>
      </x:c>
    </x:row>
    <x:row r="32" ht="48" customHeight="1">
      <x:c r="A32" s="23" t="d">
        <x:v>2026-06-01T00:00:00.000Z</x:v>
      </x:c>
      <x:c r="B32" s="20" t="d">
        <x:v>2026-06-01T00:00:00.000Z</x:v>
      </x:c>
      <x:c r="C32" s="20" t="d">
        <x:v>2026-06-30T00:00:00.000Z</x:v>
      </x:c>
      <x:c r="D32" s="21" t="n">
        <x:v>111</x:v>
      </x:c>
      <x:c r="E32" s="21" t="n">
        <x:v>22</x:v>
      </x:c>
      <x:c r="F32" s="21" t="n">
        <x:v>8</x:v>
      </x:c>
      <x:c r="G32" s="21" t="n">
        <x:v>8</x:v>
      </x:c>
      <x:c r="H32" s="21" t="n">
        <x:v>0</x:v>
      </x:c>
      <x:c r="I32" s="21" t="n">
        <x:v>8</x:v>
      </x:c>
      <x:c r="J32" s="3" t="str">
        <x:v>All returned phrase-search pages captured; summaries screened. Full text read for shortlisted central-government creation/lifecycle leads.</x:v>
      </x:c>
    </x:row>
    <x:row r="33" ht="48" customHeight="1">
      <x:c r="A33" s="23" t="d">
        <x:v>2026-07-01T00:00:00.000Z</x:v>
      </x:c>
      <x:c r="B33" s="20" t="d">
        <x:v>2026-07-01T00:00:00.000Z</x:v>
      </x:c>
      <x:c r="C33" s="20" t="d">
        <x:v>2026-07-31T00:00:00.000Z</x:v>
      </x:c>
      <x:c r="D33" s="21" t="n">
        <x:v>116</x:v>
      </x:c>
      <x:c r="E33" s="21" t="n">
        <x:v>4</x:v>
      </x:c>
      <x:c r="F33" s="21" t="n">
        <x:v>2</x:v>
      </x:c>
      <x:c r="G33" s="21" t="n">
        <x:v>2</x:v>
      </x:c>
      <x:c r="H33" s="21" t="n">
        <x:v>0</x:v>
      </x:c>
      <x:c r="I33" s="21" t="n">
        <x:v>2</x:v>
      </x:c>
      <x:c r="J33" s="3" t="str">
        <x:v>All returned phrase-search pages captured; summaries screened. Full text read for shortlisted central-government creation/lifecycle leads.</x:v>
      </x:c>
    </x:row>
    <x:row r="34" ht="48" customHeight="1">
      <x:c r="A34" s="23" t="d">
        <x:v>2026-08-01T00:00:00.000Z</x:v>
      </x:c>
      <x:c r="B34" s="20" t="d">
        <x:v>2026-08-01T00:00:00.000Z</x:v>
      </x:c>
      <x:c r="C34" s="20" t="d">
        <x:v>2026-08-31T00:00:00.000Z</x:v>
      </x:c>
      <x:c r="D34" s="21" t="n">
        <x:v>91</x:v>
      </x:c>
      <x:c r="E34" s="21" t="n">
        <x:v>9</x:v>
      </x:c>
      <x:c r="F34" s="21" t="n">
        <x:v>2</x:v>
      </x:c>
      <x:c r="G34" s="21" t="n">
        <x:v>2</x:v>
      </x:c>
      <x:c r="H34" s="21" t="n">
        <x:v>0</x:v>
      </x:c>
      <x:c r="I34" s="21" t="n">
        <x:v>2</x:v>
      </x:c>
      <x:c r="J34" s="3" t="str">
        <x:v>All returned phrase-search pages captured; summaries screened. Full text read for shortlisted central-government creation/lifecycle leads.</x:v>
      </x:c>
    </x:row>
    <x:row r="35" ht="48" customHeight="1">
      <x:c r="A35" s="23" t="d">
        <x:v>2026-09-01T00:00:00.000Z</x:v>
      </x:c>
      <x:c r="B35" s="20" t="d">
        <x:v>2026-09-01T00:00:00.000Z</x:v>
      </x:c>
      <x:c r="C35" s="20" t="d">
        <x:v>2026-09-30T00:00:00.000Z</x:v>
      </x:c>
      <x:c r="D35" s="21" t="n">
        <x:v>102</x:v>
      </x:c>
      <x:c r="E35" s="21" t="n">
        <x:v>10</x:v>
      </x:c>
      <x:c r="F35" s="21" t="n">
        <x:v>3</x:v>
      </x:c>
      <x:c r="G35" s="21" t="n">
        <x:v>3</x:v>
      </x:c>
      <x:c r="H35" s="21" t="n">
        <x:v>0</x:v>
      </x:c>
      <x:c r="I35" s="21" t="n">
        <x:v>3</x:v>
      </x:c>
      <x:c r="J35" s="3" t="str">
        <x:v>All returned phrase-search pages captured; summaries screened. Full text read for shortlisted central-government creation/lifecycle leads.</x:v>
      </x:c>
    </x:row>
    <x:row r="36" ht="48" customHeight="1">
      <x:c r="A36" s="23" t="d">
        <x:v>2026-10-01T00:00:00.000Z</x:v>
      </x:c>
      <x:c r="B36" s="20" t="d">
        <x:v>2026-10-01T00:00:00.000Z</x:v>
      </x:c>
      <x:c r="C36" s="20" t="d">
        <x:v>2026-10-10T00:00:00.000Z</x:v>
      </x:c>
      <x:c r="D36" s="21" t="n">
        <x:v>33</x:v>
      </x:c>
      <x:c r="E36" s="21" t="n">
        <x:v>0</x:v>
      </x:c>
      <x:c r="F36" s="21" t="n">
        <x:v>0</x:v>
      </x:c>
      <x:c r="G36" s="21" t="n">
        <x:v>0</x:v>
      </x:c>
      <x:c r="H36" s="21" t="n">
        <x:v>0</x:v>
      </x:c>
      <x:c r="I36" s="21" t="n">
        <x:v>0</x:v>
      </x:c>
      <x:c r="J36" s="3" t="str">
        <x:v>All returned phrase-search pages captured; summaries screened. Full text read for shortlisted central-government creation/lifecycle leads.</x:v>
      </x:c>
    </x:row>
  </x:sheetData>
  <x:pageMargins left="0.7" right="0.7" top="0.75" bottom="0.75" header="0.3" footer="0.3"/>
  <x:tableParts count="1">
    <x:tablePart xmlns:r="http://schemas.openxmlformats.org/officeDocument/2006/relationships" r:id="R42e191206b98492c"/>
  </x:tableParts>
</x:worksheet>
</file>

<file path=xl/worksheets/sheet8.xml><?xml version="1.0" encoding="utf-8"?>
<worksheet xmlns="http://schemas.openxmlformats.org/spreadsheetml/2006/main" xmlns:r="http://schemas.openxmlformats.org/officeDocument/2006/relationships">
  <sheetViews>
    <sheetView showGridLines="0" workbookViewId="0">
      <pane xSplit="2" ySplit="5" topLeftCell="C6" activePane="bottomRight" state="frozen"/>
    </sheetView>
  </sheetViews>
  <sheetFormatPr defaultRowHeight="15"/>
  <cols>
    <col min="1" max="1" width="52" hidden="0" customWidth="1"/>
    <col min="2" max="2" width="16" hidden="0" customWidth="1"/>
    <col min="3" max="3" width="75" hidden="0" customWidth="1"/>
    <col min="4" max="4" width="100" hidden="0" customWidth="1"/>
    <col min="5" max="5" width="47" hidden="0" customWidth="1"/>
    <col min="6" max="6" width="35" hidden="0" customWidth="1"/>
    <col min="7" max="7" width="95" hidden="0" customWidth="1"/>
  </cols>
  <sheetData>
    <row r="1">
      <c r="A1" s="3"/>
      <c r="B1" s="3"/>
      <c r="C1" s="3"/>
      <c r="D1" s="3"/>
      <c r="E1" s="3"/>
      <c r="F1" s="3"/>
      <c r="G1" s="3"/>
    </row>
    <row r="2" ht="28" customHeight="1">
      <c r="A2" s="5" t="str">
        <v>Act review</v>
      </c>
      <c r="B2" s="5"/>
      <c r="C2" s="5"/>
      <c r="D2" s="5"/>
      <c r="E2" s="5"/>
      <c r="F2" s="5"/>
      <c r="G2" s="5"/>
    </row>
    <row r="3" ht="23" customHeight="1">
      <c r="A3" s="7" t="str">
        <v>Evidence checked 10 October 2026 · Full text retained in cells; use filters and expand rows for long provisions.</v>
      </c>
      <c r="B3" s="7"/>
      <c r="C3" s="7"/>
      <c r="D3" s="7"/>
      <c r="E3" s="7"/>
      <c r="F3" s="7"/>
      <c r="G3" s="7"/>
    </row>
    <row r="4">
      <c r="A4" s="8"/>
      <c r="B4" s="8"/>
      <c r="C4" s="8"/>
      <c r="D4" s="8"/>
      <c r="E4" s="8"/>
      <c r="F4" s="8"/>
      <c r="G4" s="8"/>
    </row>
    <row r="5" ht="52" customHeight="1">
      <c r="A5" s="17" t="str">
        <v>Act</v>
      </c>
      <c r="B5" s="18" t="str">
        <v>Publication</v>
      </c>
      <c r="C5" s="18" t="str">
        <v>Issuer</v>
      </c>
      <c r="D5" s="18" t="str">
        <v>DR summary · Português</v>
      </c>
      <c r="E5" s="18" t="str">
        <v>Research classification</v>
      </c>
      <c r="F5" s="18" t="str">
        <v>Main-register group IDs</v>
      </c>
      <c r="G5" s="19" t="str">
        <v>DR URL</v>
      </c>
    </row>
    <row r="6" ht="72" customHeight="1">
      <c r="A6" s="3" t="str">
        <v>Resolução do Conselho de Ministros n.º 61/2024, de 2 de abril</v>
      </c>
      <c r="B6" s="20" t="d">
        <v>2024-04-02T00:00:00.000Z</v>
      </c>
      <c r="C6" s="3" t="str">
        <v>Presidência do Conselho de Ministros</v>
      </c>
      <c r="D6" s="3" t="str">
        <v>Aprova a Estratégia Nacional para a Integração das Pessoas em Situação de Sem-Abrigo 2025-2030.</v>
      </c>
      <c r="E6" s="3" t="str">
        <v>Discovery / scope exclusion</v>
      </c>
      <c r="F6" s="3" t="str"/>
      <c r="G6" s="3" t="str">
        <v>https://diariodarepublica.pt/dr/detalhe/resolucao-conselho-ministros/61-2024-858576211</v>
      </c>
    </row>
    <row r="7" ht="72" customHeight="1">
      <c r="A7" s="3" t="str">
        <v>Resolução do Conselho de Ministros n.º 62/2024, de 3 de abril</v>
      </c>
      <c r="B7" s="20" t="d">
        <v>2024-04-03T00:00:00.000Z</v>
      </c>
      <c r="C7" s="3" t="str">
        <v>Presidência do Conselho de Ministros</v>
      </c>
      <c r="D7" s="3" t="str">
        <v>Aprova os Planos de Gestão das Regiões Hidrográficas.</v>
      </c>
      <c r="E7" s="3" t="str">
        <v>Discovery / scope exclusion</v>
      </c>
      <c r="F7" s="3" t="str"/>
      <c r="G7" s="3" t="str">
        <v>https://diariodarepublica.pt/dr/detalhe/resolucao-conselho-ministros/62-2024-858631718</v>
      </c>
    </row>
    <row r="8" ht="72" customHeight="1">
      <c r="A8" s="3" t="str">
        <v>Despacho n.º 3819/2024, de 9 de abril</v>
      </c>
      <c r="B8" s="20" t="d">
        <v>2024-04-09T00:00:00.000Z</v>
      </c>
      <c r="C8" s="3" t="str">
        <v>Trabalho, Solidariedade e Segurança Social - Gabinete do Secretário de Estado da Segurança Social e Gabinete da Secretária de Estado da Inclusão</v>
      </c>
      <c r="D8" s="3" t="str">
        <v>Estabelece os termos de organização e funcionamento da equipa multidisciplinar nacional de apoio ao Modelo de Apoio à Vida Independente.</v>
      </c>
      <c r="E8" s="3" t="str">
        <v>Other reference / amendment / outcome / excluded lead</v>
      </c>
      <c r="F8" s="3" t="str"/>
      <c r="G8" s="3" t="str">
        <v>https://diariodarepublica.pt/dr/detalhe/despacho/3819-2024-859718343</v>
      </c>
    </row>
    <row r="9" ht="72" customHeight="1">
      <c r="A9" s="3" t="str">
        <v>Despacho n.º 3955/2024, de 11 de abril</v>
      </c>
      <c r="B9" s="20" t="d">
        <v>2024-04-11T00:00:00.000Z</v>
      </c>
      <c r="C9" s="3" t="str">
        <v>Saúde - Gabinete do Ministro da Saúde</v>
      </c>
      <c r="D9" s="3" t="str">
        <v>Aprova o perfil assistencial, área de influência, dimensionamento e programa funcional revistos do Novo Hospital de Barcelos, bem como o estudo de viabilidade económico-financeira.</v>
      </c>
      <c r="E9" s="3" t="str">
        <v>Other reference / amendment / outcome / excluded lead</v>
      </c>
      <c r="F9" s="3" t="str"/>
      <c r="G9" s="3" t="str">
        <v>https://diariodarepublica.pt/dr/detalhe/despacho/3955-2024-860142945</v>
      </c>
    </row>
    <row r="10" ht="72" customHeight="1">
      <c r="A10" s="3" t="str">
        <v>Despacho n.º 4156/2024, de 16 de abril</v>
      </c>
      <c r="B10" s="20" t="d">
        <v>2024-04-16T00:00:00.000Z</v>
      </c>
      <c r="C10" s="3" t="str">
        <v>Ciência, Tecnologia e Ensino Superior e Saúde - Gabinete da Ministra da Ciência, Tecnologia e Ensino Superior e Gabinete do Ministro da Saúde</v>
      </c>
      <c r="D10" s="3" t="str">
        <v>Determina a cessação de funções do grupo de trabalho para a avaliação das necessidades formativas em medicina, constituído através do Despacho n.º 4839/2023, de 21 de abril.</v>
      </c>
      <c r="E10" s="3" t="str">
        <v>Other reference / amendment / outcome / excluded lead</v>
      </c>
      <c r="F10" s="3" t="str"/>
      <c r="G10" s="3" t="str">
        <v>https://diariodarepublica.pt/dr/detalhe/despacho/4156-2024-860667456</v>
      </c>
    </row>
    <row r="11" ht="72" customHeight="1">
      <c r="A11" s="3" t="str">
        <v>Despacho n.º 4162/2024, de 16 de abril</v>
      </c>
      <c r="B11" s="20" t="d">
        <v>2024-04-16T00:00:00.000Z</v>
      </c>
      <c r="C11" s="3" t="str">
        <v>Ambiente e Ação Climática - Gabinete da Secretária de Estado da Energia e Clima</v>
      </c>
      <c r="D11" s="3" t="str">
        <v>Determina a elaboração de uma proposta de Plano de Desenvolvimento e Investimento da Rede de Transporte de Eletricidade (PDIRT-E) para o período 2024-2033.</v>
      </c>
      <c r="E11" s="3" t="str">
        <v>Other reference / amendment / outcome / excluded lead</v>
      </c>
      <c r="F11" s="3" t="str"/>
      <c r="G11" s="3" t="str">
        <v>https://diariodarepublica.pt/dr/detalhe/despacho/4162-2024-860667470</v>
      </c>
    </row>
    <row r="12" ht="72" customHeight="1">
      <c r="A12" s="3" t="str">
        <v>Despacho n.º 4168/2024, de 16 de abril</v>
      </c>
      <c r="B12" s="20" t="d">
        <v>2024-04-16T00:00:00.000Z</v>
      </c>
      <c r="C12" s="3" t="str">
        <v>Coesão Territorial - Gabinete da Ministra da Coesão Territorial</v>
      </c>
      <c r="D12" s="3" t="str">
        <v>Aprova a composição, estrutura e regras de funcionamento da comissão de acompanhamento da execução e monitorização do Programa de Revitalização do Parque Natural da Serra da Estrela.</v>
      </c>
      <c r="E12" s="3" t="str">
        <v>Other reference / amendment / outcome / excluded lead</v>
      </c>
      <c r="F12" s="3" t="str"/>
      <c r="G12" s="3" t="str">
        <v>https://diariodarepublica.pt/dr/detalhe/despacho/4168-2024-860683580</v>
      </c>
    </row>
    <row r="13" ht="72" customHeight="1">
      <c r="A13" s="3" t="str">
        <v>Despacho n.º 4727/2024, de 2 de maio</v>
      </c>
      <c r="B13" s="20" t="d">
        <v>2024-05-02T00:00:00.000Z</v>
      </c>
      <c r="C13" s="3" t="str">
        <v>Administração Interna - Gabinete da Ministra da Administração Interna</v>
      </c>
      <c r="D13" s="3" t="str">
        <v>Concessão da Medalha de Mérito de Proteção e Socorro, no grau ouro e distintivo laranja, ao comandante nacional de Emergência e Proteção Civil, licenciado André Filipe Gomes Ramos Macedo Fernandes.</v>
      </c>
      <c r="E13" s="3" t="str">
        <v>Other reference / amendment / outcome / excluded lead</v>
      </c>
      <c r="F13" s="3" t="str"/>
      <c r="G13" s="3" t="str">
        <v>https://diariodarepublica.pt/dr/detalhe/despacho/4727-2024-863369039</v>
      </c>
    </row>
    <row r="14" ht="72" customHeight="1">
      <c r="A14" s="3" t="str">
        <v>Resolução do Conselho de Ministros n.º 68/2024, de 27 de maio</v>
      </c>
      <c r="B14" s="20" t="d">
        <v>2024-05-27T00:00:00.000Z</v>
      </c>
      <c r="C14" s="3" t="str">
        <v>Presidência do Conselho de Ministros</v>
      </c>
      <c r="D14" s="3" t="str">
        <v>Mandata a Infraestruturas de Portugal, S. A., para concluir os estudos da terceira travessia do Tejo e da ligação de alta velocidade entre Lisboa e Madrid.</v>
      </c>
      <c r="E14" s="3" t="str">
        <v>Confirmed creating act</v>
      </c>
      <c r="F14" s="3" t="str">
        <v>GT-2024-001</v>
      </c>
      <c r="G14" s="3" t="str">
        <v>https://diariodarepublica.pt/dr/detalhe/resolucao-conselho-ministros/68-2024-867194464</v>
      </c>
    </row>
    <row r="15" ht="72" customHeight="1">
      <c r="A15" s="3" t="str">
        <v>Resolução do Conselho de Ministros n.º 71/2024, de 5 de junho</v>
      </c>
      <c r="B15" s="20" t="d">
        <v>2024-06-05T00:00:00.000Z</v>
      </c>
      <c r="C15" s="3" t="str">
        <v>Presidência do Conselho de Ministros</v>
      </c>
      <c r="D15" s="3" t="str">
        <v>Estabelece a afetação extraordinária de meios financeiros indispensáveis à reposição da normalidade na prestação de cuidados de saúde no Hospital do Divino Espírito Santo de Ponta Delgada, E. P. E. R., em consequência dos danos causados pelo incêndio de 4 de maio de 2024.</v>
      </c>
      <c r="E15" s="3" t="str">
        <v>Other reference / amendment / outcome / excluded lead</v>
      </c>
      <c r="F15" s="3" t="str"/>
      <c r="G15" s="3" t="str">
        <v>https://diariodarepublica.pt/dr/detalhe/resolucao-conselho-ministros/71-2024-867843037</v>
      </c>
    </row>
    <row r="16" ht="72" customHeight="1">
      <c r="A16" s="3" t="str">
        <v>Despacho n.º 6475/2024, de 11 de junho</v>
      </c>
      <c r="B16" s="20" t="d">
        <v>2024-06-11T00:00:00.000Z</v>
      </c>
      <c r="C16" s="3" t="str">
        <v>Presidência do Conselho de Ministros, Economia e Ambiente e Energia - Gabinete do Ministro Adjunto e da Coesão Territorial, Gabinete do Ministro da Economia e Gabinete da Ministra do Ambiente e Energia</v>
      </c>
      <c r="D16" s="3" t="str">
        <v>Determina a constituição de um grupo de trabalho interministerial para a implementação do Regulamento que cria a Plataforma de Tecnologias Estratégicas para a Europa (STEP).</v>
      </c>
      <c r="E16" s="3" t="str">
        <v>Confirmed creating act</v>
      </c>
      <c r="F16" s="3" t="str">
        <v>GT-2024-002</v>
      </c>
      <c r="G16" s="3" t="str">
        <v>https://diariodarepublica.pt/dr/detalhe/despacho/6475-2024-868409451</v>
      </c>
    </row>
    <row r="17" ht="72" customHeight="1">
      <c r="A17" s="3" t="str">
        <v>Despacho n.º 6563/2024, de 12 de junho</v>
      </c>
      <c r="B17" s="20" t="d">
        <v>2024-06-12T00:00:00.000Z</v>
      </c>
      <c r="C17" s="3" t="str">
        <v>Saúde - Gabinete da Ministra da Saúde</v>
      </c>
      <c r="D17" s="3" t="str">
        <v>Constitui um grupo de trabalho com vista à definição de orientações que permitam melhorar o acesso, em tempo útil, aos cuidados de saúde.</v>
      </c>
      <c r="E17" s="3" t="str">
        <v>Confirmed creating act</v>
      </c>
      <c r="F17" s="3" t="str">
        <v>GT-2024-003</v>
      </c>
      <c r="G17" s="3" t="str">
        <v>https://diariodarepublica.pt/dr/detalhe/despacho/6563-2024-868447723</v>
      </c>
    </row>
    <row r="18" ht="72" customHeight="1">
      <c r="A18" s="3" t="str">
        <v>Despacho n.º 6564/2024, de 12 de junho</v>
      </c>
      <c r="B18" s="20" t="d">
        <v>2024-06-12T00:00:00.000Z</v>
      </c>
      <c r="C18" s="3" t="str">
        <v>Saúde - Gabinete da Ministra da Saúde</v>
      </c>
      <c r="D18" s="3" t="str">
        <v>Constituição de um grupo de trabalho com vista à atualização e validação clínica dos algoritmos utilizados pelo Centro de Contacto do SNS, no âmbito da obstetrícia.</v>
      </c>
      <c r="E18" s="3" t="str">
        <v>Confirmed creating act</v>
      </c>
      <c r="F18" s="3" t="str">
        <v>GT-2024-004</v>
      </c>
      <c r="G18" s="3" t="str">
        <v>https://diariodarepublica.pt/dr/detalhe/despacho/6564-2024-868447724</v>
      </c>
    </row>
    <row r="19" ht="72" customHeight="1">
      <c r="A19" s="3" t="str">
        <v>Despacho n.º 6757-A/2024, de 17 de junho</v>
      </c>
      <c r="B19" s="20" t="d">
        <v>2024-06-17T00:00:00.000Z</v>
      </c>
      <c r="C19" s="3" t="str">
        <v>Presidência do Conselho de Ministros, Infraestruturas e Habitação, Economia e Ambiente e Energia - Gabinete do Ministro Adjunto e da Coesão Territorial, Gabinete do Ministro das Infraestruturas e Habitação, Gabinete do Ministro da Economia e Gabinete da Ministra do Ambiente e Energia</v>
      </c>
      <c r="D19" s="3" t="str">
        <v>Cria o Grupo de Trabalho para a transposição da Diretiva (UE) 2023/2413, do Parlamento Europeu e do Conselho, de 18 de outubro de 2023.</v>
      </c>
      <c r="E19" s="3" t="str">
        <v>Confirmed creating act</v>
      </c>
      <c r="F19" s="3" t="str">
        <v>GT-2024-005</v>
      </c>
      <c r="G19" s="3" t="str">
        <v>https://diariodarepublica.pt/dr/detalhe/despacho/6757-a-2024-868812119</v>
      </c>
    </row>
    <row r="20" ht="72" customHeight="1">
      <c r="A20" s="3" t="str">
        <v>Despacho n.º 6770/2024, de 18 de junho</v>
      </c>
      <c r="B20" s="20" t="d">
        <v>2024-06-18T00:00:00.000Z</v>
      </c>
      <c r="C20" s="3" t="str">
        <v>Finanças e Saúde - Gabinete do Ministro de Estado e das Finanças e Gabinete da Ministra da Saúde</v>
      </c>
      <c r="D20" s="3" t="str">
        <v>Aprova o quadro global de referência do Serviço Nacional de Saúde para 2024, elaborado em conformidade com as instruções definidas, mantendo-as válidas para os exercícios de 2025 e 2026.</v>
      </c>
      <c r="E20" s="3" t="str">
        <v>Other reference / amendment / outcome / excluded lead</v>
      </c>
      <c r="F20" s="3" t="str"/>
      <c r="G20" s="3" t="str">
        <v>https://diariodarepublica.pt/dr/detalhe/despacho/6770-2024-868696748</v>
      </c>
    </row>
    <row r="21" ht="72" customHeight="1">
      <c r="A21" s="3" t="str">
        <v>Resolução do Conselho de Ministros n.º 80/2024, de 21 de junho</v>
      </c>
      <c r="B21" s="20" t="d">
        <v>2024-06-21T00:00:00.000Z</v>
      </c>
      <c r="C21" s="3" t="str">
        <v>Presidência do Conselho de Ministros</v>
      </c>
      <c r="D21" s="3" t="str">
        <v>Mantém o reconhecimento da situação de alerta na região do Algarve por motivo de seca e aprova um quadro de medidas de resposta.</v>
      </c>
      <c r="E21" s="3" t="str">
        <v>Other reference / amendment / outcome / excluded lead</v>
      </c>
      <c r="F21" s="3" t="str"/>
      <c r="G21" s="3" t="str">
        <v>https://diariodarepublica.pt/dr/detalhe/resolucao-conselho-ministros/80-2024-869623320</v>
      </c>
    </row>
    <row r="22" ht="72" customHeight="1">
      <c r="A22" s="3" t="str">
        <v>Decreto-Lei n.º 41-A/2024, de 28 de junho</v>
      </c>
      <c r="B22" s="20" t="d">
        <v>2024-06-28T00:00:00.000Z</v>
      </c>
      <c r="C22" s="3" t="str">
        <v>Presidência do Conselho de Ministros</v>
      </c>
      <c r="D22" s="3" t="str">
        <v>Aprova regras no âmbito do plano para as migrações, atribuindo novas competências à Agência para a Integração, Migrações e Asilo, I. P., e reformulando o Observatório das Migrações, e procede à prorrogação do prazo estabelecido no Decreto-Lei n.º 10-A/2020, de 13 de março, relativo à validade dos documentos e vistos.</v>
      </c>
      <c r="E22" s="3" t="str">
        <v>Other reference / amendment / outcome / excluded lead</v>
      </c>
      <c r="F22" s="3" t="str"/>
      <c r="G22" s="3" t="str">
        <v>https://diariodarepublica.pt/dr/detalhe/decreto-lei/41-a-2024-870297959</v>
      </c>
    </row>
    <row r="23" ht="72" customHeight="1">
      <c r="A23" s="3" t="str">
        <v>Decreto-Lei n.º 43-A/2024, de 2 de julho</v>
      </c>
      <c r="B23" s="20" t="d">
        <v>2024-07-02T00:00:00.000Z</v>
      </c>
      <c r="C23" s="3" t="str">
        <v>Presidência do Conselho de Ministros</v>
      </c>
      <c r="D23" s="3" t="str">
        <v>Procede à oitava alteração à Lei n.º 4/2004, de 15 de janeiro, que estabelece os princípios e normas a que deve obedecer a organização da administração direta do Estado.</v>
      </c>
      <c r="E23" s="3" t="str">
        <v>Other reference / amendment / outcome / excluded lead</v>
      </c>
      <c r="F23" s="3" t="str"/>
      <c r="G23" s="3" t="str">
        <v>https://diariodarepublica.pt/dr/detalhe/decreto-lei/43-a-2024-870757937</v>
      </c>
    </row>
    <row r="24" ht="72" customHeight="1">
      <c r="A24" s="3" t="str">
        <v>Despacho n.º 7321/2024, de 5 de julho</v>
      </c>
      <c r="B24" s="20" t="d">
        <v>2024-07-05T00:00:00.000Z</v>
      </c>
      <c r="C24" s="3" t="str">
        <v>Trabalho, Solidariedade e Segurança Social - Gabinete da Secretária de Estado da Ação Social e da Inclusão</v>
      </c>
      <c r="D24" s="3" t="str">
        <v>Criação de grupo de trabalho para a definição de uma fórmula de financiamento para cada resposta social.</v>
      </c>
      <c r="E24" s="3" t="str">
        <v>Confirmed creating act</v>
      </c>
      <c r="F24" s="3" t="str">
        <v>GT-2024-006</v>
      </c>
      <c r="G24" s="3" t="str">
        <v>https://diariodarepublica.pt/dr/detalhe/despacho/7321-2024-871047338</v>
      </c>
    </row>
    <row r="25" ht="72" customHeight="1">
      <c r="A25" s="3" t="str">
        <v>Despacho n.º 7613/2024, de 12 de julho</v>
      </c>
      <c r="B25" s="20" t="d">
        <v>2024-07-12T00:00:00.000Z</v>
      </c>
      <c r="C25" s="3" t="str">
        <v>Finanças e Infraestruturas e Habitação - Gabinete do Ministro de Estado e das Finanças e Gabinete do Ministro das Infraestruturas e Habitação</v>
      </c>
      <c r="D25" s="3" t="str">
        <v>Cria um grupo de trabalho que visa o estudo, a análise e a revisão do modelo do subsídio social de mobilidade.</v>
      </c>
      <c r="E25" s="3" t="str">
        <v>Confirmed creating act</v>
      </c>
      <c r="F25" s="3" t="str">
        <v>GT-2024-007</v>
      </c>
      <c r="G25" s="3" t="str">
        <v>https://diariodarepublica.pt/dr/detalhe/despacho/7613-2024-871760310</v>
      </c>
    </row>
    <row r="26" ht="72" customHeight="1">
      <c r="A26" s="3" t="str">
        <v>Despacho n.º 7817/2024, de 16 de julho</v>
      </c>
      <c r="B26" s="20" t="d">
        <v>2024-07-16T00:00:00.000Z</v>
      </c>
      <c r="C26" s="3" t="str">
        <v>Economia - Gabinete do Ministro da Economia</v>
      </c>
      <c r="D26" s="3" t="str">
        <v>Alteração dos Despachos n.os 5905/2024 e 5906/2024, ambos de 17 de maio de 2024, publicados no Diário da República, 2.ª série, n.º 101, de 24 de maio.</v>
      </c>
      <c r="E26" s="3" t="str">
        <v>Other reference / amendment / outcome / excluded lead</v>
      </c>
      <c r="F26" s="3" t="str"/>
      <c r="G26" s="3" t="str">
        <v>https://diariodarepublica.pt/dr/detalhe/despacho/7817-2024-872107058</v>
      </c>
    </row>
    <row r="27" ht="72" customHeight="1">
      <c r="A27" s="3" t="str">
        <v>Despacho n.º 7821/2024, de 16 de julho</v>
      </c>
      <c r="B27" s="20" t="d">
        <v>2024-07-16T00:00:00.000Z</v>
      </c>
      <c r="C27" s="3" t="str">
        <v>Ambiente e Energia e Agricultura e Pescas - Gabinete da Ministra do Ambiente e Energia e Gabinete do Ministro da Agricultura e Pescas</v>
      </c>
      <c r="D27" s="3" t="str">
        <v>Cria o grupo de trabalho para elaborar uma nova estratégia nacional para a gestão da água designada «Água que Une».</v>
      </c>
      <c r="E27" s="3" t="str">
        <v>Confirmed creating act</v>
      </c>
      <c r="F27" s="3" t="str">
        <v>GT-2024-008</v>
      </c>
      <c r="G27" s="3" t="str">
        <v>https://diariodarepublica.pt/dr/detalhe/despacho/7821-2024-872108077</v>
      </c>
    </row>
    <row r="28" ht="72" customHeight="1">
      <c r="A28" s="3" t="str">
        <v>Despacho n.º 8023/2024, de 19 de julho</v>
      </c>
      <c r="B28" s="20" t="d">
        <v>2024-07-19T00:00:00.000Z</v>
      </c>
      <c r="C28" s="3" t="str">
        <v>Infraestruturas e Habitação e Ambiente e Energia - Gabinete do Ministro das Infraestruturas e Habitação e Gabinete da Ministra do Ambiente e Energia</v>
      </c>
      <c r="D28" s="3" t="str">
        <v>Cria o Grupo de Trabalho para a transposição da Diretiva (UE) 2024/1275 do Parlamento Europeu e do Conselho, de 24 de abril de 2024, para o ordenamento jurídico português.</v>
      </c>
      <c r="E28" s="3" t="str">
        <v>Confirmed creating act</v>
      </c>
      <c r="F28" s="3" t="str">
        <v>GT-2024-009</v>
      </c>
      <c r="G28" s="3" t="str">
        <v>https://diariodarepublica.pt/dr/detalhe/despacho/8023-2024-872631226</v>
      </c>
    </row>
    <row r="29" ht="72" customHeight="1">
      <c r="A29" s="3" t="str">
        <v>Despacho n.º 8151/2024, de 23 de julho</v>
      </c>
      <c r="B29" s="20" t="d">
        <v>2024-07-23T00:00:00.000Z</v>
      </c>
      <c r="C29" s="3" t="str">
        <v>Finanças e Cultura - Gabinete do Ministro de Estado e das Finanças e Gabinete da Ministra da Cultura</v>
      </c>
      <c r="D29" s="3" t="str">
        <v>Constitui o Grupo de Trabalho para as Comemorações dos 100 Anos do Nascimento de Carlos Paredes.</v>
      </c>
      <c r="E29" s="3" t="str">
        <v>Confirmed creating act</v>
      </c>
      <c r="F29" s="3" t="str">
        <v>GT-2024-010</v>
      </c>
      <c r="G29" s="3" t="str">
        <v>https://diariodarepublica.pt/dr/detalhe/despacho/8151-2024-873009448</v>
      </c>
    </row>
    <row r="30" ht="72" customHeight="1">
      <c r="A30" s="3" t="str">
        <v>Despacho n.º 8251/2024, de 24 de julho</v>
      </c>
      <c r="B30" s="20" t="d">
        <v>2024-07-24T00:00:00.000Z</v>
      </c>
      <c r="C30" s="3" t="str">
        <v>Educação, Ciência e Inovação e Trabalho, Solidariedade e Segurança Social - Gabinete do Ministro da Educação, Ciência e Inovação e Gabinete da Ministra do Trabalho, Solidariedade e Segurança Social</v>
      </c>
      <c r="D30" s="3" t="str">
        <v>Cria um grupo de trabalho para o estudo e a apresentação de propostas com vista à generalização do acesso à educação na infância.</v>
      </c>
      <c r="E30" s="3" t="str">
        <v>Confirmed creating act</v>
      </c>
      <c r="F30" s="3" t="str">
        <v>GT-2024-011</v>
      </c>
      <c r="G30" s="3" t="str">
        <v>https://diariodarepublica.pt/dr/detalhe/despacho/8251-2024-873180041</v>
      </c>
    </row>
    <row r="31" ht="72" customHeight="1">
      <c r="A31" s="3" t="str">
        <v>Despacho n.º 8252/2024, de 24 de julho</v>
      </c>
      <c r="B31" s="20" t="d">
        <v>2024-07-24T00:00:00.000Z</v>
      </c>
      <c r="C31" s="3" t="str">
        <v>Saúde - Gabinete da Ministra da Saúde</v>
      </c>
      <c r="D31" s="3" t="str">
        <v>Constituição de um grupo de trabalho com vista à atualização e validação clínica dos algoritmos utilizados pelo Centro de Contacto do SNS no âmbito da obstetrícia.</v>
      </c>
      <c r="E31" s="3" t="str">
        <v>Other reference / amendment / outcome / excluded lead</v>
      </c>
      <c r="F31" s="3" t="str"/>
      <c r="G31" s="3" t="str">
        <v>https://diariodarepublica.pt/dr/detalhe/despacho/8252-2024-873180042</v>
      </c>
    </row>
    <row r="32" ht="72" customHeight="1">
      <c r="A32" s="3" t="str">
        <v>Despacho n.º 8277/2024, de 24 de julho</v>
      </c>
      <c r="B32" s="20" t="d">
        <v>2024-07-24T00:00:00.000Z</v>
      </c>
      <c r="C32" s="3" t="str">
        <v>Cultura - Gabinete da Ministra da Cultura</v>
      </c>
      <c r="D32" s="3" t="str">
        <v>Cria o grupo de trabalho para seleção da representação oficial portuguesa na Bienal de Veneza 2025.</v>
      </c>
      <c r="E32" s="3" t="str">
        <v>Confirmed creating act</v>
      </c>
      <c r="F32" s="3" t="str">
        <v>GT-2024-012</v>
      </c>
      <c r="G32" s="3" t="str">
        <v>https://diariodarepublica.pt/dr/detalhe/despacho/8277-2024-873180289</v>
      </c>
    </row>
    <row r="33" ht="72" customHeight="1">
      <c r="A33" s="3" t="str">
        <v>Despacho n.º 8335/2024, de 25 de julho</v>
      </c>
      <c r="B33" s="20" t="d">
        <v>2024-07-25T00:00:00.000Z</v>
      </c>
      <c r="C33" s="3" t="str">
        <v>Presidência do Conselho de Ministros, Economia e Ambiente e Energia - Gabinete do Ministro Adjunto e da Coesão Territorial, Gabinete do Ministro da Economia e Gabinete da Ministra do Ambiente e Energia</v>
      </c>
      <c r="D33" s="3" t="str">
        <v>Cria o Grupo de Trabalho «REMPC Regulamento Europeu das Matérias-Primas Críticas» para proceder ao levantamento das necessidades de conformação da ordem jurídica interna com o Regulamento (UE) 2024/1252 do Parlamento Europeu e do Conselho, de 11 de abril de 2024.</v>
      </c>
      <c r="E33" s="3" t="str">
        <v>Confirmed creating act</v>
      </c>
      <c r="F33" s="3" t="str">
        <v>GT-2024-013</v>
      </c>
      <c r="G33" s="3" t="str">
        <v>https://diariodarepublica.pt/dr/detalhe/despacho/8335-2024-873447584</v>
      </c>
    </row>
    <row r="34" ht="72" customHeight="1">
      <c r="A34" s="3" t="str">
        <v>Despacho n.º 8340/2024, de 25 de julho</v>
      </c>
      <c r="B34" s="20" t="d">
        <v>2024-07-25T00:00:00.000Z</v>
      </c>
      <c r="C34" s="3" t="str">
        <v>Finanças - Gabinete do Ministro de Estado e das Finanças</v>
      </c>
      <c r="D34" s="3" t="str">
        <v>Constituição de Comissão para a Revisão do Processo e Procedimento Tributário e das ­Garantias dos Contribuintes.</v>
      </c>
      <c r="E34" s="3" t="str">
        <v>Related body / governance</v>
      </c>
      <c r="F34" s="3" t="str"/>
      <c r="G34" s="3" t="str">
        <v>https://diariodarepublica.pt/dr/detalhe/despacho/8340-2024-873447590</v>
      </c>
    </row>
    <row r="35" ht="72" customHeight="1">
      <c r="A35" s="3" t="str">
        <v>Despacho n.º 8344/2024, de 25 de julho</v>
      </c>
      <c r="B35" s="20" t="d">
        <v>2024-07-25T00:00:00.000Z</v>
      </c>
      <c r="C35" s="3" t="str">
        <v>Assuntos Parlamentares e Juventude e Modernização - Instituto Português do Desporto e Juventude, I. P.</v>
      </c>
      <c r="D35" s="3" t="str">
        <v>Criação do grupo de trabalho para a organização e preparação da 18.ª Conferência de ­Ministros do Acordo Parcial Alargado sobre o Desporto (EPAS) do Conselho da Europa em 2024.</v>
      </c>
      <c r="E35" s="3" t="str">
        <v>Other reference / amendment / outcome / excluded lead</v>
      </c>
      <c r="F35" s="3" t="str"/>
      <c r="G35" s="3" t="str">
        <v>https://diariodarepublica.pt/dr/detalhe/despacho/8344-2024-873447595</v>
      </c>
    </row>
    <row r="36" ht="72" customHeight="1">
      <c r="A36" s="3" t="str">
        <v>Resolução do Conselho de Ministros n.º 94/2024, de 25 de julho</v>
      </c>
      <c r="B36" s="20" t="d">
        <v>2024-07-25T00:00:00.000Z</v>
      </c>
      <c r="C36" s="3" t="str">
        <v>Presidência do Conselho de Ministros</v>
      </c>
      <c r="D36" s="3" t="str">
        <v>Constitui o «Conselho para o Digital na Administração Pública».</v>
      </c>
      <c r="E36" s="3" t="str">
        <v>Related body / governance</v>
      </c>
      <c r="F36" s="3" t="str"/>
      <c r="G36" s="3" t="str">
        <v>https://diariodarepublica.pt/dr/detalhe/resolucao-conselho-ministros/94-2024-873371754</v>
      </c>
    </row>
    <row r="37" ht="72" customHeight="1">
      <c r="A37" s="3" t="str">
        <v>Despacho n.º 8434/2024, de 26 de julho</v>
      </c>
      <c r="B37" s="20" t="d">
        <v>2024-07-26T00:00:00.000Z</v>
      </c>
      <c r="C37" s="3" t="str">
        <v>Saúde - Gabinete da Ministra da Saúde</v>
      </c>
      <c r="D37" s="3" t="str">
        <v>Cria a Comissão Nacional da Saúde da Mulher, da Criança e do Adolescente.</v>
      </c>
      <c r="E37" s="3" t="str">
        <v>Related body / governance</v>
      </c>
      <c r="F37" s="3" t="str"/>
      <c r="G37" s="3" t="str">
        <v>https://diariodarepublica.pt/dr/detalhe/despacho/8434-2024-873614433</v>
      </c>
    </row>
    <row r="38" ht="72" customHeight="1">
      <c r="A38" s="3" t="str">
        <v>Despacho n.º 8591/2024, de 31 de julho</v>
      </c>
      <c r="B38" s="20" t="d">
        <v>2024-07-31T00:00:00.000Z</v>
      </c>
      <c r="C38" s="3" t="str">
        <v>Justiça, Administração Interna e Juventude e Modernização - Gabinete da Ministra da Justiça, Gabinete da Ministra da Juventude e Modernização e Gabinete do Secretário de Estado da Administração Interna</v>
      </c>
      <c r="D38" s="3" t="str">
        <v>Procede à criação do Grupo de Trabalho das 72 horas.</v>
      </c>
      <c r="E38" s="3" t="str">
        <v>Confirmed creating act</v>
      </c>
      <c r="F38" s="3" t="str">
        <v>GT-2024-014</v>
      </c>
      <c r="G38" s="3" t="str">
        <v>https://diariodarepublica.pt/dr/detalhe/despacho/8591-2024-874078354</v>
      </c>
    </row>
    <row r="39" ht="72" customHeight="1">
      <c r="A39" s="3" t="str">
        <v>Despacho n.º 8914-A/2024, de 7 de agosto</v>
      </c>
      <c r="B39" s="20" t="d">
        <v>2024-08-07T00:00:00.000Z</v>
      </c>
      <c r="C39" s="3" t="str">
        <v>Presidência do Conselho de Ministros - Gabinete do Ministro da Presidência</v>
      </c>
      <c r="D39" s="3" t="str">
        <v>Constitui um grupo de trabalho para elaborar texto legislativo que proceda à transposição da Diretiva (UE) 2022/2555, do Parlamento Europeu e do Conselho, de 14 de dezembro de 2022, à execução do Regulamento (UE) 2019/881, do Parlamento Europeu e do Conselho, de 17 de abril de 2019, e à certificação da cibersegurança das tecnologias da informação e comunicação.</v>
      </c>
      <c r="E39" s="3" t="str">
        <v>Confirmed creating act</v>
      </c>
      <c r="F39" s="3" t="str">
        <v>GT-2024-015</v>
      </c>
      <c r="G39" s="3" t="str">
        <v>https://diariodarepublica.pt/dr/detalhe/despacho/8914-a-2024-875716593</v>
      </c>
    </row>
    <row r="40" ht="72" customHeight="1">
      <c r="A40" s="3" t="str">
        <v>Despacho n.º 8972/2024, de 8 de agosto</v>
      </c>
      <c r="B40" s="20" t="d">
        <v>2024-08-08T00:00:00.000Z</v>
      </c>
      <c r="C40" s="3" t="str">
        <v>Trabalho, Solidariedade e Segurança Social - Gabinete da Secretária de Estado da Ação Social e da Inclusão</v>
      </c>
      <c r="D40" s="3" t="str">
        <v>Constituição de um grupo de trabalho para proceder à avaliação da implementação da Estratégia Nacional para os Direitos da Criança 2021-2024, do Eixo Estratégico 1 da Estratégia Nacional de Combate à Pobreza 2021-2030 e do Plano de Ação da Garantia para a Infância 2022-2030, e proceder à realização de proposta de Estratégia Nacional única, no âmbito da proteção e promoção dos direitos das crianças e dos jovens.</v>
      </c>
      <c r="E40" s="3" t="str">
        <v>Confirmed creating act</v>
      </c>
      <c r="F40" s="3" t="str">
        <v>GT-2024-016</v>
      </c>
      <c r="G40" s="3" t="str">
        <v>https://diariodarepublica.pt/dr/detalhe/despacho/8972-2024-875838784</v>
      </c>
    </row>
    <row r="41" ht="72" customHeight="1">
      <c r="A41" s="3" t="str">
        <v>Despacho n.º 9075-A/2024, de 9 de agosto</v>
      </c>
      <c r="B41" s="20" t="d">
        <v>2024-08-09T00:00:00.000Z</v>
      </c>
      <c r="C41" s="3" t="str">
        <v>Presidência do Conselho de Ministros e Finanças - Gabinete do Ministro de Estado e das Finanças e Gabinete do Ministro da Presidência</v>
      </c>
      <c r="D41" s="3" t="str">
        <v>Cria, por substituição, o grupo de trabalho com a missão de preparar e executar a reforma orgânica e funcional da Administração Pública.</v>
      </c>
      <c r="E41" s="3" t="str">
        <v>Confirmed creating act</v>
      </c>
      <c r="F41" s="3" t="str">
        <v>GT-2024-017</v>
      </c>
      <c r="G41" s="3" t="str">
        <v>https://diariodarepublica.pt/dr/detalhe/despacho/9075-a-2024-876110681</v>
      </c>
    </row>
    <row r="42" ht="72" customHeight="1">
      <c r="A42" s="3" t="str">
        <v>Despacho n.º 9123/2024, de 12 de agosto</v>
      </c>
      <c r="B42" s="20" t="d">
        <v>2024-08-12T00:00:00.000Z</v>
      </c>
      <c r="C42" s="3" t="str">
        <v>Justiça - Gabinete da Secretária de Estado Adjunta e da Justiça</v>
      </c>
      <c r="D42" s="3" t="str">
        <v>Constituição de um grupo de trabalho com o objetivo de analisar o projeto de alterações ao Código da Propriedade Industrial.</v>
      </c>
      <c r="E42" s="3" t="str">
        <v>Confirmed creating act</v>
      </c>
      <c r="F42" s="3" t="str">
        <v>GT-2024-018</v>
      </c>
      <c r="G42" s="3" t="str">
        <v>https://diariodarepublica.pt/dr/detalhe/despacho/9123-2024-876110746</v>
      </c>
    </row>
    <row r="43" ht="72" customHeight="1">
      <c r="A43" s="3" t="str">
        <v>Despacho n.º 9132/2024, de 12 de agosto</v>
      </c>
      <c r="B43" s="20" t="d">
        <v>2024-08-12T00:00:00.000Z</v>
      </c>
      <c r="C43" s="3" t="str">
        <v>Ambiente e Energia - Gabinete da Ministra do Ambiente e Energia</v>
      </c>
      <c r="D43" s="3" t="str">
        <v>Determina a elaboração de uma proposta de Plano de Desenvolvimento e Investimento da Rede de Transporte de Eletricidade (PDIRT-E) para o período de 2025-2034 e revoga o Despacho n.º 4162/2024, de 16 de abril.</v>
      </c>
      <c r="E43" s="3" t="str">
        <v>Other reference / amendment / outcome / excluded lead</v>
      </c>
      <c r="F43" s="3" t="str"/>
      <c r="G43" s="3" t="str">
        <v>https://diariodarepublica.pt/dr/detalhe/despacho/9132-2024-876110770</v>
      </c>
    </row>
    <row r="44" ht="72" customHeight="1">
      <c r="A44" s="3" t="str">
        <v>Decreto-Lei n.º 50/2024, de 13 de agosto</v>
      </c>
      <c r="B44" s="20" t="d">
        <v>2024-08-13T00:00:00.000Z</v>
      </c>
      <c r="C44" s="3" t="str">
        <v>Presidência do Conselho de Ministros</v>
      </c>
      <c r="D44" s="3" t="str">
        <v>Prorroga até 31 de março de 2025 o regime transitório para a atribuição do subsídio social de mobilidade.</v>
      </c>
      <c r="E44" s="3" t="str">
        <v>Other reference / amendment / outcome / excluded lead</v>
      </c>
      <c r="F44" s="3" t="str"/>
      <c r="G44" s="3" t="str">
        <v>https://diariodarepublica.pt/dr/detalhe/decreto-lei/50-2024-876321026</v>
      </c>
    </row>
    <row r="45" ht="72" customHeight="1">
      <c r="A45" s="3" t="str">
        <v>Despacho n.º 9477/2024, de 20 de agosto</v>
      </c>
      <c r="B45" s="20" t="d">
        <v>2024-08-20T00:00:00.000Z</v>
      </c>
      <c r="C45" s="3" t="str">
        <v>Presidência do Conselho de Ministros, Administração Interna e Infraestruturas e Habitação - Gabinete do Ministro da Presidência, Gabinete da Ministra da Administração Interna e Gabinete do Ministro das Infraestruturas e Habitação</v>
      </c>
      <c r="D45" s="3" t="str">
        <v>Procede à criação do grupo de trabalho que acompanha a implementação dos sistemas de controlo de fronteiras Entry Exit System e European Travel Information and Authorisation System, bem como a gestão do controlo de fronteiras aéreas durante períodos de pico.</v>
      </c>
      <c r="E45" s="3" t="str">
        <v>Confirmed creating act</v>
      </c>
      <c r="F45" s="3" t="str">
        <v>GT-2024-019</v>
      </c>
      <c r="G45" s="3" t="str">
        <v>https://diariodarepublica.pt/dr/detalhe/despacho/9477-2024-884784995</v>
      </c>
    </row>
    <row r="46" ht="72" customHeight="1">
      <c r="A46" s="3" t="str">
        <v>Despacho n.º 9589/2024, de 21 de agosto</v>
      </c>
      <c r="B46" s="20" t="d">
        <v>2024-08-21T00:00:00.000Z</v>
      </c>
      <c r="C46" s="3" t="str">
        <v>Presidência do Conselho de Ministros, Infraestruturas e Habitação e Ambiente e Energia - Gabinete do Ministro Adjunto e da Coesão Territorial, Gabinete do Ministro das Infraestruturas e Habitação e Gabinete da Ministra do Ambiente e Energia</v>
      </c>
      <c r="D46" s="3" t="str">
        <v>Cria o grupo de trabalho para a melhoria da qualidade do ar nas zonas ou aglomerações com excedências aos objetivos de proteção da saúde para o dióxido de azoto.</v>
      </c>
      <c r="E46" s="3" t="str">
        <v>Confirmed creating act</v>
      </c>
      <c r="F46" s="3" t="str">
        <v>GT-2024-020</v>
      </c>
      <c r="G46" s="3" t="str">
        <v>https://diariodarepublica.pt/dr/detalhe/despacho/9589-2024-884941463</v>
      </c>
    </row>
    <row r="47" ht="72" customHeight="1">
      <c r="A47" s="3" t="str">
        <v>Despacho n.º 9648/2024, de 21 de agosto</v>
      </c>
      <c r="B47" s="20" t="d">
        <v>2024-08-21T00:00:00.000Z</v>
      </c>
      <c r="C47" s="3" t="str">
        <v>Trabalho, Solidariedade e Segurança Social - Gabinete da Ministra do Trabalho, Solidariedade e Segurança Social</v>
      </c>
      <c r="D47" s="3" t="str">
        <v>Constituição de um grupo de trabalho para avaliação da implementação da Estratégia Nacional de Integração das Pessoas em Situação de Sem-Abrigo.</v>
      </c>
      <c r="E47" s="3" t="str">
        <v>Confirmed creating act</v>
      </c>
      <c r="F47" s="3" t="str">
        <v>GT-2024-021</v>
      </c>
      <c r="G47" s="3" t="str">
        <v>https://diariodarepublica.pt/dr/detalhe/despacho/9648-2024-885027571</v>
      </c>
    </row>
    <row r="48" ht="72" customHeight="1">
      <c r="A48" s="3" t="str">
        <v>Despacho n.º 9649/2024, de 21 de agosto</v>
      </c>
      <c r="B48" s="20" t="d">
        <v>2024-08-21T00:00:00.000Z</v>
      </c>
      <c r="C48" s="3" t="str">
        <v>Trabalho, Solidariedade e Segurança Social - Gabinete da Secretária de Estado da Ação Social e da Inclusão</v>
      </c>
      <c r="D48" s="3" t="str">
        <v>Revoga o Despacho n.º 10752-A/2023, de 20 de outubro, e determina a criação de grupo de trabalho para revisão do Decreto-Lei n.º 163/2006, de 8 de agosto, na sua redação atual, e respetivas normas técnicas de acessibilidade.</v>
      </c>
      <c r="E48" s="3" t="str">
        <v>Confirmed creating act</v>
      </c>
      <c r="F48" s="3" t="str">
        <v>GT-2024-022</v>
      </c>
      <c r="G48" s="3" t="str">
        <v>https://diariodarepublica.pt/dr/detalhe/despacho/9649-2024-885027572</v>
      </c>
    </row>
    <row r="49" ht="72" customHeight="1">
      <c r="A49" s="3" t="str">
        <v>Resolução do Conselho de Ministros n.º 105/2024, de 21 de agosto</v>
      </c>
      <c r="B49" s="20" t="d">
        <v>2024-08-21T00:00:00.000Z</v>
      </c>
      <c r="C49" s="3" t="str">
        <v>Presidência do Conselho de Ministros</v>
      </c>
      <c r="D49" s="3" t="str">
        <v>Cria a Estrutura de Missão para a Comunicação Social.</v>
      </c>
      <c r="E49" s="3" t="str">
        <v>Related body / governance</v>
      </c>
      <c r="F49" s="3" t="str"/>
      <c r="G49" s="3" t="str">
        <v>https://diariodarepublica.pt/dr/detalhe/resolucao-conselho-ministros/105-2024-884941426</v>
      </c>
    </row>
    <row r="50" ht="72" customHeight="1">
      <c r="A50" s="3" t="str">
        <v>Resolução do Conselho de Ministros n.º 109/2024, de 22 de agosto</v>
      </c>
      <c r="B50" s="20" t="d">
        <v>2024-08-22T00:00:00.000Z</v>
      </c>
      <c r="C50" s="3" t="str">
        <v>Presidência do Conselho de Ministros</v>
      </c>
      <c r="D50" s="3" t="str">
        <v>Altera o Plano Estratégico para o Abastecimento de Água e Gestão de Águas Residuais e Pluviais 2030.</v>
      </c>
      <c r="E50" s="3" t="str">
        <v>Other reference / amendment / outcome / excluded lead</v>
      </c>
      <c r="F50" s="3" t="str"/>
      <c r="G50" s="3" t="str">
        <v>https://diariodarepublica.pt/dr/detalhe/resolucao-conselho-ministros/109-2024-885032308</v>
      </c>
    </row>
    <row r="51" ht="72" customHeight="1">
      <c r="A51" s="3" t="str">
        <v>Portaria n.º 646/2024/2, de 23 de agosto</v>
      </c>
      <c r="B51" s="20" t="d">
        <v>2024-08-23T00:00:00.000Z</v>
      </c>
      <c r="C51" s="3" t="str">
        <v>Defesa Nacional - Gabinete do Ministro da Defesa Nacional</v>
      </c>
      <c r="D51" s="3" t="str">
        <v>Aprova o Estatuto da Academia de Marinha.</v>
      </c>
      <c r="E51" s="3" t="str">
        <v>Other reference / amendment / outcome / excluded lead</v>
      </c>
      <c r="F51" s="3" t="str"/>
      <c r="G51" s="3" t="str">
        <v>https://diariodarepublica.pt/dr/detalhe/portaria/646-2024-885385180</v>
      </c>
    </row>
    <row r="52" ht="72" customHeight="1">
      <c r="A52" s="3" t="str">
        <v>Despacho n.º 10208-A/2024, de 29 de agosto</v>
      </c>
      <c r="B52" s="20" t="d">
        <v>2024-08-29T00:00:00.000Z</v>
      </c>
      <c r="C52" s="3" t="str">
        <v>Saúde - Gabinete da Ministra da Saúde</v>
      </c>
      <c r="D52" s="3" t="str">
        <v>Determina a constituição de um grupo de trabalho para efeitos de acompanhamento e seguimento da implementação e desenvolvimento das medidas urgentes, prioritárias e estruturantes plasmadas e constantes no Plano de Emergência e Transformação na Saúde.</v>
      </c>
      <c r="E52" s="3" t="str">
        <v>Confirmed creating act</v>
      </c>
      <c r="F52" s="3" t="str">
        <v>GT-2024-023</v>
      </c>
      <c r="G52" s="3" t="str">
        <v>https://diariodarepublica.pt/dr/detalhe/despacho/10208-a-2024-886333775</v>
      </c>
    </row>
    <row r="53" ht="72" customHeight="1">
      <c r="A53" s="3" t="str">
        <v>Despacho n.º 10294-C/2024, de 30 de agosto</v>
      </c>
      <c r="B53" s="20" t="d">
        <v>2024-08-30T00:00:00.000Z</v>
      </c>
      <c r="C53" s="3" t="str">
        <v>Justiça, Administração Interna e Saúde - Gabinete da Ministra da Justiça, Gabinete da Ministra da Administração Interna e Gabinete da Ministra da Saúde</v>
      </c>
      <c r="D53" s="3" t="str">
        <v>Constituição de grupos de trabalho para implementação, criação e monitorização do programa estruturado de saúde mental e de prevenção do suicídio para as forças e serviços de segurança.</v>
      </c>
      <c r="E53" s="3" t="str">
        <v>Confirmed creating act</v>
      </c>
      <c r="F53" s="3" t="str">
        <v>GT-2024-024; GT-2024-025; GT-2024-026</v>
      </c>
      <c r="G53" s="3" t="str">
        <v>https://diariodarepublica.pt/dr/detalhe/despacho/10294-c-2024-886385435</v>
      </c>
    </row>
    <row r="54" ht="72" customHeight="1">
      <c r="A54" s="3" t="str">
        <v>Despacho n.º 10471/2024, de 5 de setembro</v>
      </c>
      <c r="B54" s="20" t="d">
        <v>2024-09-05T00:00:00.000Z</v>
      </c>
      <c r="C54" s="3" t="str">
        <v>Negócios Estrangeiros, Educação, Ciência e Inovação e Cultura - Gabinete do Ministro de Estado e dos Negócios Estrangeiros, Gabinete do Ministro da Educação, Ciência e Inovação e Gabinete da Ministra da Cultura</v>
      </c>
      <c r="D54" s="3" t="str">
        <v>Prorroga o prazo previsto no n.º 2 do Despacho n.º 1294/2024, de 2 de fevereiro.</v>
      </c>
      <c r="E54" s="3" t="str">
        <v>Other reference / amendment / outcome / excluded lead</v>
      </c>
      <c r="F54" s="3" t="str"/>
      <c r="G54" s="3" t="str">
        <v>https://diariodarepublica.pt/dr/detalhe/despacho/10471-2024-886919577</v>
      </c>
    </row>
    <row r="55" ht="72" customHeight="1">
      <c r="A55" s="3" t="str">
        <v>Despacho n.º 10559/2024, de 6 de setembro</v>
      </c>
      <c r="B55" s="20" t="d">
        <v>2024-09-06T00:00:00.000Z</v>
      </c>
      <c r="C55" s="3" t="str">
        <v>Infraestruturas e Habitação e Ambiente e Energia - Gabinete do Ministro das Infraestruturas e Habitação e Gabinete da Ministra do Ambiente e Energia</v>
      </c>
      <c r="D55" s="3" t="str">
        <v>Constituição do Grupo de Trabalho AFIR para a criação de uma infraestrutura para combustíveis alternativos, no âmbito do Regulamento (EU) 2023/1804.</v>
      </c>
      <c r="E55" s="3" t="str">
        <v>Confirmed creating act</v>
      </c>
      <c r="F55" s="3" t="str">
        <v>GT-2024-027</v>
      </c>
      <c r="G55" s="3" t="str">
        <v>https://diariodarepublica.pt/dr/detalhe/despacho/10559-2024-887067337</v>
      </c>
    </row>
    <row r="56" ht="72" customHeight="1">
      <c r="A56" s="3" t="str">
        <v>Despacho n.º 10791/2024, de 13 de setembro</v>
      </c>
      <c r="B56" s="20" t="d">
        <v>2024-09-13T00:00:00.000Z</v>
      </c>
      <c r="C56" s="3" t="str">
        <v>Finanças e Saúde - Gabinete do Ministro de Estado e das Finanças e Gabinete da Ministra da Saúde</v>
      </c>
      <c r="D56" s="3" t="str">
        <v>Cria a comissão de trabalho prevista no n.º 3 da Resolução do Conselho de Ministros n.º 71/2024, de 5 de junho.</v>
      </c>
      <c r="E56" s="3" t="str">
        <v>Related body / governance</v>
      </c>
      <c r="F56" s="3" t="str"/>
      <c r="G56" s="3" t="str">
        <v>https://diariodarepublica.pt/dr/detalhe/despacho/10791-2024-887629419</v>
      </c>
    </row>
    <row r="57" ht="72" customHeight="1">
      <c r="A57" s="3" t="str">
        <v>Resolução do Conselho de Ministros n.º 126-A/2024, de 18 de setembro</v>
      </c>
      <c r="B57" s="20" t="d">
        <v>2024-09-18T00:00:00.000Z</v>
      </c>
      <c r="C57" s="3" t="str">
        <v>Presidência do Conselho de Ministros</v>
      </c>
      <c r="D57" s="3" t="str">
        <v>Declara a situação de calamidade em território nacional por ocorrência de grandes incêndios rurais e determina o levantamento de danos e a adoção de medidas de recuperação e apoio às populações, empresas, associações, infraestruturas e património agrícola e natural afetados.</v>
      </c>
      <c r="E57" s="3" t="str">
        <v>Confirmed creating act</v>
      </c>
      <c r="F57" s="3" t="str">
        <v>GT-2024-028</v>
      </c>
      <c r="G57" s="3" t="str">
        <v>https://diariodarepublica.pt/dr/detalhe/resolucao-conselho-ministros/126-a-2024-888218912</v>
      </c>
    </row>
    <row r="58" ht="72" customHeight="1">
      <c r="A58" s="3" t="str">
        <v>Despacho n.º 10989/2024, de 19 de setembro</v>
      </c>
      <c r="B58" s="20" t="d">
        <v>2024-09-19T00:00:00.000Z</v>
      </c>
      <c r="C58" s="3" t="str">
        <v>Finanças e Justiça - Gabinete do Ministro de Estado e das Finanças e Gabinete da Ministra da Justiça</v>
      </c>
      <c r="D58" s="3" t="str">
        <v>Cria um grupo de trabalho para elaboração de anteprojeto de diploma de revisão da legislação penal e processual penal em matéria de perda das vantagens de atividade criminosa.</v>
      </c>
      <c r="E58" s="3" t="str">
        <v>Confirmed creating act</v>
      </c>
      <c r="F58" s="3" t="str">
        <v>GT-2024-029</v>
      </c>
      <c r="G58" s="3" t="str">
        <v>https://diariodarepublica.pt/dr/detalhe/despacho/10989-2024-888216496</v>
      </c>
    </row>
    <row r="59" ht="72" customHeight="1">
      <c r="A59" s="3" t="str">
        <v>Despacho n.º 11152/2024, de 23 de setembro</v>
      </c>
      <c r="B59" s="20" t="d">
        <v>2024-09-23T00:00:00.000Z</v>
      </c>
      <c r="C59" s="3" t="str">
        <v>Educação, Ciência e Inovação e Juventude e Modernização - Gabinete do Ministro da Educação, Ciência e Inovação e Gabinete da Ministra da Juventude e Modernização</v>
      </c>
      <c r="D59" s="3" t="str">
        <v>Constituição do Grupo de Trabalho de Combate ao Bullying nas Escolas.</v>
      </c>
      <c r="E59" s="3" t="str">
        <v>Confirmed creating act</v>
      </c>
      <c r="F59" s="3" t="str">
        <v>GT-2024-030</v>
      </c>
      <c r="G59" s="3" t="str">
        <v>https://diariodarepublica.pt/dr/detalhe/despacho/11152-2024-888560032</v>
      </c>
    </row>
    <row r="60" ht="72" customHeight="1">
      <c r="A60" s="3" t="str">
        <v>Despacho n.º 11271/2024, de 25 de setembro</v>
      </c>
      <c r="B60" s="20" t="d">
        <v>2024-09-25T00:00:00.000Z</v>
      </c>
      <c r="C60" s="3" t="str">
        <v>Administração Interna - Gabinete da Ministra da Administração Interna</v>
      </c>
      <c r="D60" s="3" t="str">
        <v>Constitui um grupo de trabalho com a missão de preparar e elaborar uma estratégia pedagógica a adotar pelos estabelecimentos de ensino das forças de segurança.</v>
      </c>
      <c r="E60" s="3" t="str">
        <v>Confirmed creating act</v>
      </c>
      <c r="F60" s="3" t="str">
        <v>GT-2024-031</v>
      </c>
      <c r="G60" s="3" t="str">
        <v>https://diariodarepublica.pt/dr/detalhe/despacho/11271-2024-888843218</v>
      </c>
    </row>
    <row r="61" ht="72" customHeight="1">
      <c r="A61" s="3" t="str">
        <v>Decreto-Lei n.º 59-A/2024, de 27 de setembro</v>
      </c>
      <c r="B61" s="20" t="d">
        <v>2024-09-27T00:00:00.000Z</v>
      </c>
      <c r="C61" s="3" t="str">
        <v>Presidência do Conselho de Ministros</v>
      </c>
      <c r="D61" s="3" t="str">
        <v>Estabelece medidas de apoio às populações afetadas pelos incêndios ocorridos em setembro de 2024.</v>
      </c>
      <c r="E61" s="3" t="str">
        <v>Other reference / amendment / outcome / excluded lead</v>
      </c>
      <c r="F61" s="3" t="str"/>
      <c r="G61" s="3" t="str">
        <v>https://diariodarepublica.pt/dr/detalhe/decreto-lei/59-a-2024-889277040</v>
      </c>
    </row>
    <row r="62" ht="72" customHeight="1">
      <c r="A62" s="3" t="str">
        <v>Despacho n.º 11856-A/2024, de 7 de outubro</v>
      </c>
      <c r="B62" s="20" t="d">
        <v>2024-10-07T00:00:00.000Z</v>
      </c>
      <c r="C62" s="3" t="str">
        <v>Presidência do Conselho de Ministros, Negócios Estrangeiros, Justiça e Administração Interna - Gabinete do Ministro de Estado e dos Negócios Estrangeiros, Gabinete do Ministro da Presidência, Gabinete da Ministra da Justiça e Gabinete da Ministra da Administração Interna</v>
      </c>
      <c r="D62" s="3" t="str">
        <v>Constitui um grupo de trabalho com a missão de preparar, coordenar e assegurar a execução do Plano Nacional de Implementação do Pacto em matéria de Migração e Asilo.</v>
      </c>
      <c r="E62" s="3" t="str">
        <v>Confirmed creating act</v>
      </c>
      <c r="F62" s="3" t="str">
        <v>GT-2024-032</v>
      </c>
      <c r="G62" s="3" t="str">
        <v>https://diariodarepublica.pt/dr/detalhe/despacho/11856-a-2024-890194538</v>
      </c>
    </row>
    <row r="63" ht="72" customHeight="1">
      <c r="A63" s="3" t="str">
        <v>Decreto-Lei n.º 67/2024, de 8 de outubro</v>
      </c>
      <c r="B63" s="20" t="d">
        <v>2024-10-08T00:00:00.000Z</v>
      </c>
      <c r="C63" s="3" t="str">
        <v>Presidência do Conselho de Ministros</v>
      </c>
      <c r="D63" s="3" t="str">
        <v>Aprova a orgânica do Centro de Planeamento e Avaliação de Políticas Públicas.</v>
      </c>
      <c r="E63" s="3" t="str">
        <v>Other reference / amendment / outcome / excluded lead</v>
      </c>
      <c r="F63" s="3" t="str"/>
      <c r="G63" s="3" t="str">
        <v>https://diariodarepublica.pt/dr/detalhe/decreto-lei/67-2024-890194534</v>
      </c>
    </row>
    <row r="64" ht="72" customHeight="1">
      <c r="A64" s="3" t="str">
        <v>Decreto-Lei n.º 68/2024, de 8 de outubro</v>
      </c>
      <c r="B64" s="20" t="d">
        <v>2024-10-08T00:00:00.000Z</v>
      </c>
      <c r="C64" s="3" t="str">
        <v>Presidência do Conselho de Ministros</v>
      </c>
      <c r="D64" s="3" t="str">
        <v>Aprova a orgânica do Centro Jurídico do Estado.</v>
      </c>
      <c r="E64" s="3" t="str">
        <v>Other reference / amendment / outcome / excluded lead</v>
      </c>
      <c r="F64" s="3" t="str"/>
      <c r="G64" s="3" t="str">
        <v>https://diariodarepublica.pt/dr/detalhe/decreto-lei/68-2024-890194535</v>
      </c>
    </row>
    <row r="65" ht="72" customHeight="1">
      <c r="A65" s="3" t="str">
        <v>Despacho n.º 12071/2024, de 14 de outubro</v>
      </c>
      <c r="B65" s="20" t="d">
        <v>2024-10-14T00:00:00.000Z</v>
      </c>
      <c r="C65" s="3" t="str">
        <v>Saúde - Gabinete da Secretária de Estado da Saúde</v>
      </c>
      <c r="D65" s="3" t="str">
        <v>Procede à criação de um grupo de trabalho técnico para avaliação do procedimento de reprocessamento de dispositivos médicos utilizados em cirurgias, no âmbito dos estabelecimentos e serviços integrados no Serviço Nacional de Saúde.</v>
      </c>
      <c r="E65" s="3" t="str">
        <v>Confirmed creating act</v>
      </c>
      <c r="F65" s="3" t="str">
        <v>GT-2024-033</v>
      </c>
      <c r="G65" s="3" t="str">
        <v>https://diariodarepublica.pt/dr/detalhe/despacho/12071-2024-890791825</v>
      </c>
    </row>
    <row r="66" ht="72" customHeight="1">
      <c r="A66" s="3" t="str">
        <v>Despacho n.º 12072/2024, de 14 de outubro</v>
      </c>
      <c r="B66" s="20" t="d">
        <v>2024-10-14T00:00:00.000Z</v>
      </c>
      <c r="C66" s="3" t="str">
        <v>Saúde - Gabinete da Secretária de Estado da Saúde</v>
      </c>
      <c r="D66" s="3" t="str">
        <v>Procede à criação de um grupo de trabalho com vista a criar condições para um processo global de reforma da rede de serviços de urgência do Serviço Nacional de Saúde.</v>
      </c>
      <c r="E66" s="3" t="str">
        <v>Confirmed creating act</v>
      </c>
      <c r="F66" s="3" t="str">
        <v>GT-2024-034</v>
      </c>
      <c r="G66" s="3" t="str">
        <v>https://diariodarepublica.pt/dr/detalhe/despacho/12072-2024-890791826</v>
      </c>
    </row>
    <row r="67" ht="72" customHeight="1">
      <c r="A67" s="3" t="str">
        <v>Resolução do Conselho de Ministros n.º 136/2024, de 16 de outubro</v>
      </c>
      <c r="B67" s="20" t="d">
        <v>2024-10-16T00:00:00.000Z</v>
      </c>
      <c r="C67" s="3" t="str">
        <v>Presidência do Conselho de Ministros</v>
      </c>
      <c r="D67" s="3" t="str">
        <v>Aprova o Plano de Situação de Ordenamento do Espaço Marítimo Nacional para a subdivisão dos Açores.</v>
      </c>
      <c r="E67" s="3" t="str">
        <v>Other reference / amendment / outcome / excluded lead</v>
      </c>
      <c r="F67" s="3" t="str"/>
      <c r="G67" s="3" t="str">
        <v>https://diariodarepublica.pt/dr/detalhe/resolucao-conselho-ministros/136-2024-891107797</v>
      </c>
    </row>
    <row r="68" ht="72" customHeight="1">
      <c r="A68" s="3" t="str">
        <v>Resolução do Conselho de Ministros n.º 138/2024, de 16 de outubro</v>
      </c>
      <c r="B68" s="20" t="d">
        <v>2024-10-16T00:00:00.000Z</v>
      </c>
      <c r="C68" s="3" t="str">
        <v>Presidência do Conselho de Ministros</v>
      </c>
      <c r="D68" s="3" t="str">
        <v>Estabelece a afetação extraordinária dos meios financeiros à reposição das condições de prestação de cuidados de saúde do Hospital do Divino Espírito Santo de Ponta Delgada, E. P. E. R., prévias ao incêndio de 4 de maio de 2024.</v>
      </c>
      <c r="E68" s="3" t="str">
        <v>Other reference / amendment / outcome / excluded lead</v>
      </c>
      <c r="F68" s="3" t="str"/>
      <c r="G68" s="3" t="str">
        <v>https://diariodarepublica.pt/dr/detalhe/resolucao-conselho-ministros/138-2024-891107799</v>
      </c>
    </row>
    <row r="69" ht="72" customHeight="1">
      <c r="A69" s="3" t="str">
        <v>Despacho n.º 12293/2024, de 17 de outubro</v>
      </c>
      <c r="B69" s="20" t="d">
        <v>2024-10-17T00:00:00.000Z</v>
      </c>
      <c r="C69" s="3" t="str">
        <v>Educação, Ciência e Inovação - Gabinete do Ministro da Educação, Ciência e Inovação</v>
      </c>
      <c r="D69" s="3" t="str">
        <v>Cria um grupo de trabalho para o estudo e a apresentação de proposta de plano relativo ao acesso à profissionalização em serviço por parte dos docentes sem habilitação profissional para a docência.</v>
      </c>
      <c r="E69" s="3" t="str">
        <v>Confirmed creating act</v>
      </c>
      <c r="F69" s="3" t="str">
        <v>GT-2024-035</v>
      </c>
      <c r="G69" s="3" t="str">
        <v>https://diariodarepublica.pt/dr/detalhe/despacho/12293-2024-891174394</v>
      </c>
    </row>
    <row r="70" ht="72" customHeight="1">
      <c r="A70" s="3" t="str">
        <v>Despacho n.º 12645/2024, de 23 de outubro</v>
      </c>
      <c r="B70" s="20" t="d">
        <v>2024-10-23T00:00:00.000Z</v>
      </c>
      <c r="C70" s="3" t="str">
        <v>Trabalho, Solidariedade e Segurança Social - Gabinete da Secretária de Estado da Ação Social e da Inclusão</v>
      </c>
      <c r="D70" s="3" t="str">
        <v>Determina a criação de grupo de trabalho para proceder à revisão do Decreto Regulamentar n.º 3/2016, de 23 de agosto, que estabelece o regime do subsídio de educação especial.</v>
      </c>
      <c r="E70" s="3" t="str">
        <v>Confirmed creating act</v>
      </c>
      <c r="F70" s="3" t="str">
        <v>GT-2024-036</v>
      </c>
      <c r="G70" s="3" t="str">
        <v>https://diariodarepublica.pt/dr/detalhe/despacho/12645-2024-892306790</v>
      </c>
    </row>
    <row r="71" ht="72" customHeight="1">
      <c r="A71" s="3" t="str">
        <v>Despacho n.º 12734/2024, de 25 de outubro</v>
      </c>
      <c r="B71" s="20" t="d">
        <v>2024-10-25T00:00:00.000Z</v>
      </c>
      <c r="C71" s="3" t="str">
        <v>Presidência do Conselho de Ministros, Economia, Ambiente e Energia e Agricultura e Pescas - Gabinete do Ministro Adjunto e da Coesão Territorial, Gabinete da Ministra do Ambiente e Energia, Gabinete do Ministro da Agricultura e Pescas e Gabinete da Secretária de Estado do Mar</v>
      </c>
      <c r="D71" s="3" t="str">
        <v>Determina o processo de elaboração do Plano Nacional de Restauro da Natureza.</v>
      </c>
      <c r="E71" s="3" t="str">
        <v>Confirmed creating act</v>
      </c>
      <c r="F71" s="3" t="str">
        <v>GT-2024-037</v>
      </c>
      <c r="G71" s="3" t="str">
        <v>https://diariodarepublica.pt/dr/detalhe/despacho/12734-2024-892664373</v>
      </c>
    </row>
    <row r="72" ht="72" customHeight="1">
      <c r="A72" s="3" t="str">
        <v>Despacho n.º 12785/2024, de 28 de outubro</v>
      </c>
      <c r="B72" s="20" t="d">
        <v>2024-10-28T00:00:00.000Z</v>
      </c>
      <c r="C72" s="3" t="str">
        <v>Finanças e Saúde - Gabinete do Ministro de Estado e das Finanças e Gabinete da Ministra da Saúde</v>
      </c>
      <c r="D72" s="3" t="str">
        <v>Criação da comissão liquidatária das Administrações Regionais de Saúde, I. P.</v>
      </c>
      <c r="E72" s="3" t="str">
        <v>Related body / governance</v>
      </c>
      <c r="F72" s="3" t="str"/>
      <c r="G72" s="3" t="str">
        <v>https://diariodarepublica.pt/dr/detalhe/despacho/12785-2024-893675950</v>
      </c>
    </row>
    <row r="73" ht="72" customHeight="1">
      <c r="A73" s="3" t="str">
        <v>Resolução do Conselho de Ministros n.º 148/2024, de 29 de outubro</v>
      </c>
      <c r="B73" s="20" t="d">
        <v>2024-10-29T00:00:00.000Z</v>
      </c>
      <c r="C73" s="3" t="str">
        <v>Presidência do Conselho de Ministros</v>
      </c>
      <c r="D73" s="3" t="str">
        <v>Aprova o Plano de Ação Nacional para o Lixo Marinho, para o período de 2024 a 2028 (PALM2028).</v>
      </c>
      <c r="E73" s="3" t="str">
        <v>Other reference / amendment / outcome / excluded lead</v>
      </c>
      <c r="F73" s="3" t="str"/>
      <c r="G73" s="3" t="str">
        <v>https://diariodarepublica.pt/dr/detalhe/resolucao-conselho-ministros/148-2024-893782289</v>
      </c>
    </row>
    <row r="74" ht="72" customHeight="1">
      <c r="A74" s="3" t="str">
        <v>Despacho n.º 12894/2024, de 30 de outubro</v>
      </c>
      <c r="B74" s="20" t="d">
        <v>2024-10-30T00:00:00.000Z</v>
      </c>
      <c r="C74" s="3" t="str">
        <v>Saúde - Gabinete da Secretária de Estado da Saúde</v>
      </c>
      <c r="D74" s="3" t="str">
        <v>Agiliza o acompanhamento psicológico dos profissionais das forças de segurança, no âmbito dos cuidados de saúde primários.</v>
      </c>
      <c r="E74" s="3" t="str">
        <v>Other reference / amendment / outcome / excluded lead</v>
      </c>
      <c r="F74" s="3" t="str"/>
      <c r="G74" s="3" t="str">
        <v>https://diariodarepublica.pt/dr/detalhe/despacho/12894-2024-893862058</v>
      </c>
    </row>
    <row r="75" ht="72" customHeight="1">
      <c r="A75" s="3" t="str">
        <v>Despacho n.º 12964/2024, de 31 de outubro</v>
      </c>
      <c r="B75" s="20" t="d">
        <v>2024-10-31T00:00:00.000Z</v>
      </c>
      <c r="C75" s="3" t="str">
        <v>Saúde - Gabinete da Secretária de Estado da Saúde</v>
      </c>
      <c r="D75" s="3" t="str">
        <v>Determina a criação do grupo de trabalho tendo em vista a análise da legislação nacional em vigor, e da eventual necessidade da sua alteração, no âmbito da aplicação do Regulamento (UE) 2024/1938, do Parlamento Europeu e do Conselho, de 13 de junho de 2024.</v>
      </c>
      <c r="E75" s="3" t="str">
        <v>Confirmed creating act</v>
      </c>
      <c r="F75" s="3" t="str">
        <v>GT-2024-038</v>
      </c>
      <c r="G75" s="3" t="str">
        <v>https://diariodarepublica.pt/dr/detalhe/despacho/12964-2024-894207815</v>
      </c>
    </row>
    <row r="76" ht="72" customHeight="1">
      <c r="A76" s="3" t="str">
        <v>Despacho n.º 13345/2024, de 11 de novembro</v>
      </c>
      <c r="B76" s="20" t="d">
        <v>2024-11-11T00:00:00.000Z</v>
      </c>
      <c r="C76" s="3" t="str">
        <v>Justiça e Saúde - Gabinete da Secretária de Estado Adjunta e da Justiça e Gabinete da Secretária de Estado da Saúde</v>
      </c>
      <c r="D76" s="3" t="str">
        <v>Cria um grupo de trabalho visando a promoção da saúde, a prevenção da doença e o acesso a cuidados de saúde por parte das pessoas privadas da liberdade nos estabelecimentos prisionais, nos estabelecimentos destinados a inimputáveis e nos centros educativos.</v>
      </c>
      <c r="E76" s="3" t="str">
        <v>Confirmed creating act</v>
      </c>
      <c r="F76" s="3" t="str">
        <v>GT-2024-039</v>
      </c>
      <c r="G76" s="3" t="str">
        <v>https://diariodarepublica.pt/dr/detalhe/despacho/13345-2024-896165032</v>
      </c>
    </row>
    <row r="77" ht="72" customHeight="1">
      <c r="A77" s="3" t="str">
        <v>Despacho n.º 13355/2024, de 11 de novembro</v>
      </c>
      <c r="B77" s="20" t="d">
        <v>2024-11-11T00:00:00.000Z</v>
      </c>
      <c r="C77" s="3" t="str">
        <v>Saúde - Gabinete da Secretária de Estado da Gestão da Saúde</v>
      </c>
      <c r="D77" s="3" t="str">
        <v>Constitui um grupo de trabalho destinado à análise e revisão dos índices e indicadores de desempenho das unidades de cuidados de saúde primários.</v>
      </c>
      <c r="E77" s="3" t="str">
        <v>Confirmed creating act</v>
      </c>
      <c r="F77" s="3" t="str">
        <v>GT-2024-040</v>
      </c>
      <c r="G77" s="3" t="str">
        <v>https://diariodarepublica.pt/dr/detalhe/despacho/13355-2024-896165054</v>
      </c>
    </row>
    <row r="78" ht="72" customHeight="1">
      <c r="A78" s="3" t="str">
        <v>Resolução do Conselho de Ministros n.º 162/2024, de 12 de novembro</v>
      </c>
      <c r="B78" s="20" t="d">
        <v>2024-11-12T00:00:00.000Z</v>
      </c>
      <c r="C78" s="3" t="str">
        <v>Presidência do Conselho de Ministros</v>
      </c>
      <c r="D78" s="3" t="str">
        <v>Aprova o Plano de Ação da Estratégia Nacional para as Compras Públicas Ecológicas ― ECO360 (PA ECO360).</v>
      </c>
      <c r="E78" s="3" t="str">
        <v>Other reference / amendment / outcome / excluded lead</v>
      </c>
      <c r="F78" s="3" t="str"/>
      <c r="G78" s="3" t="str">
        <v>https://diariodarepublica.pt/dr/detalhe/resolucao-conselho-ministros/162-2024-896271472</v>
      </c>
    </row>
    <row r="79" ht="72" customHeight="1">
      <c r="A79" s="3" t="str">
        <v>Despacho n.º 13583/2024, de 18 de novembro</v>
      </c>
      <c r="B79" s="20" t="d">
        <v>2024-11-18T00:00:00.000Z</v>
      </c>
      <c r="C79" s="3" t="str">
        <v>Presidência do Conselho de Ministros e Finanças - Gabinete do Ministro de Estado e das Finanças e Gabinete do Ministro da Presidência</v>
      </c>
      <c r="D79" s="3" t="str">
        <v>Cria o Grupo de Trabalho da Gestão de Mudança e Comunicação para a Reforma da Administração Pública.</v>
      </c>
      <c r="E79" s="3" t="str">
        <v>Confirmed creating act</v>
      </c>
      <c r="F79" s="3" t="str">
        <v>GT-2024-041</v>
      </c>
      <c r="G79" s="3" t="str">
        <v>https://diariodarepublica.pt/dr/detalhe/despacho/13583-2024-896828793</v>
      </c>
    </row>
    <row r="80" ht="72" customHeight="1">
      <c r="A80" s="3" t="str">
        <v>Despacho n.º 13786/2024, de 21 de novembro</v>
      </c>
      <c r="B80" s="20" t="d">
        <v>2024-11-21T00:00:00.000Z</v>
      </c>
      <c r="C80" s="3" t="str">
        <v>Justiça - Gabinete da Secretária de Estado da Justiça</v>
      </c>
      <c r="D80" s="3" t="str">
        <v>Constituição de um Grupo de Trabalho para elaboração do Plano Estratégico Nacional para o Campus da Justiça de Lisboa.</v>
      </c>
      <c r="E80" s="3" t="str">
        <v>Confirmed creating act</v>
      </c>
      <c r="F80" s="3" t="str">
        <v>GT-2024-042</v>
      </c>
      <c r="G80" s="3" t="str">
        <v>https://diariodarepublica.pt/dr/detalhe/despacho/13786-2024-897217652</v>
      </c>
    </row>
    <row r="81" ht="72" customHeight="1">
      <c r="A81" s="3" t="str">
        <v>Despacho n.º 13890/2024, de 25 de novembro</v>
      </c>
      <c r="B81" s="20" t="d">
        <v>2024-11-25T00:00:00.000Z</v>
      </c>
      <c r="C81" s="3" t="str">
        <v>Justiça e Trabalho, Solidariedade e Segurança Social - Gabinete da Secretária de Estado Adjunta e da Justiça, Gabinete do Secretário de Estado do Trabalho e Gabinete do Secretário de Estado da Segurança Social</v>
      </c>
      <c r="D81" s="3" t="str">
        <v>Cria um grupo de trabalho para a elaboração de diploma que regule a relação jurídica especial de trabalho de reclusos em unidades produtivas.</v>
      </c>
      <c r="E81" s="3" t="str">
        <v>Confirmed creating act</v>
      </c>
      <c r="F81" s="3" t="str">
        <v>GT-2024-043</v>
      </c>
      <c r="G81" s="3" t="str">
        <v>https://diariodarepublica.pt/dr/detalhe/despacho/13890-2024-897660800</v>
      </c>
    </row>
    <row r="82" ht="72" customHeight="1">
      <c r="A82" s="3" t="str">
        <v>Despacho n.º 13946/2024, de 26 de novembro</v>
      </c>
      <c r="B82" s="20" t="d">
        <v>2024-11-26T00:00:00.000Z</v>
      </c>
      <c r="C82" s="3" t="str">
        <v>Justiça - Gabinete da Secretária de Estado da Justiça</v>
      </c>
      <c r="D82" s="3" t="str">
        <v>Constituição de um grupo de trabalho com o objetivo de relançar a discussão sobre os ­desafios e oportunidades dos meios de resolução alternativa de litígios (RAL).</v>
      </c>
      <c r="E82" s="3" t="str">
        <v>Confirmed creating act</v>
      </c>
      <c r="F82" s="3" t="str">
        <v>GT-2024-044</v>
      </c>
      <c r="G82" s="3" t="str">
        <v>https://diariodarepublica.pt/dr/detalhe/despacho/13946-2024-897796652</v>
      </c>
    </row>
    <row r="83" ht="72" customHeight="1">
      <c r="A83" s="3" t="str">
        <v>Despacho n.º 14013-A/2024, de 26 de novembro</v>
      </c>
      <c r="B83" s="20" t="d">
        <v>2024-11-26T00:00:00.000Z</v>
      </c>
      <c r="C83" s="3" t="str">
        <v>Presidência do Conselho de Ministros e Ambiente e Energia - Gabinete do Ministro Adjunto e da Coesão Territorial, Gabinete do Secretário de Estado do Ambiente e Gabinete da Secretária de Estado da Energia</v>
      </c>
      <c r="D83" s="3" t="str">
        <v>Cria um grupo de trabalho com a missão de desenvolver o Plano de Emergência de Aterros e a estratégia a médio prazo no que diz respeito à gestão dos resíduos urbanos e não urbanos.</v>
      </c>
      <c r="E83" s="3" t="str">
        <v>Confirmed creating act</v>
      </c>
      <c r="F83" s="3" t="str">
        <v>GT-2024-045</v>
      </c>
      <c r="G83" s="3" t="str">
        <v>https://diariodarepublica.pt/dr/detalhe/despacho/14013-a-2024-897796612</v>
      </c>
    </row>
    <row r="84" ht="72" customHeight="1">
      <c r="A84" s="3" t="str">
        <v>Portaria n.º 305/2024/1, de 27 de novembro</v>
      </c>
      <c r="B84" s="20" t="d">
        <v>2024-11-27T00:00:00.000Z</v>
      </c>
      <c r="C84" s="3" t="str">
        <v>Saúde</v>
      </c>
      <c r="D84" s="3" t="str">
        <v>Aprova um plano estratégico de melhoria do acesso de curto prazo de resolução das listas de espera cirúrgicas fora dos tempos máximos de resposta garantidos (TMRG), estipulando um regime excecional, em concreto, à recuperação da atividade assistencial cirúrgica, com recurso aos setores social e privado, estando esgotada a capacidade de resposta nas unidades de saúde hospitalares públicas.</v>
      </c>
      <c r="E84" s="3" t="str">
        <v>Other reference / amendment / outcome / excluded lead</v>
      </c>
      <c r="F84" s="3" t="str"/>
      <c r="G84" s="3" t="str">
        <v>https://diariodarepublica.pt/dr/detalhe/portaria/305-2024-897994597</v>
      </c>
    </row>
    <row r="85" ht="72" customHeight="1">
      <c r="A85" s="3" t="str">
        <v>Decreto-Lei n.º 96/2024, de 28 de novembro</v>
      </c>
      <c r="B85" s="20" t="d">
        <v>2024-11-28T00:00:00.000Z</v>
      </c>
      <c r="C85" s="3" t="str">
        <v>Presidência do Conselho de Ministros</v>
      </c>
      <c r="D85" s="3" t="str">
        <v>Procede à extinção, por fusão, da Secretaria-Geral da Presidência do Conselho de Ministros.</v>
      </c>
      <c r="E85" s="3" t="str">
        <v>Other reference / amendment / outcome / excluded lead</v>
      </c>
      <c r="F85" s="3" t="str"/>
      <c r="G85" s="3" t="str">
        <v>https://diariodarepublica.pt/dr/detalhe/decreto-lei/96-2024-898201693</v>
      </c>
    </row>
    <row r="86" ht="72" customHeight="1">
      <c r="A86" s="3" t="str">
        <v>Despacho n.º 14188/2024, de 29 de novembro</v>
      </c>
      <c r="B86" s="20" t="d">
        <v>2024-11-29T00:00:00.000Z</v>
      </c>
      <c r="C86" s="3" t="str">
        <v>Saúde - Gabinete da Secretária de Estado da Saúde</v>
      </c>
      <c r="D86" s="3" t="str">
        <v>Procede à nomeação dos membros da área da saúde do Grupo de Trabalho Interministerial criado pelo Despacho n.º 10294-C/2024, de 30 de agosto.</v>
      </c>
      <c r="E86" s="3" t="str">
        <v>Other reference / amendment / outcome / excluded lead</v>
      </c>
      <c r="F86" s="3" t="str"/>
      <c r="G86" s="3" t="str">
        <v>https://diariodarepublica.pt/dr/detalhe/despacho/14188-2024-898378179</v>
      </c>
    </row>
    <row r="87" ht="72" customHeight="1">
      <c r="A87" s="3" t="str">
        <v>Despacho n.º 14236/2024, de 2 de dezembro</v>
      </c>
      <c r="B87" s="20" t="d">
        <v>2024-12-02T00:00:00.000Z</v>
      </c>
      <c r="C87" s="3" t="str">
        <v>Saúde - Gabinete da Secretária de Estado da Gestão da Saúde</v>
      </c>
      <c r="D87" s="3" t="str">
        <v>Altera a composição do grupo de trabalho destinado à análise e revisão dos índices e indicadores de desempenho das unidades de cuidados de saúde primários.</v>
      </c>
      <c r="E87" s="3" t="str">
        <v>Other reference / amendment / outcome / excluded lead</v>
      </c>
      <c r="F87" s="3" t="str"/>
      <c r="G87" s="3" t="str">
        <v>https://diariodarepublica.pt/dr/detalhe/despacho/14236-2024-898377838</v>
      </c>
    </row>
    <row r="88" ht="72" customHeight="1">
      <c r="A88" s="3" t="str">
        <v>Decreto-Lei n.º 99/2024, de 3 de dezembro</v>
      </c>
      <c r="B88" s="20" t="d">
        <v>2024-12-03T00:00:00.000Z</v>
      </c>
      <c r="C88" s="3" t="str">
        <v>Presidência do Conselho de Ministros</v>
      </c>
      <c r="D88" s="3" t="str">
        <v>Altera o quadro regulatório aplicável às energias renováveis.</v>
      </c>
      <c r="E88" s="3" t="str">
        <v>Other reference / amendment / outcome / excluded lead</v>
      </c>
      <c r="F88" s="3" t="str"/>
      <c r="G88" s="3" t="str">
        <v>https://diariodarepublica.pt/dr/detalhe/decreto-lei/99-2024-898705893</v>
      </c>
    </row>
    <row r="89" ht="72" customHeight="1">
      <c r="A89" s="3" t="str">
        <v>Despacho n.º 14284/2024, de 3 de dezembro</v>
      </c>
      <c r="B89" s="20" t="d">
        <v>2024-12-03T00:00:00.000Z</v>
      </c>
      <c r="C89" s="3" t="str">
        <v>Presidência do Conselho de Ministros, Negócios Estrangeiros e Justiça - Gabinete do Secretário de Estado das Comunidades Portuguesas, Gabinete do Secretário de Estado da Presidência do Conselho de Ministros e Gabinete da Secretária de Estado da Justiça</v>
      </c>
      <c r="D89" s="3" t="str">
        <v>Cria Grupo de Trabalho para a coordenação do processo de desenvolvimento do novo modelo de passaporte português.</v>
      </c>
      <c r="E89" s="3" t="str">
        <v>Confirmed creating act</v>
      </c>
      <c r="F89" s="3" t="str">
        <v>GT-2024-046</v>
      </c>
      <c r="G89" s="3" t="str">
        <v>https://diariodarepublica.pt/dr/detalhe/despacho/14284-2024-898695314</v>
      </c>
    </row>
    <row r="90" ht="72" customHeight="1">
      <c r="A90" s="3" t="str">
        <v>Despacho n.º 14622/2024, de 11 de dezembro</v>
      </c>
      <c r="B90" s="20" t="d">
        <v>2024-12-11T00:00:00.000Z</v>
      </c>
      <c r="C90" s="3" t="str">
        <v>Finanças - Gabinete do Secretário de Estado do Tesouro e das Finanças</v>
      </c>
      <c r="D90" s="3" t="str">
        <v>Determina a criação do grupo de trabalho para proceder ao levantamento das empresas do setor empresarial do Estado consideradas estratégicas.</v>
      </c>
      <c r="E90" s="3" t="str">
        <v>Confirmed creating act</v>
      </c>
      <c r="F90" s="3" t="str">
        <v>GT-2024-047</v>
      </c>
      <c r="G90" s="3" t="str">
        <v>https://diariodarepublica.pt/dr/detalhe/despacho/14622-2024-899721530</v>
      </c>
    </row>
    <row r="91" ht="72" customHeight="1">
      <c r="A91" s="3" t="str">
        <v>Despacho n.º 14632/2024, de 11 de dezembro</v>
      </c>
      <c r="B91" s="20" t="d">
        <v>2024-12-11T00:00:00.000Z</v>
      </c>
      <c r="C91" s="3" t="str">
        <v>Justiça - Gabinete da Ministra da Justiça</v>
      </c>
      <c r="D91" s="3" t="str">
        <v>Designa os representantes do Ministério da Justiça nos grupos de trabalho para criação, implementação e monitorização do programa estruturado de saúde mental e de prevenção do suicídio para as forças e serviços de segurança.</v>
      </c>
      <c r="E91" s="3" t="str">
        <v>Other reference / amendment / outcome / excluded lead</v>
      </c>
      <c r="F91" s="3" t="str"/>
      <c r="G91" s="3" t="str">
        <v>https://diariodarepublica.pt/dr/detalhe/despacho/14632-2024-899721544</v>
      </c>
    </row>
    <row r="92" ht="72" customHeight="1">
      <c r="A92" s="3" t="str">
        <v>Resolução do Conselho de Ministros n.º 184/2024, de 12 de dezembro</v>
      </c>
      <c r="B92" s="20" t="d">
        <v>2024-12-12T00:00:00.000Z</v>
      </c>
      <c r="C92" s="3" t="str">
        <v>Presidência do Conselho de Ministros</v>
      </c>
      <c r="D92" s="3" t="str">
        <v>Aprova modificações ao modelo geral da participação de Portugal na Expo 2025 Osaka Kansai.</v>
      </c>
      <c r="E92" s="3" t="str">
        <v>Other reference / amendment / outcome / excluded lead</v>
      </c>
      <c r="F92" s="3" t="str"/>
      <c r="G92" s="3" t="str">
        <v>https://diariodarepublica.pt/dr/detalhe/resolucao-conselho-ministros/184-2024-899909683</v>
      </c>
    </row>
    <row r="93" ht="72" customHeight="1">
      <c r="A93" s="3" t="str">
        <v>Despacho n.º 14758/2024, de 13 de dezembro</v>
      </c>
      <c r="B93" s="20" t="d">
        <v>2024-12-13T00:00:00.000Z</v>
      </c>
      <c r="C93" s="3" t="str">
        <v>Finanças, Administração Interna e Trabalho, Solidariedade e Segurança Social - Gabinete do Ministro de Estado e das Finanças, Gabinete da Ministra da Administração Interna e Gabinete da Ministra do Trabalho, Solidariedade e Segurança Social</v>
      </c>
      <c r="D93" s="3" t="str">
        <v>Constituição de um grupo de trabalho com a missão de elaborar uma proposta relativa à carreira dos bombeiros integrados de forma profissional nos quadros de pessoal dos corpos de bombeiros das associações humanitárias de bombeiros, aos benefícios e às regalias dos bombeiros integrados de forma voluntária nestas entidades e à sua formação.</v>
      </c>
      <c r="E93" s="3" t="str">
        <v>Confirmed creating act</v>
      </c>
      <c r="F93" s="3" t="str">
        <v>GT-2024-048</v>
      </c>
      <c r="G93" s="3" t="str">
        <v>https://diariodarepublica.pt/dr/detalhe/despacho/14758-2024-899911211</v>
      </c>
    </row>
    <row r="94" ht="72" customHeight="1">
      <c r="A94" s="3" t="str">
        <v>Despacho n.º 14926/2024, de 18 de dezembro</v>
      </c>
      <c r="B94" s="20" t="d">
        <v>2024-12-18T00:00:00.000Z</v>
      </c>
      <c r="C94" s="3" t="str">
        <v>Justiça e Trabalho, Solidariedade e Segurança Social - Gabinete da Secretária de Estado Adjunta e da Justiça e Gabinete da Secretária de Estado da Ação Social e da Inclusão</v>
      </c>
      <c r="D94" s="3" t="str">
        <v>Constituição de um grupo de trabalho para proceder à avaliação do funcionamento das comissões de proteção de crianças e jovens (CPCJ) e avaliação do regime jurídico do processo de adoção, do processo do apadrinhamento civil e do acolhimento familiar.</v>
      </c>
      <c r="E94" s="3" t="str">
        <v>Confirmed creating act</v>
      </c>
      <c r="F94" s="3" t="str">
        <v>GT-2024-049</v>
      </c>
      <c r="G94" s="3" t="str">
        <v>https://diariodarepublica.pt/dr/detalhe/despacho/14926-2024-900549494</v>
      </c>
    </row>
    <row r="95" ht="72" customHeight="1">
      <c r="A95" s="3" t="str">
        <v>Despacho n.º 15073/2024, de 23 de dezembro</v>
      </c>
      <c r="B95" s="20" t="d">
        <v>2024-12-23T00:00:00.000Z</v>
      </c>
      <c r="C95" s="3" t="str">
        <v>Juventude e Modernização - Gabinete da Ministra da Juventude e Modernização</v>
      </c>
      <c r="D95" s="3" t="str">
        <v>Constituição do Grupo de Trabalho para elaboração da Agenda Nacional da Juventude.</v>
      </c>
      <c r="E95" s="3" t="str">
        <v>Confirmed creating act</v>
      </c>
      <c r="F95" s="3" t="str">
        <v>GT-2024-050</v>
      </c>
      <c r="G95" s="3" t="str">
        <v>https://diariodarepublica.pt/dr/detalhe/despacho/15073-2024-901014350</v>
      </c>
    </row>
    <row r="96" ht="72" customHeight="1">
      <c r="A96" s="3" t="str">
        <v>Resolução do Conselho de Ministros n.º 194/2024, de 24 de dezembro</v>
      </c>
      <c r="B96" s="20" t="d">
        <v>2024-12-24T00:00:00.000Z</v>
      </c>
      <c r="C96" s="3" t="str">
        <v>Presidência do Conselho de Ministros</v>
      </c>
      <c r="D96" s="3" t="str">
        <v>Aprova o V Plano de Ação para a Prevenção e o Combate ao Tráfico de Seres Humanos 2025-2027.</v>
      </c>
      <c r="E96" s="3" t="str">
        <v>Other reference / amendment / outcome / excluded lead</v>
      </c>
      <c r="F96" s="3" t="str"/>
      <c r="G96" s="3" t="str">
        <v>https://diariodarepublica.pt/dr/detalhe/resolucao-conselho-ministros/194-2024-901147126</v>
      </c>
    </row>
    <row r="97" ht="72" customHeight="1">
      <c r="A97" s="3" t="str">
        <v>Decreto-Lei n.º 115/2024, de 27 de dezembro</v>
      </c>
      <c r="B97" s="20" t="d">
        <v>2024-12-27T00:00:00.000Z</v>
      </c>
      <c r="C97" s="3" t="str">
        <v>Presidência do Conselho de Ministros</v>
      </c>
      <c r="D97" s="3" t="str">
        <v>Altera o limite de idade para o exercício de funções operacionais pelos controladores do tráfego aéreo e as condições de acesso à pensão antecipada de velhice dos controladores do tráfego aéreo beneficiários da segurança social.</v>
      </c>
      <c r="E97" s="3" t="str">
        <v>Other reference / amendment / outcome / excluded lead</v>
      </c>
      <c r="F97" s="3" t="str"/>
      <c r="G97" s="3" t="str">
        <v>https://diariodarepublica.pt/dr/detalhe/decreto-lei/115-2024-901400366</v>
      </c>
    </row>
    <row r="98" ht="72" customHeight="1">
      <c r="A98" s="3" t="str">
        <v>Resolução do Conselho de Ministros n.º 207/2024, de 30 de dezembro</v>
      </c>
      <c r="B98" s="20" t="d">
        <v>2024-12-30T00:00:00.000Z</v>
      </c>
      <c r="C98" s="3" t="str">
        <v>Presidência do Conselho de Ministros</v>
      </c>
      <c r="D98" s="3" t="str">
        <v>Aprova a Estratégia Digital Nacional e o respetivo modelo de governação.</v>
      </c>
      <c r="E98" s="3" t="str">
        <v>Confirmed creating act</v>
      </c>
      <c r="F98" s="3" t="str">
        <v>GT-2024-051</v>
      </c>
      <c r="G98" s="3" t="str">
        <v>https://diariodarepublica.pt/dr/detalhe/resolucao-conselho-ministros/207-2024-901536081</v>
      </c>
    </row>
    <row r="99" ht="72" customHeight="1">
      <c r="A99" s="3" t="str">
        <v>Resolução do Conselho de Ministros n.º 208/2024, de 30 de dezembro</v>
      </c>
      <c r="B99" s="20" t="d">
        <v>2024-12-30T00:00:00.000Z</v>
      </c>
      <c r="C99" s="3" t="str">
        <v>Presidência do Conselho de Ministros</v>
      </c>
      <c r="D99" s="3" t="str">
        <v>Aprova a Nova Estratégia Nacional para a Integração das Pessoas em Situação de Sem-Abrigo 2025-2030 e o respetivo Plano de Ação para os anos de 2025-2026.</v>
      </c>
      <c r="E99" s="3" t="str">
        <v>Other reference / amendment / outcome / excluded lead</v>
      </c>
      <c r="F99" s="3" t="str"/>
      <c r="G99" s="3" t="str">
        <v>https://diariodarepublica.pt/dr/detalhe/resolucao-conselho-ministros/208-2024-901536082</v>
      </c>
    </row>
    <row r="100" ht="72" customHeight="1">
      <c r="A100" s="3" t="str">
        <v>Decreto-Lei n.º 122/2024, de 31 de dezembro</v>
      </c>
      <c r="B100" s="20" t="d">
        <v>2024-12-31T00:00:00.000Z</v>
      </c>
      <c r="C100" s="3" t="str">
        <v>Presidência do Conselho de Ministros</v>
      </c>
      <c r="D100" s="3" t="str">
        <v>Cria a Agência para o Clima, I. P.</v>
      </c>
      <c r="E100" s="3" t="str">
        <v>Other reference / amendment / outcome / excluded lead</v>
      </c>
      <c r="F100" s="3" t="str"/>
      <c r="G100" s="3" t="str">
        <v>https://diariodarepublica.pt/dr/detalhe/decreto-lei/122-2024-901661921</v>
      </c>
    </row>
    <row r="101" ht="72" customHeight="1">
      <c r="A101" s="3" t="str">
        <v>Despacho n.º 35/2025, de 2 de janeiro</v>
      </c>
      <c r="B101" s="20" t="d">
        <v>2025-01-02T00:00:00.000Z</v>
      </c>
      <c r="C101" s="3" t="str">
        <v>Justiça - Gabinete da Secretária de Estado da Justiça</v>
      </c>
      <c r="D101" s="3" t="str">
        <v>Altera o Despacho n.º 13786/2024, publicado no Diário da República, 2.ª série, de 21 de novembro de 2024, que constitui o Grupo de Trabalho para elaboração do Plano Estratégico Nacional para o Campus da Justiça de Lisboa.</v>
      </c>
      <c r="E101" s="3" t="str">
        <v>Working-group amendment / lifecycle</v>
      </c>
      <c r="F101" s="3" t="str"/>
      <c r="G101" s="3" t="str">
        <v>https://diariodarepublica.pt/dr/detalhe/despacho/35-2025-901693477</v>
      </c>
    </row>
    <row r="102" ht="72" customHeight="1">
      <c r="A102" s="3" t="str">
        <v>Despacho n.º 382/2025, de 8 de janeiro</v>
      </c>
      <c r="B102" s="20" t="d">
        <v>2025-01-08T00:00:00.000Z</v>
      </c>
      <c r="C102" s="3" t="str">
        <v>Ambiente e Energia - Gabinete da Secretária de Estado da Energia</v>
      </c>
      <c r="D102" s="3" t="str">
        <v>Constituição do Grupo de Trabalho para a transposição da Diretiva (UE) 2023/1791 do Parlamento Europeu e do Conselho, de 13 de setembro de 2023, relativa à eficiência energética e que altera o Regulamento (UE) 2023/955.</v>
      </c>
      <c r="E102" s="3" t="str">
        <v>Confirmed creating act</v>
      </c>
      <c r="F102" s="3" t="str">
        <v>GT-2025-001</v>
      </c>
      <c r="G102" s="3" t="str">
        <v>https://diariodarepublica.pt/dr/detalhe/despacho/382-2025-902718273</v>
      </c>
    </row>
    <row r="103" ht="72" customHeight="1">
      <c r="A103" s="3" t="str">
        <v>Despacho n.º 507/2025, de 10 de janeiro</v>
      </c>
      <c r="B103" s="20" t="d">
        <v>2025-01-10T00:00:00.000Z</v>
      </c>
      <c r="C103" s="3" t="str">
        <v>Finanças - Gabinete do Ministro de Estado e das Finanças</v>
      </c>
      <c r="D103" s="3" t="str">
        <v>Determina a criação do grupo de trabalho para definir os termos e condições para a aplicação do método do custo adicionado do terreno previsto no n.º 2 do artigo 46.º do Código do Imposto Municipal sobre Imóveis, designadamente às barragens e aos centros eletroprodutores.</v>
      </c>
      <c r="E103" s="3" t="str">
        <v>Confirmed creating act</v>
      </c>
      <c r="F103" s="3" t="str">
        <v>GT-2025-002</v>
      </c>
      <c r="G103" s="3" t="str">
        <v>https://diariodarepublica.pt/dr/detalhe/despacho/507-2025-902932710</v>
      </c>
    </row>
    <row r="104" ht="72" customHeight="1">
      <c r="A104" s="3" t="str">
        <v>Portaria n.º 12/2025/1, de 15 de janeiro</v>
      </c>
      <c r="B104" s="20" t="d">
        <v>2025-01-15T00:00:00.000Z</v>
      </c>
      <c r="C104" s="3" t="str">
        <v>Saúde</v>
      </c>
      <c r="D104" s="3" t="str">
        <v>Procede à primeira alteração à Portaria n.º 305/2024/1, de 27 de novembro, a qual aprova um plano estratégico de melhoria do acesso de curto prazo de resolução das listas de espera cirúrgicas fora dos tempos máximos de resposta garantidos (TMRG).</v>
      </c>
      <c r="E104" s="3" t="str">
        <v>Other reference / amendment / outcome / excluded lead</v>
      </c>
      <c r="F104" s="3" t="str"/>
      <c r="G104" s="3" t="str">
        <v>https://diariodarepublica.pt/dr/detalhe/portaria/12-2025-903619168</v>
      </c>
    </row>
    <row r="105" ht="72" customHeight="1">
      <c r="A105" s="3" t="str">
        <v>Despacho n.º 883/2025, de 21 de janeiro</v>
      </c>
      <c r="B105" s="20" t="d">
        <v>2025-01-21T00:00:00.000Z</v>
      </c>
      <c r="C105" s="3" t="str">
        <v>Presidência do Conselho de Ministros - Gabinete do Primeiro-Ministro</v>
      </c>
      <c r="D105" s="3" t="str">
        <v>Prorroga por seis meses o mandato da Task Force para a Avaliação Schengen.</v>
      </c>
      <c r="E105" s="3" t="str">
        <v>Other reference / amendment / outcome / excluded lead</v>
      </c>
      <c r="F105" s="3" t="str"/>
      <c r="G105" s="3" t="str">
        <v>https://diariodarepublica.pt/dr/detalhe/despacho/883-2025-904347064</v>
      </c>
    </row>
    <row r="106" ht="72" customHeight="1">
      <c r="A106" s="3" t="str">
        <v>Portaria n.º 18/2025/1, de 21 de janeiro</v>
      </c>
      <c r="B106" s="20" t="d">
        <v>2025-01-21T00:00:00.000Z</v>
      </c>
      <c r="C106" s="3" t="str">
        <v>Saúde</v>
      </c>
      <c r="D106" s="3" t="str">
        <v>Cria o regime excecional de comparticipação de dispositivos médicos de perfusão subcutânea contínua de insulina (PSCI), bem como dos sistemas de monitorização contínua da glicose intersticial (CGM) para utilização integrada com PSCI e respetivos consumíveis, que possam ser utilizados no âmbito do Programa Nacional para a Diabetes.</v>
      </c>
      <c r="E106" s="3" t="str">
        <v>Other reference / amendment / outcome / excluded lead</v>
      </c>
      <c r="F106" s="3" t="str"/>
      <c r="G106" s="3" t="str">
        <v>https://diariodarepublica.pt/dr/detalhe/portaria/18-2025-904130040</v>
      </c>
    </row>
    <row r="107" ht="72" customHeight="1">
      <c r="A107" s="3" t="str">
        <v>Resolução do Conselho de Ministros n.º 2/2025, de 21 de janeiro</v>
      </c>
      <c r="B107" s="20" t="d">
        <v>2025-01-21T00:00:00.000Z</v>
      </c>
      <c r="C107" s="3" t="str">
        <v>Presidência do Conselho de Ministros</v>
      </c>
      <c r="D107" s="3" t="str">
        <v>Prorroga, por um ano, o mandato como membros do conselho de curadores da Agência de Avaliação e Acreditação do Ensino Superior.</v>
      </c>
      <c r="E107" s="3" t="str">
        <v>Other reference / amendment / outcome / excluded lead</v>
      </c>
      <c r="F107" s="3" t="str"/>
      <c r="G107" s="3" t="str">
        <v>https://diariodarepublica.pt/dr/detalhe/resolucao-conselho-ministros/2-2025-904130033</v>
      </c>
    </row>
    <row r="108" ht="72" customHeight="1">
      <c r="A108" s="3" t="str">
        <v>Despacho n.º 986/2025, de 22 de janeiro</v>
      </c>
      <c r="B108" s="20" t="d">
        <v>2025-01-22T00:00:00.000Z</v>
      </c>
      <c r="C108" s="3" t="str">
        <v>Saúde - Gabinete da Secretária de Estado da Gestão da Saúde</v>
      </c>
      <c r="D108" s="3" t="str">
        <v>Cria o Grupo de Trabalho de Redução do Desperdício no Serviço Nacional de Saúde.</v>
      </c>
      <c r="E108" s="3" t="str">
        <v>Confirmed creating act</v>
      </c>
      <c r="F108" s="3" t="str">
        <v>GT-2025-003</v>
      </c>
      <c r="G108" s="3" t="str">
        <v>https://diariodarepublica.pt/dr/detalhe/despacho/986-2025-904227444</v>
      </c>
    </row>
    <row r="109" ht="72" customHeight="1">
      <c r="A109" s="3" t="str">
        <v>Despacho n.º 1116/2025, de 24 de janeiro</v>
      </c>
      <c r="B109" s="20" t="d">
        <v>2025-01-24T00:00:00.000Z</v>
      </c>
      <c r="C109" s="3" t="str">
        <v>Finanças e Infraestruturas e Habitação - Gabinete da Secretária de Estado dos Assuntos Fiscais e Gabinete do Secretário de Estado das Infraestruturas</v>
      </c>
      <c r="D109" s="3" t="str">
        <v>Cria um grupo de trabalho para a otimização logística e aduaneira dos portos de Lisboa e de Setúbal.</v>
      </c>
      <c r="E109" s="3" t="str">
        <v>Confirmed creating act</v>
      </c>
      <c r="F109" s="3" t="str">
        <v>GT-2025-004</v>
      </c>
      <c r="G109" s="3" t="str">
        <v>https://diariodarepublica.pt/dr/detalhe/despacho/1116-2025-904738434</v>
      </c>
    </row>
    <row r="110" ht="72" customHeight="1">
      <c r="A110" s="3" t="str">
        <v>Portaria n.º 65/2025/2, de 29 de janeiro</v>
      </c>
      <c r="B110" s="20" t="d">
        <v>2025-01-29T00:00:00.000Z</v>
      </c>
      <c r="C110" s="3" t="str">
        <v>Saúde - Gabinete da Secretária de Estado da Gestão da Saúde</v>
      </c>
      <c r="D110" s="3" t="str">
        <v>Altera o n.º 2 da Portaria n.º 215/2024, publicada no Diário da República, 2.ª série, n.º 31, de 13 de fevereiro de 2024.</v>
      </c>
      <c r="E110" s="3" t="str">
        <v>Other reference / amendment / outcome / excluded lead</v>
      </c>
      <c r="F110" s="3" t="str"/>
      <c r="G110" s="3" t="str">
        <v>https://diariodarepublica.pt/dr/detalhe/portaria/65-2025-905291928</v>
      </c>
    </row>
    <row r="111" ht="72" customHeight="1">
      <c r="A111" s="3" t="str">
        <v>Despacho n.º 1391/2025, de 30 de janeiro</v>
      </c>
      <c r="B111" s="20" t="d">
        <v>2025-01-30T00:00:00.000Z</v>
      </c>
      <c r="C111" s="3" t="str">
        <v>Trabalho, Solidariedade e Segurança Social - Gabinete do Secretário de Estado do Trabalho</v>
      </c>
      <c r="D111" s="3" t="str">
        <v>Criação do grupo de trabalho para elaboração de proposta de Reforma da Formação Profissional.</v>
      </c>
      <c r="E111" s="3" t="str">
        <v>Confirmed creating act</v>
      </c>
      <c r="F111" s="3" t="str">
        <v>GT-2025-005</v>
      </c>
      <c r="G111" s="3" t="str">
        <v>https://diariodarepublica.pt/dr/detalhe/despacho/1391-2025-905459892</v>
      </c>
    </row>
    <row r="112" ht="72" customHeight="1">
      <c r="A112" s="3" t="str">
        <v>Despacho n.º 1452/2025, de 31 de janeiro</v>
      </c>
      <c r="B112" s="20" t="d">
        <v>2025-01-31T00:00:00.000Z</v>
      </c>
      <c r="C112" s="3" t="str">
        <v>Trabalho, Solidariedade e Segurança Social - Gabinete da Ministra do Trabalho, Solidariedade e Segurança Social</v>
      </c>
      <c r="D112" s="3" t="str">
        <v>Cria grupo de trabalho para propor medidas tendentes à reforma da Segurança Social ― objetivo do grupo de trabalho ― definição de estratégias sustentáveis e medidas concretas para garantir o futuro do sistema de Segurança Social em Portugal.</v>
      </c>
      <c r="E112" s="3" t="str">
        <v>Confirmed creating act</v>
      </c>
      <c r="F112" s="3" t="str">
        <v>GT-2025-006</v>
      </c>
      <c r="G112" s="3" t="str">
        <v>https://diariodarepublica.pt/dr/detalhe/despacho/1452-2025-905659876</v>
      </c>
    </row>
    <row r="113" ht="72" customHeight="1">
      <c r="A113" s="3" t="str">
        <v>Despacho n.º 1498/2025, de 3 de fevereiro</v>
      </c>
      <c r="B113" s="20" t="d">
        <v>2025-02-03T00:00:00.000Z</v>
      </c>
      <c r="C113" s="3" t="str">
        <v>Defesa Nacional, Infraestruturas e Habitação, Economia, Ambiente e Energia e Agricultura e Pescas - Gabinete da Ministra do Ambiente e Energia, Gabinete do Secretário de Estado Adjunto e da Defesa Nacional, Gabinete do Secretário de Estado das Infraestruturas, Gabinete da Secretária de Estado do Mar, Gabinete do Secretário de Estado da Agricultura e Gabinete da Secretária de Estado das Pescas</v>
      </c>
      <c r="D113" s="3" t="str">
        <v>Constituição de um Grupo de Trabalho (GT) para a elaboração do Plano de Ação para Combate à Acidificação do Oceano (PACAO).</v>
      </c>
      <c r="E113" s="3" t="str">
        <v>Confirmed creating act</v>
      </c>
      <c r="F113" s="3" t="str">
        <v>GT-2025-007</v>
      </c>
      <c r="G113" s="3" t="str">
        <v>https://diariodarepublica.pt/dr/detalhe/despacho/1498-2025-905831257</v>
      </c>
    </row>
    <row r="114" ht="72" customHeight="1">
      <c r="A114" s="3" t="str">
        <v>Despacho n.º 1507/2025, de 3 de fevereiro</v>
      </c>
      <c r="B114" s="20" t="d">
        <v>2025-02-03T00:00:00.000Z</v>
      </c>
      <c r="C114" s="3" t="str">
        <v>Saúde - Gabinete da Ministra da Saúde</v>
      </c>
      <c r="D114" s="3" t="str">
        <v>Aprova a revisão do perfil assistencial, área de influência, dimensionamento e programa funcional do Novo Hospital de Barcelos.</v>
      </c>
      <c r="E114" s="3" t="str">
        <v>Other reference / amendment / outcome / excluded lead</v>
      </c>
      <c r="F114" s="3" t="str"/>
      <c r="G114" s="3" t="str">
        <v>https://diariodarepublica.pt/dr/detalhe/despacho/1507-2025-905831269</v>
      </c>
    </row>
    <row r="115" ht="72" customHeight="1">
      <c r="A115" s="3" t="str">
        <v>Resolução do Conselho de Ministros n.º 18/2025, de 7 de fevereiro</v>
      </c>
      <c r="B115" s="20" t="d">
        <v>2025-02-07T00:00:00.000Z</v>
      </c>
      <c r="C115" s="3" t="str">
        <v>Presidência do Conselho de Ministros</v>
      </c>
      <c r="D115" s="3" t="str">
        <v>Aprova o Programa Nacional de Segurança Operacional e mandata a Autoridade Nacional de Aviação Civil a preparar e gerir o Plano Nacional de Segurança Operacional da Aviação.</v>
      </c>
      <c r="E115" s="3" t="str">
        <v>Other reference / amendment / outcome / excluded lead</v>
      </c>
      <c r="F115" s="3" t="str"/>
      <c r="G115" s="3" t="str">
        <v>https://diariodarepublica.pt/dr/detalhe/resolucao-conselho-ministros/18-2025-906519103</v>
      </c>
    </row>
    <row r="116" ht="72" customHeight="1">
      <c r="A116" s="3" t="str">
        <v>Resolução do Conselho de Ministros n.º 19/2025, de 7 de fevereiro</v>
      </c>
      <c r="B116" s="20" t="d">
        <v>2025-02-07T00:00:00.000Z</v>
      </c>
      <c r="C116" s="3" t="str">
        <v>Presidência do Conselho de Ministros</v>
      </c>
      <c r="D116" s="3" t="str">
        <v>Aprova o Plano de Afetação para as Energias Renováveis Offshore.</v>
      </c>
      <c r="E116" s="3" t="str">
        <v>Other reference / amendment / outcome / excluded lead</v>
      </c>
      <c r="F116" s="3" t="str"/>
      <c r="G116" s="3" t="str">
        <v>https://diariodarepublica.pt/dr/detalhe/resolucao-conselho-ministros/19-2025-906519104</v>
      </c>
    </row>
    <row r="117" ht="72" customHeight="1">
      <c r="A117" s="3" t="str">
        <v>Despacho n.º 1887/2025, de 11 de fevereiro</v>
      </c>
      <c r="B117" s="20" t="d">
        <v>2025-02-11T00:00:00.000Z</v>
      </c>
      <c r="C117" s="3" t="str">
        <v>Presidência do Conselho de Ministros - Centro de Planeamento e de Avaliação de Políticas Públicas</v>
      </c>
      <c r="D117" s="3" t="str">
        <v>Determina a Estrutura e Organização Interna do Centro de Planeamento e de Avaliação de Políticas Públicas (PLANAPP).</v>
      </c>
      <c r="E117" s="3" t="str">
        <v>Other reference / amendment / outcome / excluded lead</v>
      </c>
      <c r="F117" s="3" t="str"/>
      <c r="G117" s="3" t="str">
        <v>https://diariodarepublica.pt/dr/detalhe/despacho/1887-2025-906913040</v>
      </c>
    </row>
    <row r="118" ht="72" customHeight="1">
      <c r="A118" s="3" t="str">
        <v>Despacho n.º 2367/2025, de 20 de fevereiro</v>
      </c>
      <c r="B118" s="20" t="d">
        <v>2025-02-20T00:00:00.000Z</v>
      </c>
      <c r="C118" s="3" t="str">
        <v>Saúde e Trabalho, Solidariedade e Segurança Social - Gabinete da Secretária de Estado da Gestão da Saúde, Gabinete da Secretária de Estado da Ação Social e da Inclusão e Gabinete do Secretário de Estado da Segurança Social</v>
      </c>
      <c r="D118" s="3" t="str">
        <v>Cria o grupo de trabalho que procede à elaboração de proposta de alteração do modelo de funcionamento e financiamento da Rede Nacional de Cuidados Continuados Integrados.</v>
      </c>
      <c r="E118" s="3" t="str">
        <v>Confirmed creating act</v>
      </c>
      <c r="F118" s="3" t="str">
        <v>GT-2025-008</v>
      </c>
      <c r="G118" s="3" t="str">
        <v>https://diariodarepublica.pt/dr/detalhe/despacho/2367-2025-908071163</v>
      </c>
    </row>
    <row r="119" ht="72" customHeight="1">
      <c r="A119" s="3" t="str">
        <v>Despacho n.º 2438/2025, de 21 de fevereiro</v>
      </c>
      <c r="B119" s="20" t="d">
        <v>2025-02-21T00:00:00.000Z</v>
      </c>
      <c r="C119" s="3" t="str">
        <v>Infraestruturas e Habitação, Economia e Ambiente e Energia - Gabinete do Ministro das Infraestruturas e Habitação, Gabinete do Ministro da Economia e Gabinete da Ministra do Ambiente e Energia</v>
      </c>
      <c r="D119" s="3" t="str">
        <v>Determina à Agência Portuguesa do Ambiente, I. P., a avaliação da condição e do estado funcional dos molhes de proteção e das estruturas de captação e restituição de água utilizada na antiga Central Termoelétrica de Sines (CTS), que integram o domínio público hídrico, e incumbe à Águas de Santo André, S. A., a apresentação de uma proposta de revisão do respetivo contrato de concessão enquanto operador único para a gestão integrada do ­fornecimento de água industrial e potável na área da Zona Industrial e Logística de Sines (ZILS).</v>
      </c>
      <c r="E119" s="3" t="str">
        <v>Other reference / amendment / outcome / excluded lead</v>
      </c>
      <c r="F119" s="3" t="str"/>
      <c r="G119" s="3" t="str">
        <v>https://diariodarepublica.pt/dr/detalhe/despacho/2438-2025-908253501</v>
      </c>
    </row>
    <row r="120" ht="72" customHeight="1">
      <c r="A120" s="3" t="str">
        <v>Despacho n.º 2564/2025, de 25 de fevereiro</v>
      </c>
      <c r="B120" s="20" t="d">
        <v>2025-02-25T00:00:00.000Z</v>
      </c>
      <c r="C120" s="3" t="str">
        <v>Justiça - Gabinete da Secretária de Estado da Justiça</v>
      </c>
      <c r="D120" s="3" t="str">
        <v>Criação do Comité para a Eficiência, Inovação e Sustentabilidade (CEIS).</v>
      </c>
      <c r="E120" s="3" t="str">
        <v>Related body / governance</v>
      </c>
      <c r="F120" s="3" t="str"/>
      <c r="G120" s="3" t="str">
        <v>https://diariodarepublica.pt/dr/detalhe/despacho/2564-2025-908703872</v>
      </c>
    </row>
    <row r="121" ht="72" customHeight="1">
      <c r="A121" s="3" t="str">
        <v>Despacho n.º 2701/2025, de 27 de fevereiro</v>
      </c>
      <c r="B121" s="20" t="d">
        <v>2025-02-27T00:00:00.000Z</v>
      </c>
      <c r="C121" s="3" t="str">
        <v>Administração Interna - Gabinete da Ministra da Administração Interna</v>
      </c>
      <c r="D121" s="3" t="str">
        <v>Prorroga, até 30 de junho de 2025, o mandato do grupo de trabalho com a missão de preparar e elaborar uma estratégia pedagógica a adotar pelos estabelecimentos de ensino das forças de segurança, constituído pelo Despacho n.º 11271/2024.</v>
      </c>
      <c r="E121" s="3" t="str">
        <v>Working-group amendment / lifecycle</v>
      </c>
      <c r="F121" s="3" t="str"/>
      <c r="G121" s="3" t="str">
        <v>https://diariodarepublica.pt/dr/detalhe/despacho/2701-2025-909150575</v>
      </c>
    </row>
    <row r="122" ht="72" customHeight="1">
      <c r="A122" s="3" t="str">
        <v>Resolução do Conselho de Ministros n.º 34/2025, de 28 de fevereiro</v>
      </c>
      <c r="B122" s="20" t="d">
        <v>2025-02-28T00:00:00.000Z</v>
      </c>
      <c r="C122" s="3" t="str">
        <v>Presidência do Conselho de Ministros</v>
      </c>
      <c r="D122" s="3" t="str">
        <v>Aprova a Estratégia Única dos Direitos das Crianças e Jovens 2025-2035.</v>
      </c>
      <c r="E122" s="3" t="str">
        <v>Other reference / amendment / outcome / excluded lead</v>
      </c>
      <c r="F122" s="3" t="str"/>
      <c r="G122" s="3" t="str">
        <v>https://diariodarepublica.pt/dr/detalhe/resolucao-conselho-ministros/34-2025-909307237</v>
      </c>
    </row>
    <row r="123" ht="72" customHeight="1">
      <c r="A123" s="3" t="str">
        <v>Despacho n.º 2820/2025, de 3 de março</v>
      </c>
      <c r="B123" s="20" t="d">
        <v>2025-03-03T00:00:00.000Z</v>
      </c>
      <c r="C123" s="3" t="str">
        <v>Presidência do Conselho de Ministros - Gabinete do Secretário de Estado da Presidência do Conselho de Ministros</v>
      </c>
      <c r="D123" s="3" t="str">
        <v>Determina a criação de um grupo de trabalho para a revisão do quadro legal e regulamentar das fundações.</v>
      </c>
      <c r="E123" s="3" t="str">
        <v>Confirmed creating act</v>
      </c>
      <c r="F123" s="3" t="str">
        <v>GT-2025-009</v>
      </c>
      <c r="G123" s="3" t="str">
        <v>https://diariodarepublica.pt/dr/detalhe/despacho/2820-2025-909307266</v>
      </c>
    </row>
    <row r="124" ht="72" customHeight="1">
      <c r="A124" s="3" t="str">
        <v>Portaria n.º 78/2025/1, de 3 de março</v>
      </c>
      <c r="B124" s="20" t="d">
        <v>2025-03-03T00:00:00.000Z</v>
      </c>
      <c r="C124" s="3" t="str">
        <v>Agricultura e Pescas</v>
      </c>
      <c r="D124" s="3" t="str">
        <v>Aprova o plano de gestão para a pesca do polvo (Octopus vulgaris) no Algarve.</v>
      </c>
      <c r="E124" s="3" t="str">
        <v>Other reference / amendment / outcome / excluded lead</v>
      </c>
      <c r="F124" s="3" t="str"/>
      <c r="G124" s="3" t="str">
        <v>https://diariodarepublica.pt/dr/detalhe/portaria/78-2025-909476476</v>
      </c>
    </row>
    <row r="125" ht="72" customHeight="1">
      <c r="A125" s="3" t="str">
        <v>Despacho n.º 2919/2025, de 5 de março</v>
      </c>
      <c r="B125" s="20" t="d">
        <v>2025-03-05T00:00:00.000Z</v>
      </c>
      <c r="C125" s="3" t="str">
        <v>Cultura - Gabinete da Ministra da Cultura</v>
      </c>
      <c r="D125" s="3" t="str">
        <v>Cria o grupo de trabalho para definir a fase de seleção prévia da representação oficial portuguesa na 61.ª Exposição Internacional de Arte ― Bienal de Veneza.</v>
      </c>
      <c r="E125" s="3" t="str">
        <v>Confirmed creating act</v>
      </c>
      <c r="F125" s="3" t="str">
        <v>GT-2025-010</v>
      </c>
      <c r="G125" s="3" t="str">
        <v>https://diariodarepublica.pt/dr/detalhe/despacho/2919-2025-909476563</v>
      </c>
    </row>
    <row r="126" ht="72" customHeight="1">
      <c r="A126" s="3" t="str">
        <v>Despacho n.º 2961/2025, de 6 de março</v>
      </c>
      <c r="B126" s="20" t="d">
        <v>2025-03-06T00:00:00.000Z</v>
      </c>
      <c r="C126" s="3" t="str">
        <v>Trabalho, Solidariedade e Segurança Social - Gabinete da Ministra do Trabalho, Solidariedade e Segurança Social</v>
      </c>
      <c r="D126" s="3" t="str">
        <v>Criação de grupo de trabalho que apoie o Governo na avaliação da legislação laboral em vigor e na elaboração de propostas de alteração ou de medidas em consonância com o programa do Governo e no contexto da concertação social.</v>
      </c>
      <c r="E126" s="3" t="str">
        <v>Confirmed creating act</v>
      </c>
      <c r="F126" s="3" t="str">
        <v>GT-2025-011</v>
      </c>
      <c r="G126" s="3" t="str">
        <v>https://diariodarepublica.pt/dr/detalhe/despacho/2961-2025-909652643</v>
      </c>
    </row>
    <row r="127" ht="72" customHeight="1">
      <c r="A127" s="3" t="str">
        <v>Decreto-Lei n.º 13-A/2025, de 10 de março</v>
      </c>
      <c r="B127" s="20" t="d">
        <v>2025-03-10T00:00:00.000Z</v>
      </c>
      <c r="C127" s="3" t="str">
        <v>Presidência do Conselho de Ministros</v>
      </c>
      <c r="D127" s="3" t="str">
        <v>Estabelece as normas de execução do Orçamento do Estado para 2025.</v>
      </c>
      <c r="E127" s="3" t="str">
        <v>Other reference / amendment / outcome / excluded lead</v>
      </c>
      <c r="F127" s="3" t="str"/>
      <c r="G127" s="3" t="str">
        <v>https://diariodarepublica.pt/dr/detalhe/decreto-lei/13-a-2025-910323298</v>
      </c>
    </row>
    <row r="128" ht="72" customHeight="1">
      <c r="A128" s="3" t="str">
        <v>Despacho n.º 3143/2025, de 11 de março</v>
      </c>
      <c r="B128" s="20" t="d">
        <v>2025-03-11T00:00:00.000Z</v>
      </c>
      <c r="C128" s="3" t="str">
        <v>Saúde - Gabinete da Secretária de Estado da Saúde</v>
      </c>
      <c r="D128" s="3" t="str">
        <v>Cria o grupo de trabalho com a missão de avaliar o modelo de financiamento e monitorização do acesso a medicamentos inovadores, tendo em vista a identificação de desafios e a apresentação de propostas de solução que garantam a equidade no acesso, a sustentabilidade financeira e a melhoria da eficiência do Serviço Nacional de Saúde (SNS).</v>
      </c>
      <c r="E128" s="3" t="str">
        <v>Confirmed creating act</v>
      </c>
      <c r="F128" s="3" t="str">
        <v>GT-2025-012</v>
      </c>
      <c r="G128" s="3" t="str">
        <v>https://diariodarepublica.pt/dr/detalhe/despacho/3143-2025-910331597</v>
      </c>
    </row>
    <row r="129" ht="72" customHeight="1">
      <c r="A129" s="3" t="str">
        <v>Despacho n.º 3182/2025, de 12 de março</v>
      </c>
      <c r="B129" s="20" t="d">
        <v>2025-03-12T00:00:00.000Z</v>
      </c>
      <c r="C129" s="3" t="str">
        <v>Justiça e Trabalho, Solidariedade e Segurança Social - Gabinete da Secretária de Estado Adjunta e da Justiça e Gabinete da Secretária de Estado da Ação Social e da Inclusão</v>
      </c>
      <c r="D129" s="3" t="str">
        <v>Determina a continuidade do grupo de trabalho criado através do Despacho n.º 14926/2024, de 11 de dezembro, publicado no Diário da República, 2.ª série, n.º 245, de 18 de dezembro de 2025.</v>
      </c>
      <c r="E129" s="3" t="str">
        <v>Working-group amendment / lifecycle</v>
      </c>
      <c r="F129" s="3" t="str"/>
      <c r="G129" s="3" t="str">
        <v>https://diariodarepublica.pt/dr/detalhe/despacho/3182-2025-910469452</v>
      </c>
    </row>
    <row r="130" ht="72" customHeight="1">
      <c r="A130" s="3" t="str">
        <v>Despacho n.º 3402/2025, de 17 de março</v>
      </c>
      <c r="B130" s="20" t="d">
        <v>2025-03-17T00:00:00.000Z</v>
      </c>
      <c r="C130" s="3" t="str">
        <v>Cultura - Gabinete da Ministra da Cultura</v>
      </c>
      <c r="D130" s="3" t="str">
        <v>Cria o grupo de trabalho para o reforço do modelo de governação da gestão de riscos no património cultural, definindo estratégias para redução de riscos decorrentes das alterações climáticas e de catástrofes naturais.</v>
      </c>
      <c r="E130" s="3" t="str">
        <v>Confirmed creating act</v>
      </c>
      <c r="F130" s="3" t="str">
        <v>GT-2025-013</v>
      </c>
      <c r="G130" s="3" t="str">
        <v>https://diariodarepublica.pt/dr/detalhe/despacho/3402-2025-911131353</v>
      </c>
    </row>
    <row r="131" ht="72" customHeight="1">
      <c r="A131" s="3" t="str">
        <v>Despacho n.º 3406-A/2025, de 17 de março</v>
      </c>
      <c r="B131" s="20" t="d">
        <v>2025-03-17T00:00:00.000Z</v>
      </c>
      <c r="C131" s="3" t="str">
        <v>Ambiente e Energia - Gabinete da Ministra do Ambiente e Energia</v>
      </c>
      <c r="D131" s="3" t="str">
        <v>Cria um grupo de trabalho com a missão de, numa perspetiva de articulação, harmonização e corresponsabilização, refletir sobre as ilhas barreira.</v>
      </c>
      <c r="E131" s="3" t="str">
        <v>Confirmed creating act</v>
      </c>
      <c r="F131" s="3" t="str">
        <v>GT-2025-014</v>
      </c>
      <c r="G131" s="3" t="str">
        <v>https://diariodarepublica.pt/dr/detalhe/despacho/3406-a-2025-911344585</v>
      </c>
    </row>
    <row r="132" ht="72" customHeight="1">
      <c r="A132" s="3" t="str">
        <v>Despacho n.º 3407/2025, de 18 de março</v>
      </c>
      <c r="B132" s="20" t="d">
        <v>2025-03-18T00:00:00.000Z</v>
      </c>
      <c r="C132" s="3" t="str">
        <v>Presidência do Conselho de Ministros e Finanças - Gabinete do Ministro de Estado e das Finanças e Gabinete do Ministro da Presidência</v>
      </c>
      <c r="D132" s="3" t="str">
        <v>Altera o Despacho n.º 9075-A/2024, que cria o grupo de trabalho com a missão de preparar e executar a reforma orgânica e funcional da Administração Pública.</v>
      </c>
      <c r="E132" s="3" t="str">
        <v>Working-group amendment / lifecycle</v>
      </c>
      <c r="F132" s="3" t="str"/>
      <c r="G132" s="3" t="str">
        <v>https://diariodarepublica.pt/dr/detalhe/despacho/3407-2025-911315599</v>
      </c>
    </row>
    <row r="133" ht="72" customHeight="1">
      <c r="A133" s="3" t="str">
        <v>Portaria n.º 119/2025/1, de 18 de março</v>
      </c>
      <c r="B133" s="20" t="d">
        <v>2025-03-18T00:00:00.000Z</v>
      </c>
      <c r="C133" s="3" t="str">
        <v>Administração Interna, Educação, Ciência e Inovação, Infraestruturas e Habitação e Economia</v>
      </c>
      <c r="D133" s="3" t="str">
        <v>Aprova a criação da Zona Livre Tecnológica «ZLT Aveiro».</v>
      </c>
      <c r="E133" s="3" t="str">
        <v>Other reference / amendment / outcome / excluded lead</v>
      </c>
      <c r="F133" s="3" t="str"/>
      <c r="G133" s="3" t="str">
        <v>https://diariodarepublica.pt/dr/detalhe/portaria/119-2025-911349177</v>
      </c>
    </row>
    <row r="134" ht="72" customHeight="1">
      <c r="A134" s="3" t="str">
        <v>Resolução do Conselho de Ministros n.º 58/2025, de 18 de março</v>
      </c>
      <c r="B134" s="20" t="d">
        <v>2025-03-18T00:00:00.000Z</v>
      </c>
      <c r="C134" s="3" t="str">
        <v>Presidência do Conselho de Ministros</v>
      </c>
      <c r="D134" s="3" t="str">
        <v>Cria o Programa Menos Ruído e mandata a Autoridade Nacional da Aviação Civil a implementar medidas de mitigação do ruído gerado por voos noturnos no Aeroporto Humberto Delgado.</v>
      </c>
      <c r="E134" s="3" t="str">
        <v>Other reference / amendment / outcome / excluded lead</v>
      </c>
      <c r="F134" s="3" t="str"/>
      <c r="G134" s="3" t="str">
        <v>https://diariodarepublica.pt/dr/detalhe/resolucao-conselho-ministros/58-2025-911303067</v>
      </c>
    </row>
    <row r="135" ht="72" customHeight="1">
      <c r="A135" s="3" t="str">
        <v>Despacho n.º 3518/2025, de 20 de março</v>
      </c>
      <c r="B135" s="20" t="d">
        <v>2025-03-20T00:00:00.000Z</v>
      </c>
      <c r="C135" s="3" t="str">
        <v>Saúde - Gabinete da Secretária de Estado da Gestão da Saúde</v>
      </c>
      <c r="D135" s="3" t="str">
        <v>Cria o Grupo de Trabalho para proposta do modelo de governação em alinhamento com as orientações e boas práticas europeias, no âmbito da implementação das medidas para o cumprimento das disposições do Regulamento Europeu do Espaço de Dados em Saúde.</v>
      </c>
      <c r="E135" s="3" t="str">
        <v>Confirmed creating act</v>
      </c>
      <c r="F135" s="3" t="str">
        <v>GT-2025-015</v>
      </c>
      <c r="G135" s="3" t="str">
        <v>https://diariodarepublica.pt/dr/detalhe/despacho/3518-2025-911650069</v>
      </c>
    </row>
    <row r="136" ht="72" customHeight="1">
      <c r="A136" s="3" t="str">
        <v>Despacho n.º 3519/2025, de 20 de março</v>
      </c>
      <c r="B136" s="20" t="d">
        <v>2025-03-20T00:00:00.000Z</v>
      </c>
      <c r="C136" s="3" t="str">
        <v>Trabalho, Solidariedade e Segurança Social - Gabinete da Ministra do Trabalho, Solidariedade e Segurança Social</v>
      </c>
      <c r="D136" s="3" t="str">
        <v>Alteração à composição do grupo de trabalho criado pelo Despacho n.º 1452/2025, de 31 de janeiro.</v>
      </c>
      <c r="E136" s="3" t="str">
        <v>Other reference / amendment / outcome / excluded lead</v>
      </c>
      <c r="F136" s="3" t="str"/>
      <c r="G136" s="3" t="str">
        <v>https://diariodarepublica.pt/dr/detalhe/despacho/3519-2025-911688676</v>
      </c>
    </row>
    <row r="137" ht="72" customHeight="1">
      <c r="A137" s="3" t="str">
        <v>Despacho n.º 3595/2025, de 21 de março</v>
      </c>
      <c r="B137" s="20" t="d">
        <v>2025-03-21T00:00:00.000Z</v>
      </c>
      <c r="C137" s="3" t="str">
        <v>Finanças e Saúde - Gabinete do Ministro de Estado e das Finanças e Gabinete da Ministra da Saúde</v>
      </c>
      <c r="D137" s="3" t="str">
        <v>Altera o n.º 3 do Despacho n.º 8429/2010, de 30 de abril, publicado no Diário da República, 2.ª série, n.º 97, de 19 de maio de 2010, alterado pelo Despacho n.º 10267/2017, de 27 de novembro, publicado no Diário da República, 2.ª série, n.º 228, de 27 de novembro de 2017.</v>
      </c>
      <c r="E137" s="3" t="str">
        <v>Other reference / amendment / outcome / excluded lead</v>
      </c>
      <c r="F137" s="3" t="str"/>
      <c r="G137" s="3" t="str">
        <v>https://diariodarepublica.pt/dr/detalhe/despacho/3595-2025-911816923</v>
      </c>
    </row>
    <row r="138" ht="72" customHeight="1">
      <c r="A138" s="3" t="str">
        <v>Despacho n.º 3622/2025, de 21 de março</v>
      </c>
      <c r="B138" s="20" t="d">
        <v>2025-03-21T00:00:00.000Z</v>
      </c>
      <c r="C138" s="3" t="str">
        <v>Agricultura e Pescas - Gabinete do Ministro da Agricultura e Pescas</v>
      </c>
      <c r="D138" s="3" t="str">
        <v>Primeira alteração ao Despacho n.º 7769/2023, de 27 de julho, que cria o Grupo de Acompanhamento da Intervenção Setorial Apicultura (GAISA).</v>
      </c>
      <c r="E138" s="3" t="str">
        <v>Other reference / amendment / outcome / excluded lead</v>
      </c>
      <c r="F138" s="3" t="str"/>
      <c r="G138" s="3" t="str">
        <v>https://diariodarepublica.pt/dr/detalhe/despacho/3622-2025-911807081</v>
      </c>
    </row>
    <row r="139" ht="72" customHeight="1">
      <c r="A139" s="3" t="str">
        <v>Despacho n.º 3675/2025, de 24 de março</v>
      </c>
      <c r="B139" s="20" t="d">
        <v>2025-03-24T00:00:00.000Z</v>
      </c>
      <c r="C139" s="3" t="str">
        <v>Educação, Ciência e Inovação, Economia e Ambiente e Energia - Gabinete do Ministro da Educação, Ciência e Inovação, Gabinete do Ministro da Economia e Gabinete da Ministra do Ambiente e Energia</v>
      </c>
      <c r="D139" s="3" t="str">
        <v>Constitui um grupo de trabalho para promover a articulação com parceiros científicos espanhóis no sentido da criação do Centro Ibérico de Investigação em Armazenamento de Energia.</v>
      </c>
      <c r="E139" s="3" t="str">
        <v>Confirmed creating act</v>
      </c>
      <c r="F139" s="3" t="str">
        <v>GT-2025-016</v>
      </c>
      <c r="G139" s="3" t="str">
        <v>https://diariodarepublica.pt/dr/detalhe/despacho/3675-2025-911850448</v>
      </c>
    </row>
    <row r="140" ht="72" customHeight="1">
      <c r="A140" s="3" t="str">
        <v>Despacho n.º 3863/2025, de 27 de março</v>
      </c>
      <c r="B140" s="20" t="d">
        <v>2025-03-27T00:00:00.000Z</v>
      </c>
      <c r="C140" s="3" t="str">
        <v>Agricultura e Pescas - Gabinete do Ministro da Agricultura e Pescas</v>
      </c>
      <c r="D140" s="3" t="str">
        <v>Cria o Conselho Consultivo para a promoção da Digitalização da Agricultura (CCDA).</v>
      </c>
      <c r="E140" s="3" t="str">
        <v>Other reference / amendment / outcome / excluded lead</v>
      </c>
      <c r="F140" s="3" t="str"/>
      <c r="G140" s="3" t="str">
        <v>https://diariodarepublica.pt/dr/detalhe/despacho/3863-2025-912690428</v>
      </c>
    </row>
    <row r="141" ht="72" customHeight="1">
      <c r="A141" s="3" t="str">
        <v>Despacho n.º 3918/2025, de 28 de março</v>
      </c>
      <c r="B141" s="20" t="d">
        <v>2025-03-28T00:00:00.000Z</v>
      </c>
      <c r="C141" s="3" t="str">
        <v>Saúde - Gabinete da Ministra da Saúde</v>
      </c>
      <c r="D141" s="3" t="str">
        <v>Cria o grupo de trabalho para a preparação da extinção das plataformas associadas ao sistema de acesso e para a implementação do novo Sistema de Informação Nacional de Acesso a Consulta e Cirurgia (SINACC), e outros sistemas conexos, nos termos do previsto no Plano de Emergência e Transformação da Saúde (PETS).</v>
      </c>
      <c r="E141" s="3" t="str">
        <v>Confirmed creating act</v>
      </c>
      <c r="F141" s="3" t="str">
        <v>GT-2025-017</v>
      </c>
      <c r="G141" s="3" t="str">
        <v>https://diariodarepublica.pt/dr/detalhe/despacho/3918-2025-912846496</v>
      </c>
    </row>
    <row r="142" ht="72" customHeight="1">
      <c r="A142" s="3" t="str">
        <v>Decreto-Lei n.º 61/2025, de 2 de abril</v>
      </c>
      <c r="B142" s="20" t="d">
        <v>2025-04-02T00:00:00.000Z</v>
      </c>
      <c r="C142" s="3" t="str">
        <v>Presidência do Conselho de Ministros</v>
      </c>
      <c r="D142" s="3" t="str">
        <v>Cria a carreira de regime especial de técnico superior especialista em coordenação transversal de administração e políticas públicas, o suplemento remuneratório aos trabalhadores e dirigentes e regula a transição de carreiras especiais.</v>
      </c>
      <c r="E142" s="3" t="str">
        <v>Other reference / amendment / outcome / excluded lead</v>
      </c>
      <c r="F142" s="3" t="str"/>
      <c r="G142" s="3" t="str">
        <v>https://diariodarepublica.pt/dr/detalhe/decreto-lei/61-2025-913224267</v>
      </c>
    </row>
    <row r="143" ht="72" customHeight="1">
      <c r="A143" s="3" t="str">
        <v>Portaria n.º 156/2025/1, de 7 de abril</v>
      </c>
      <c r="B143" s="20" t="d">
        <v>2025-04-07T00:00:00.000Z</v>
      </c>
      <c r="C143" s="3" t="str">
        <v>Finanças, Saúde e Trabalho, Solidariedade e Segurança Social</v>
      </c>
      <c r="D143" s="3" t="str">
        <v>Regula as condições para a criação e implementação do projeto-piloto a nível das Equipas de Cuidados Continuados Integrados (ECCI), em 6 Unidades Locais de Saúde (ULS), durante um período de 9 meses.</v>
      </c>
      <c r="E143" s="3" t="str">
        <v>Other reference / amendment / outcome / excluded lead</v>
      </c>
      <c r="F143" s="3" t="str"/>
      <c r="G143" s="3" t="str">
        <v>https://diariodarepublica.pt/dr/detalhe/portaria/156-2025-913947260</v>
      </c>
    </row>
    <row r="144" ht="72" customHeight="1">
      <c r="A144" s="3" t="str">
        <v>Decreto-Lei n.º 67/2025, de 11 de abril</v>
      </c>
      <c r="B144" s="20" t="d">
        <v>2025-04-11T00:00:00.000Z</v>
      </c>
      <c r="C144" s="3" t="str">
        <v>Presidência do Conselho de Ministros</v>
      </c>
      <c r="D144" s="3" t="str">
        <v>Aprova a orgânica da Direção-Geral de Direito Europeu e Internacional.</v>
      </c>
      <c r="E144" s="3" t="str">
        <v>Other reference / amendment / outcome / excluded lead</v>
      </c>
      <c r="F144" s="3" t="str"/>
      <c r="G144" s="3" t="str">
        <v>https://diariodarepublica.pt/dr/detalhe/decreto-lei/67-2025-914713263</v>
      </c>
    </row>
    <row r="145" ht="72" customHeight="1">
      <c r="A145" s="3" t="str">
        <v>Resolução do Conselho de Ministros n.º 77/2025, de 16 de abril</v>
      </c>
      <c r="B145" s="20" t="d">
        <v>2025-04-16T00:00:00.000Z</v>
      </c>
      <c r="C145" s="3" t="str">
        <v>Presidência do Conselho de Ministros</v>
      </c>
      <c r="D145" s="3" t="str">
        <v>Aprova o Plano Nacional Ferroviário e determina à Infraestruturas de Portugal, S. A., a avaliação de investimentos ferroviários prioritários.</v>
      </c>
      <c r="E145" s="3" t="str">
        <v>Other reference / amendment / outcome / excluded lead</v>
      </c>
      <c r="F145" s="3" t="str"/>
      <c r="G145" s="3" t="str">
        <v>https://diariodarepublica.pt/dr/detalhe/resolucao-conselho-ministros/77-2025-915239713</v>
      </c>
    </row>
    <row r="146" ht="72" customHeight="1">
      <c r="A146" s="3" t="str">
        <v>Despacho n.º 4752/2025, de 21 de abril</v>
      </c>
      <c r="B146" s="20" t="d">
        <v>2025-04-21T00:00:00.000Z</v>
      </c>
      <c r="C146" s="3" t="str">
        <v>Economia e Ambiente e Energia - Gabinete da Secretária de Estado do Mar e Gabinete do Secretário de Estado da Energia</v>
      </c>
      <c r="D146" s="3" t="str">
        <v>Determina o modelo do procedimento concorrencial para o desenvolvimento de produção eólica offshore e operacionaliza a sua preparação.</v>
      </c>
      <c r="E146" s="3" t="str">
        <v>Other reference / amendment / outcome / excluded lead</v>
      </c>
      <c r="F146" s="3" t="str"/>
      <c r="G146" s="3" t="str">
        <v>https://diariodarepublica.pt/dr/detalhe/despacho/4752-2025-915282933</v>
      </c>
    </row>
    <row r="147" ht="72" customHeight="1">
      <c r="A147" s="3" t="str">
        <v>Despacho n.º 4931/2025, de 24 de abril</v>
      </c>
      <c r="B147" s="20" t="d">
        <v>2025-04-24T00:00:00.000Z</v>
      </c>
      <c r="C147" s="3" t="str">
        <v>Administração Interna - Autoridade Nacional de Emergência e Proteção Civil</v>
      </c>
      <c r="D147" s="3" t="str">
        <v>Concessão da Medalha de Mérito de Proteção e Socorro, no grau cobre e distintivo laranja, à técnica superior Paula Alexandra dos Santos Almeida.</v>
      </c>
      <c r="E147" s="3" t="str">
        <v>Other reference / amendment / outcome / excluded lead</v>
      </c>
      <c r="F147" s="3" t="str"/>
      <c r="G147" s="3" t="str">
        <v>https://diariodarepublica.pt/dr/detalhe/despacho/4931-2025-915864442</v>
      </c>
    </row>
    <row r="148" ht="72" customHeight="1">
      <c r="A148" s="3" t="str">
        <v>Portaria n.º 205-B/2025/1, de 30 de abril</v>
      </c>
      <c r="B148" s="20" t="d">
        <v>2025-04-30T00:00:00.000Z</v>
      </c>
      <c r="C148" s="3" t="str">
        <v>Presidência do Conselho de Ministros e Finanças</v>
      </c>
      <c r="D148" s="3" t="str">
        <v>Estabelece a estrutura nuclear da Secretaria-Geral do Governo.</v>
      </c>
      <c r="E148" s="3" t="str">
        <v>Other reference / amendment / outcome / excluded lead</v>
      </c>
      <c r="F148" s="3" t="str"/>
      <c r="G148" s="3" t="str">
        <v>https://diariodarepublica.pt/dr/detalhe/portaria/205-b-2025-916582055</v>
      </c>
    </row>
    <row r="149" ht="72" customHeight="1">
      <c r="A149" s="3" t="str">
        <v>Despacho n.º 5274/2025, de 8 de maio</v>
      </c>
      <c r="B149" s="20" t="d">
        <v>2025-05-08T00:00:00.000Z</v>
      </c>
      <c r="C149" s="3" t="str">
        <v>Administração Interna e Infraestruturas e Habitação - Gabinete da Ministra da Administração Interna e Gabinete do Ministro das Infraestruturas e Habitação</v>
      </c>
      <c r="D149" s="3" t="str">
        <v>Determina a constituição de uma equipa de trabalho técnica e multissetorial com a missão de desenvolver um estudo técnico-estratégico para a substituição urgente do Sistema Integrado de Redes de Emergência e Segurança de Portugal (SIRESP).</v>
      </c>
      <c r="E149" s="3" t="str">
        <v>Related body / governance</v>
      </c>
      <c r="F149" s="3" t="str"/>
      <c r="G149" s="3" t="str">
        <v>https://diariodarepublica.pt/dr/detalhe/despacho/5274-2025-917251743</v>
      </c>
    </row>
    <row r="150" ht="72" customHeight="1">
      <c r="A150" s="3" t="str">
        <v>Despacho n.º 5543-A/2025, de 15 de maio</v>
      </c>
      <c r="B150" s="20" t="d">
        <v>2025-05-15T00:00:00.000Z</v>
      </c>
      <c r="C150" s="3" t="str">
        <v>Justiça, Administração Interna e Agricultura e Pescas - Gabinete da Ministra da Justiça, Gabinete do Secretário de Estado da Proteção Civil e Gabinete do Secretário de Estado das Florestas</v>
      </c>
      <c r="D150" s="3" t="str">
        <v>Criação de cinco grupos de trabalho para a redução das ignições em espaço rural.</v>
      </c>
      <c r="E150" s="3" t="str">
        <v>Confirmed creating act</v>
      </c>
      <c r="F150" s="3" t="str">
        <v>GT-2025-018; GT-2025-019; GT-2025-020; GT-2025-021; GT-2025-022</v>
      </c>
      <c r="G150" s="3" t="str">
        <v>https://diariodarepublica.pt/dr/detalhe/despacho/5543-a-2025-918326433</v>
      </c>
    </row>
    <row r="151" ht="72" customHeight="1">
      <c r="A151" s="3" t="str">
        <v>Portaria n.º 223/2025/1, de 16 de maio</v>
      </c>
      <c r="B151" s="20" t="d">
        <v>2025-05-16T00:00:00.000Z</v>
      </c>
      <c r="C151" s="3" t="str">
        <v>Presidência do Conselho de Ministros, Ambiente e Energia e Agricultura e Pescas</v>
      </c>
      <c r="D151" s="3" t="str">
        <v>Aprova o Plano de Gestão da Zona Especial de Conservação (ZEC) Valongo (PTCON0024).</v>
      </c>
      <c r="E151" s="3" t="str">
        <v>Other reference / amendment / outcome / excluded lead</v>
      </c>
      <c r="F151" s="3" t="str"/>
      <c r="G151" s="3" t="str">
        <v>https://diariodarepublica.pt/dr/detalhe/portaria/223-2025-918366405</v>
      </c>
    </row>
    <row r="152" ht="72" customHeight="1">
      <c r="A152" s="3" t="str">
        <v>Portaria n.º 228/2025/1, de 21 de maio</v>
      </c>
      <c r="B152" s="20" t="d">
        <v>2025-05-21T00:00:00.000Z</v>
      </c>
      <c r="C152" s="3" t="str">
        <v>Justiça, Administração Interna e Juventude e Modernização</v>
      </c>
      <c r="D152" s="3" t="str">
        <v>Aprova e regula o Instrumento de Avaliação de Risco em Violência Doméstica revisto (RVD-R).</v>
      </c>
      <c r="E152" s="3" t="str">
        <v>Other reference / amendment / outcome / excluded lead</v>
      </c>
      <c r="F152" s="3" t="str"/>
      <c r="G152" s="3" t="str">
        <v>https://diariodarepublica.pt/dr/detalhe/portaria/228-2025-918823456</v>
      </c>
    </row>
    <row r="153" ht="72" customHeight="1">
      <c r="A153" s="3" t="str">
        <v>Despacho n.º 5725/2025, de 22 de maio</v>
      </c>
      <c r="B153" s="20" t="d">
        <v>2025-05-22T00:00:00.000Z</v>
      </c>
      <c r="C153" s="3" t="str">
        <v>Defesa Nacional e Cultura - Gabinete do Ministro da Defesa Nacional e Gabinete da Ministra da Cultura</v>
      </c>
      <c r="D153" s="3" t="str">
        <v>Cria o Grupo de Trabalho Interministerial para a Salvaguarda do Património Cultural Subaquático.</v>
      </c>
      <c r="E153" s="3" t="str">
        <v>Confirmed creating act</v>
      </c>
      <c r="F153" s="3" t="str">
        <v>GT-2025-023</v>
      </c>
      <c r="G153" s="3" t="str">
        <v>https://diariodarepublica.pt/dr/detalhe/despacho/5725-2025-918884615</v>
      </c>
    </row>
    <row r="154" ht="72" customHeight="1">
      <c r="A154" s="3" t="str">
        <v>Portaria n.º 229/2025/1, de 22 de maio</v>
      </c>
      <c r="B154" s="20" t="d">
        <v>2025-05-22T00:00:00.000Z</v>
      </c>
      <c r="C154" s="3" t="str">
        <v>Finanças, Saúde e Trabalho, Solidariedade e Segurança Social</v>
      </c>
      <c r="D154" s="3" t="str">
        <v>Procede à atualização extraordinária dos valores por utente/dia atribuídos à tipologia unidade de longa duração e manutenção, constantes do anexo I à Portaria n.º 45/2021, de 24 de fevereiro, na sua redação atual.</v>
      </c>
      <c r="E154" s="3" t="str">
        <v>Other reference / amendment / outcome / excluded lead</v>
      </c>
      <c r="F154" s="3" t="str"/>
      <c r="G154" s="3" t="str">
        <v>https://diariodarepublica.pt/dr/detalhe/portaria/229-2025-918999082</v>
      </c>
    </row>
    <row r="155" ht="72" customHeight="1">
      <c r="A155" s="3" t="str">
        <v>Despacho n.º 5931/2025, de 27 de maio</v>
      </c>
      <c r="B155" s="20" t="d">
        <v>2025-05-27T00:00:00.000Z</v>
      </c>
      <c r="C155" s="3" t="str">
        <v>Justiça - Direção-Geral de Reinserção e Serviços Prisionais</v>
      </c>
      <c r="D155" s="3" t="str">
        <v>Comissão de serviço de adjuntos de direção de estabelecimentos prisionais.</v>
      </c>
      <c r="E155" s="3" t="str">
        <v>Other reference / amendment / outcome / excluded lead</v>
      </c>
      <c r="F155" s="3" t="str"/>
      <c r="G155" s="3" t="str">
        <v>https://diariodarepublica.pt/dr/detalhe/despacho/5931-2025-919520986</v>
      </c>
    </row>
    <row r="156" ht="72" customHeight="1">
      <c r="A156" s="3" t="str">
        <v>Despacho n.º 6486/2025, de 11 de junho</v>
      </c>
      <c r="B156" s="20" t="d">
        <v>2025-06-11T00:00:00.000Z</v>
      </c>
      <c r="C156" s="3" t="str">
        <v>Finanças e Infraestruturas e Habitação - Gabinete do Secretário de Estado do Tesouro e das Finanças e Gabinete do Secretário de Estado das Infraestruturas</v>
      </c>
      <c r="D156" s="3" t="str">
        <v>Procede à ratificação e segunda alteração do Despacho n.º 8171/2024, de 23 de julho, que cria o Grupo de Acompanhamento para o processo de expansão da capacidade do Aeroporto Humberto Delgado, previsto na Resolução do Conselho de Ministros n.º 67/2024, de 27 de maio.</v>
      </c>
      <c r="E156" s="3" t="str">
        <v>Related body / governance</v>
      </c>
      <c r="F156" s="3" t="str"/>
      <c r="G156" s="3" t="str">
        <v>https://diariodarepublica.pt/dr/detalhe/despacho/6486-2025-921001117</v>
      </c>
    </row>
    <row r="157" ht="72" customHeight="1">
      <c r="A157" s="3" t="str">
        <v>Despacho n.º 6595/2025, de 13 de junho</v>
      </c>
      <c r="B157" s="20" t="d">
        <v>2025-06-13T00:00:00.000Z</v>
      </c>
      <c r="C157" s="3" t="str">
        <v>Finanças - Entidade Orçamental</v>
      </c>
      <c r="D157" s="3" t="str">
        <v>Constituição de equipa multidisciplinar para a inovação orçamental e designação do licenciado Filipe José Dias da Silva e Sousa para o exercício do cargo de direção intermédia de 2.º grau.</v>
      </c>
      <c r="E157" s="3" t="str">
        <v>Other reference / amendment / outcome / excluded lead</v>
      </c>
      <c r="F157" s="3" t="str"/>
      <c r="G157" s="3" t="str">
        <v>https://diariodarepublica.pt/dr/detalhe/despacho/6595-2025-921363002</v>
      </c>
    </row>
    <row r="158" ht="72" customHeight="1">
      <c r="A158" s="3" t="str">
        <v>Despacho n.º 6597/2025, de 13 de junho</v>
      </c>
      <c r="B158" s="20" t="d">
        <v>2025-06-13T00:00:00.000Z</v>
      </c>
      <c r="C158" s="3" t="str">
        <v>Finanças - Entidade Orçamental</v>
      </c>
      <c r="D158" s="3" t="str">
        <v>Constituição da equipa multidisciplinar Centro de Competências para a Gestão Financeira Pública e designação do licenciado Pedro Miguel Campos Moreira para o exercício do cargo de direção intermédia de 2.º grau.</v>
      </c>
      <c r="E158" s="3" t="str">
        <v>Other reference / amendment / outcome / excluded lead</v>
      </c>
      <c r="F158" s="3" t="str"/>
      <c r="G158" s="3" t="str">
        <v>https://diariodarepublica.pt/dr/detalhe/despacho/6597-2025-921363004</v>
      </c>
    </row>
    <row r="159" ht="72" customHeight="1">
      <c r="A159" s="3" t="str">
        <v>Portaria n.º 269/2025/1, de 18 de julho</v>
      </c>
      <c r="B159" s="20" t="d">
        <v>2025-07-18T00:00:00.000Z</v>
      </c>
      <c r="C159" s="3" t="str">
        <v>Saúde</v>
      </c>
      <c r="D159" s="3" t="str">
        <v>Procede à segunda alteração à Portaria n.º 305/2024/1, de 27 de novembro, a qual aprova um plano estratégico de melhoria do acesso de curto prazo de resolução das listas de espera cirúrgicas fora dos tempos máximos de resposta garantidos (TMRG).</v>
      </c>
      <c r="E159" s="3" t="str">
        <v>Other reference / amendment / outcome / excluded lead</v>
      </c>
      <c r="F159" s="3" t="str"/>
      <c r="G159" s="3" t="str">
        <v>https://diariodarepublica.pt/dr/detalhe/portaria/269-2025-925378377</v>
      </c>
    </row>
    <row r="160" ht="72" customHeight="1">
      <c r="A160" s="3" t="str">
        <v>Despacho n.º 8479/2025, de 23 de julho</v>
      </c>
      <c r="B160" s="20" t="d">
        <v>2025-07-23T00:00:00.000Z</v>
      </c>
      <c r="C160" s="3" t="str">
        <v>Presidência do Conselho de Ministros e Finanças - Gabinete do Ministro de Estado e das Finanças, Gabinete do Ministro da Presidência e Gabinete do Ministro Adjunto e da Reforma do Estado</v>
      </c>
      <c r="D160" s="3" t="str">
        <v>Altera o Despacho n.º 9075-A/2024, que cria o grupo de trabalho com a missão de preparar e executar a reforma orgânica e funcional da Administração Pública.</v>
      </c>
      <c r="E160" s="3" t="str">
        <v>Working-group amendment / lifecycle</v>
      </c>
      <c r="F160" s="3" t="str"/>
      <c r="G160" s="3" t="str">
        <v>https://diariodarepublica.pt/dr/detalhe/despacho/8479-2025-925799869</v>
      </c>
    </row>
    <row r="161" ht="72" customHeight="1">
      <c r="A161" s="3" t="str">
        <v>Portaria n.º 270-A/2025/1, de 23 de julho</v>
      </c>
      <c r="B161" s="20" t="d">
        <v>2025-07-23T00:00:00.000Z</v>
      </c>
      <c r="C161" s="3" t="str">
        <v>Ambiente e Energia e Agricultura e Mar</v>
      </c>
      <c r="D161" s="3" t="str">
        <v>Aprova a Estratégia Nacional para a Gestão da Macroalga Invasora Rugulopteryx okamurae.</v>
      </c>
      <c r="E161" s="3" t="str">
        <v>Discovery / scope exclusion</v>
      </c>
      <c r="F161" s="3" t="str"/>
      <c r="G161" s="3" t="str">
        <v>https://diariodarepublica.pt/dr/detalhe/portaria/270-a-2025-925934050</v>
      </c>
    </row>
    <row r="162" ht="72" customHeight="1">
      <c r="A162" s="3" t="str">
        <v>Despacho n.º 8816/2025, de 29 de julho</v>
      </c>
      <c r="B162" s="20" t="d">
        <v>2025-07-29T00:00:00.000Z</v>
      </c>
      <c r="C162" s="3" t="str">
        <v>Cultura, Juventude e Desporto - Gabinete da Ministra da Cultura, Juventude e Desporto</v>
      </c>
      <c r="D162" s="3" t="str">
        <v>Altera o Despacho n.º 2919/2025, de 25 de fevereiro, que cria o grupo de trabalho para definir a fase de seleção prévia da representação oficial portuguesa na 61.ª Exposição Internacional de Arte ― Bienal de Veneza.</v>
      </c>
      <c r="E162" s="3" t="str">
        <v>Other reference / amendment / outcome / excluded lead</v>
      </c>
      <c r="F162" s="3" t="str"/>
      <c r="G162" s="3" t="str">
        <v>https://diariodarepublica.pt/dr/detalhe/despacho/8816-2025-926748682</v>
      </c>
    </row>
    <row r="163" ht="72" customHeight="1">
      <c r="A163" s="3" t="str">
        <v>Despacho n.º 9463/2025, de 8 de agosto</v>
      </c>
      <c r="B163" s="20" t="d">
        <v>2025-08-08T00:00:00.000Z</v>
      </c>
      <c r="C163" s="3" t="str">
        <v>Trabalho, Solidariedade e Segurança Social - Gabinete da Secretária de Estado da Ação Social e da Inclusão</v>
      </c>
      <c r="D163" s="3" t="str">
        <v>Prorroga, até 31 de dezembro de 2025, o mandato do grupo de trabalho para revisão do Decreto-Lei n.º 163/2006, de 8 de agosto, e respetivas normas técnicas de acessibilidade.</v>
      </c>
      <c r="E163" s="3" t="str">
        <v>Working-group amendment / lifecycle</v>
      </c>
      <c r="F163" s="3" t="str"/>
      <c r="G163" s="3" t="str">
        <v>https://diariodarepublica.pt/dr/detalhe/despacho/9463-2025-928296838</v>
      </c>
    </row>
    <row r="164" ht="72" customHeight="1">
      <c r="A164" s="3" t="str">
        <v>Despacho n.º 9535/2025, de 12 de agosto</v>
      </c>
      <c r="B164" s="20" t="d">
        <v>2025-08-12T00:00:00.000Z</v>
      </c>
      <c r="C164" s="3" t="str">
        <v>Presidência do Conselho de Ministros - Gabinete do Primeiro-Ministro</v>
      </c>
      <c r="D164" s="3" t="str">
        <v>Determina a manutenção em funções da Comissão Estratégica Schengen, criada pelo Despacho n.º 8571/2022, de 4 de julho, publicado no Diário da República, 2.ª série, n.º 134, de 13 de julho de 2022, e retificado pela Declaração de Retificação n.º 823/2022, publicada no Diário da República, 2.ª série, n.º 190, de 30 de setembro de 2022.</v>
      </c>
      <c r="E164" s="3" t="str">
        <v>Other reference / amendment / outcome / excluded lead</v>
      </c>
      <c r="F164" s="3" t="str"/>
      <c r="G164" s="3" t="str">
        <v>https://diariodarepublica.pt/dr/detalhe/despacho/9535-2025-928657470</v>
      </c>
    </row>
    <row r="165" ht="72" customHeight="1">
      <c r="A165" s="3" t="str">
        <v>Resolução do Conselho de Ministros n.º 119/2025, de 12 de agosto</v>
      </c>
      <c r="B165" s="20" t="d">
        <v>2025-08-12T00:00:00.000Z</v>
      </c>
      <c r="C165" s="3" t="str">
        <v>Presidência do Conselho de Ministros</v>
      </c>
      <c r="D165" s="3" t="str">
        <v>Aprova a Estratégia para os Portos Comerciais do Continente 2025-2035 ― PORTOS 5+.</v>
      </c>
      <c r="E165" s="3" t="str">
        <v>Confirmed creating act</v>
      </c>
      <c r="F165" s="3" t="str">
        <v>GT-2025-024</v>
      </c>
      <c r="G165" s="3" t="str">
        <v>https://diariodarepublica.pt/dr/detalhe/resolucao-conselho-ministros/119-2025-928506357</v>
      </c>
    </row>
    <row r="166" ht="72" customHeight="1">
      <c r="A166" s="3" t="str">
        <v>Resolução do Conselho de Ministros n.º 121/2025, de 12 de agosto</v>
      </c>
      <c r="B166" s="20" t="d">
        <v>2025-08-12T00:00:00.000Z</v>
      </c>
      <c r="C166" s="3" t="str">
        <v>Presidência do Conselho de Ministros</v>
      </c>
      <c r="D166" s="3" t="str">
        <v>Aprova as linhas orientadoras da Reforma dos Ministérios.</v>
      </c>
      <c r="E166" s="3" t="str">
        <v>Other reference / amendment / outcome / excluded lead</v>
      </c>
      <c r="F166" s="3" t="str"/>
      <c r="G166" s="3" t="str">
        <v>https://diariodarepublica.pt/dr/detalhe/resolucao-conselho-ministros/121-2025-928506359</v>
      </c>
    </row>
    <row r="167" ht="72" customHeight="1">
      <c r="A167" s="3" t="str">
        <v>Despacho n.º 9698/2025, de 14 de agosto</v>
      </c>
      <c r="B167" s="20" t="d">
        <v>2025-08-14T00:00:00.000Z</v>
      </c>
      <c r="C167" s="3" t="str">
        <v>Saúde - Gabinete do Secretário de Estado da Gestão da Saúde</v>
      </c>
      <c r="D167" s="3" t="str">
        <v>Cria o grupo de trabalho com a missão de avaliar o impacto da implementação do Regime Ponto Parceiro no Serviço Nacional de Saúde (SNS), tendo em vista aferir dos benefícios e da sustentabilidade financeira do mesmo.</v>
      </c>
      <c r="E167" s="3" t="str">
        <v>Confirmed creating act</v>
      </c>
      <c r="F167" s="3" t="str">
        <v>GT-2025-025</v>
      </c>
      <c r="G167" s="3" t="str">
        <v>https://diariodarepublica.pt/dr/detalhe/despacho/9698-2025-928825171</v>
      </c>
    </row>
    <row r="168" ht="72" customHeight="1">
      <c r="A168" s="3" t="str">
        <v>Despacho n.º 9712-A/2025, de 14 de agosto</v>
      </c>
      <c r="B168" s="20" t="d">
        <v>2025-08-14T00:00:00.000Z</v>
      </c>
      <c r="C168" s="3" t="str">
        <v>Presidência do Conselho de Ministros e Finanças - Gabinete do Ministro de Estado e das Finanças, Gabinete do Ministro da Presidência e Gabinete do Ministro Adjunto e da Reforma do Estado</v>
      </c>
      <c r="D168" s="3" t="str">
        <v>Altera o Despacho n.º 9075-A/2024, de 9 de agosto, que cria o grupo de trabalho com a missão de preparar e executar a reforma orgânica e funcional da Administração Pública.</v>
      </c>
      <c r="E168" s="3" t="str">
        <v>Other reference / amendment / outcome / excluded lead</v>
      </c>
      <c r="F168" s="3" t="str"/>
      <c r="G168" s="3" t="str">
        <v>https://diariodarepublica.pt/dr/detalhe/despacho/9712-a-2025-929044360</v>
      </c>
    </row>
    <row r="169" ht="72" customHeight="1">
      <c r="A169" s="3" t="str">
        <v>Despacho n.º 9712-B/2025, de 14 de agosto</v>
      </c>
      <c r="B169" s="20" t="d">
        <v>2025-08-14T00:00:00.000Z</v>
      </c>
      <c r="C169" s="3" t="str">
        <v>Presidência do Conselho de Ministros e Finanças - Gabinete do Ministro de Estado e das Finanças, Gabinete do Ministro da Presidência e Gabinete do Ministro Adjunto e da Reforma do Estado</v>
      </c>
      <c r="D169" s="3" t="str">
        <v>Designa, em comissão de serviço, para exercer o cargo de consultor coordenador do Grupo de Trabalho para a Reforma do Estado, o Doutorado Luís Leal de Faria.</v>
      </c>
      <c r="E169" s="3" t="str">
        <v>Other reference / amendment / outcome / excluded lead</v>
      </c>
      <c r="F169" s="3" t="str"/>
      <c r="G169" s="3" t="str">
        <v>https://diariodarepublica.pt/dr/detalhe/despacho/9712-b-2025-929044361</v>
      </c>
    </row>
    <row r="170" ht="72" customHeight="1">
      <c r="A170" s="3" t="str">
        <v>Despacho n.º 9795/2025, de 19 de agosto</v>
      </c>
      <c r="B170" s="20" t="d">
        <v>2025-08-19T00:00:00.000Z</v>
      </c>
      <c r="C170" s="3" t="str">
        <v>Presidência do Conselho de Ministros - Gabinete do Ministro das Infraestruturas e Habitação</v>
      </c>
      <c r="D170" s="3" t="str">
        <v>Determina o desenvolvimento dos estudos conducentes à constituição de um Plano Nacional para matérias-primas do Setor da Construção.</v>
      </c>
      <c r="E170" s="3" t="str">
        <v>Confirmed creating act</v>
      </c>
      <c r="F170" s="3" t="str">
        <v>GT-2025-026</v>
      </c>
      <c r="G170" s="3" t="str">
        <v>https://diariodarepublica.pt/dr/detalhe/despacho/9795-2025-932537244</v>
      </c>
    </row>
    <row r="171" ht="72" customHeight="1">
      <c r="A171" s="3" t="str">
        <v>Decreto-Lei n.º 96/2025, de 21 de agosto</v>
      </c>
      <c r="B171" s="20" t="d">
        <v>2025-08-21T00:00:00.000Z</v>
      </c>
      <c r="C171" s="3" t="str">
        <v>Presidência do Conselho de Ministros</v>
      </c>
      <c r="D171" s="3" t="str">
        <v>Reestrutura a Agência para a Reforma Tecnológica do Estado, IP (antiga Agência para a Modernização Administrativa, IP).</v>
      </c>
      <c r="E171" s="3" t="str">
        <v>Other reference / amendment / outcome / excluded lead</v>
      </c>
      <c r="F171" s="3" t="str"/>
      <c r="G171" s="3" t="str">
        <v>https://diariodarepublica.pt/dr/detalhe/decreto-lei/96-2025-932837040</v>
      </c>
    </row>
    <row r="172" ht="72" customHeight="1">
      <c r="A172" s="3" t="str">
        <v>Despacho n.º 9990/2025, de 21 de agosto</v>
      </c>
      <c r="B172" s="20" t="d">
        <v>2025-08-21T00:00:00.000Z</v>
      </c>
      <c r="C172" s="3" t="str">
        <v>Saúde - Gabinete da Ministra da Saúde</v>
      </c>
      <c r="D172" s="3" t="str">
        <v>Determina a apresentação de uma proposta de rede de serviços de urgência de obstetrícia e ginecologia coordenada com uma proposta de rede de referenciação na especialidade de pediatria, incluindo a neonatologia.</v>
      </c>
      <c r="E172" s="3" t="str">
        <v>Confirmed creating act</v>
      </c>
      <c r="F172" s="3" t="str">
        <v>GT-2025-027</v>
      </c>
      <c r="G172" s="3" t="str">
        <v>https://diariodarepublica.pt/dr/detalhe/despacho/9990-2025-932720961</v>
      </c>
    </row>
    <row r="173" ht="72" customHeight="1">
      <c r="A173" s="3" t="str">
        <v>Decreto-Lei n.º 99/2025, de 28 de agosto</v>
      </c>
      <c r="B173" s="20" t="d">
        <v>2025-08-28T00:00:00.000Z</v>
      </c>
      <c r="C173" s="3" t="str">
        <v>Presidência do Conselho de Ministros</v>
      </c>
      <c r="D173" s="3" t="str">
        <v>Cria a Agência para a Gestão do Sistema Educativo, I. P., e aprova a respetiva orgânica, e extingue o Instituto de Gestão Financeira da Educação, I. P., a Direção-Geral da Administração Escolar e a Direção-Geral dos Estabelecimentos Escolares.</v>
      </c>
      <c r="E173" s="3" t="str">
        <v>Other reference / amendment / outcome / excluded lead</v>
      </c>
      <c r="F173" s="3" t="str"/>
      <c r="G173" s="3" t="str">
        <v>https://diariodarepublica.pt/dr/detalhe/decreto-lei/99-2025-933527232</v>
      </c>
    </row>
    <row r="174" ht="72" customHeight="1">
      <c r="A174" s="3" t="str">
        <v>Decreto-Lei n.º 100/2025, de 5 de setembro</v>
      </c>
      <c r="B174" s="20" t="d">
        <v>2025-09-05T00:00:00.000Z</v>
      </c>
      <c r="C174" s="3" t="str">
        <v>Presidência do Conselho de Ministros</v>
      </c>
      <c r="D174" s="3" t="str">
        <v>Procede à extinção da Secretaria-Geral da Educação e Ciência.</v>
      </c>
      <c r="E174" s="3" t="str">
        <v>Other reference / amendment / outcome / excluded lead</v>
      </c>
      <c r="F174" s="3" t="str"/>
      <c r="G174" s="3" t="str">
        <v>https://diariodarepublica.pt/dr/detalhe/decreto-lei/100-2025-934278889</v>
      </c>
    </row>
    <row r="175" ht="72" customHeight="1">
      <c r="A175" s="3" t="str">
        <v>Despacho n.º 10519/2025, de 5 de setembro</v>
      </c>
      <c r="B175" s="20" t="d">
        <v>2025-09-05T00:00:00.000Z</v>
      </c>
      <c r="C175" s="3" t="str">
        <v>Saúde - Gabinete da Secretária de Estado da Saúde</v>
      </c>
      <c r="D175" s="3" t="str">
        <v>Cria um grupo de trabalho encarregue de avaliar e propor um modelo de financiamento e monitorização no âmbito do acesso a medicamentos inovadores.</v>
      </c>
      <c r="E175" s="3" t="str">
        <v>Confirmed creating act</v>
      </c>
      <c r="F175" s="3" t="str">
        <v>GT-2025-028</v>
      </c>
      <c r="G175" s="3" t="str">
        <v>https://diariodarepublica.pt/dr/detalhe/despacho/10519-2025-934179787</v>
      </c>
    </row>
    <row r="176" ht="72" customHeight="1">
      <c r="A176" s="3" t="str">
        <v>Decreto-Lei n.º 101/2025, de 8 de setembro</v>
      </c>
      <c r="B176" s="20" t="d">
        <v>2025-09-08T00:00:00.000Z</v>
      </c>
      <c r="C176" s="3" t="str">
        <v>Presidência do Conselho de Ministros</v>
      </c>
      <c r="D176" s="3" t="str">
        <v>Cria a Direção-Geral de Estudos, Planeamento e Avaliação e aprova a respetiva orgânica.</v>
      </c>
      <c r="E176" s="3" t="str">
        <v>Other reference / amendment / outcome / excluded lead</v>
      </c>
      <c r="F176" s="3" t="str"/>
      <c r="G176" s="3" t="str">
        <v>https://diariodarepublica.pt/dr/detalhe/decreto-lei/101-2025-934454752</v>
      </c>
    </row>
    <row r="177" ht="72" customHeight="1">
      <c r="A177" s="3" t="str">
        <v>Despacho n.º 10547/2025, de 8 de setembro</v>
      </c>
      <c r="B177" s="20" t="d">
        <v>2025-09-08T00:00:00.000Z</v>
      </c>
      <c r="C177" s="3" t="str">
        <v>Negócios Estrangeiros, Economia e Coesão Territorial, Defesa Nacional e Educação, Ciência e Inovação - Gabinete do Ministro de Estado e dos Negócios Estrangeiros, Gabinete do Ministro da Economia e da Coesão Territorial, Gabinete do Ministro da Defesa Nacional e Gabinete do Ministro da Educação, Ciência e Inovação</v>
      </c>
      <c r="D177" s="3" t="str">
        <v>Constitui um grupo de trabalho interministerial para o espaço.</v>
      </c>
      <c r="E177" s="3" t="str">
        <v>Confirmed creating act</v>
      </c>
      <c r="F177" s="3" t="str">
        <v>GT-2025-029</v>
      </c>
      <c r="G177" s="3" t="str">
        <v>https://diariodarepublica.pt/dr/detalhe/despacho/10547-2025-934422161</v>
      </c>
    </row>
    <row r="178" ht="72" customHeight="1">
      <c r="A178" s="3" t="str">
        <v>Resolução do Conselho de Ministros n.º 133/2025, de 9 de setembro</v>
      </c>
      <c r="B178" s="20" t="d">
        <v>2025-09-09T00:00:00.000Z</v>
      </c>
      <c r="C178" s="3" t="str">
        <v>Presidência do Conselho de Ministros</v>
      </c>
      <c r="D178" s="3" t="str">
        <v>Aprova o Plano de Ação para a Gestão Sustentável e Valorização do Setor Vitivinícola da Região Demarcada do Douro.</v>
      </c>
      <c r="E178" s="3" t="str">
        <v>Other reference / amendment / outcome / excluded lead</v>
      </c>
      <c r="F178" s="3" t="str"/>
      <c r="G178" s="3" t="str">
        <v>https://diariodarepublica.pt/dr/detalhe/resolucao-conselho-ministros/133-2025-934502551</v>
      </c>
    </row>
    <row r="179" ht="72" customHeight="1">
      <c r="A179" s="3" t="str">
        <v>Despacho n.º 10662/2025, de 10 de setembro</v>
      </c>
      <c r="B179" s="20" t="d">
        <v>2025-09-10T00:00:00.000Z</v>
      </c>
      <c r="C179" s="3" t="str">
        <v>Educação, Ciência e Inovação - Gabinete da Secretária de Estado do Ensino Superior</v>
      </c>
      <c r="D179" s="3" t="str">
        <v>Criação de grupo de trabalho para a revisão do regime jurídico dos graus e diplomas do ensino superior.</v>
      </c>
      <c r="E179" s="3" t="str">
        <v>Confirmed creating act</v>
      </c>
      <c r="F179" s="3" t="str">
        <v>GT-2025-030</v>
      </c>
      <c r="G179" s="3" t="str">
        <v>https://diariodarepublica.pt/dr/detalhe/despacho/10662-2025-934744248</v>
      </c>
    </row>
    <row r="180" ht="72" customHeight="1">
      <c r="A180" s="3" t="str">
        <v>Decreto-Lei n.º 105/2025, de 12 de setembro</v>
      </c>
      <c r="B180" s="20" t="d">
        <v>2025-09-12T00:00:00.000Z</v>
      </c>
      <c r="C180" s="3" t="str">
        <v>Presidência do Conselho de Ministros</v>
      </c>
      <c r="D180" s="3" t="str">
        <v> Cria o Instituto de Educação, Qualidade e Avaliação, I. P., e aprova a respetiva orgânica e extingue o Instituto de Avaliação Educativa, I. P., a Direção-Geral da Educação, a Estrutura de Missão do Plano Nacional de Leitura e o Gabinete Coordenador da Rede de Bibliotecas Escolares.</v>
      </c>
      <c r="E180" s="3" t="str">
        <v>Other reference / amendment / outcome / excluded lead</v>
      </c>
      <c r="F180" s="3" t="str"/>
      <c r="G180" s="3" t="str">
        <v>https://diariodarepublica.pt/dr/detalhe/decreto-lei/105-2025-935098429</v>
      </c>
    </row>
    <row r="181" ht="72" customHeight="1">
      <c r="A181" s="3" t="str">
        <v>Decreto-Lei n.º 107/2025, de 16 de setembro</v>
      </c>
      <c r="B181" s="20" t="d">
        <v>2025-09-16T00:00:00.000Z</v>
      </c>
      <c r="C181" s="3" t="str">
        <v>Presidência do Conselho de Ministros</v>
      </c>
      <c r="D181" s="3" t="str">
        <v>Aprova as bases da concessão de serviço público da exploração do Terminal de Granéis Alimentares da Trafaria e do Terminal de Granéis Alimentares do Beato, e dos respetivos silos, no Porto de Lisboa, bem como a exploração do Silo no interior de Vale de Figueira.</v>
      </c>
      <c r="E181" s="3" t="str">
        <v>Other reference / amendment / outcome / excluded lead</v>
      </c>
      <c r="F181" s="3" t="str"/>
      <c r="G181" s="3" t="str">
        <v>https://diariodarepublica.pt/dr/detalhe/decreto-lei/107-2025-935441900</v>
      </c>
    </row>
    <row r="182" ht="72" customHeight="1">
      <c r="A182" s="3" t="str">
        <v>Despacho n.º 10903/2025, de 16 de setembro</v>
      </c>
      <c r="B182" s="20" t="d">
        <v>2025-09-16T00:00:00.000Z</v>
      </c>
      <c r="C182" s="3" t="str">
        <v>Defesa Nacional e Saúde - Gabinete do Secretário de Estado Adjunto e da Defesa Nacional e Gabinete da Secretária de Estado da Saúde</v>
      </c>
      <c r="D182" s="3" t="str">
        <v>Cria o Grupo de Trabalho para proposta do modelo de governação da reserva estratégica nacional, no seguimento da implementação da reserva estratégica europeia RescEU em território nacional.</v>
      </c>
      <c r="E182" s="3" t="str">
        <v>Confirmed creating act</v>
      </c>
      <c r="F182" s="3" t="str">
        <v>GT-2025-031</v>
      </c>
      <c r="G182" s="3" t="str">
        <v>https://diariodarepublica.pt/dr/detalhe/despacho/10903-2025-935441970</v>
      </c>
    </row>
    <row r="183" ht="72" customHeight="1">
      <c r="A183" s="3" t="str">
        <v>Despacho n.º 10918/2025, de 16 de setembro</v>
      </c>
      <c r="B183" s="20" t="d">
        <v>2025-09-16T00:00:00.000Z</v>
      </c>
      <c r="C183" s="3" t="str">
        <v>Saúde - Gabinete do Secretário de Estado da Gestão da Saúde</v>
      </c>
      <c r="D183" s="3" t="str">
        <v>Cria o grupo de trabalho para definição de prazos de conservação de dados relativos à saúde em arquivo nos sistemas de informação utilizados no âmbito dos cuidados de saúde primários e cuidados hospitalares.</v>
      </c>
      <c r="E183" s="3" t="str">
        <v>Confirmed creating act</v>
      </c>
      <c r="F183" s="3" t="str">
        <v>GT-2025-032</v>
      </c>
      <c r="G183" s="3" t="str">
        <v>https://diariodarepublica.pt/dr/detalhe/despacho/10918-2025-935495088</v>
      </c>
    </row>
    <row r="184" ht="72" customHeight="1">
      <c r="A184" s="3" t="str">
        <v>Despacho n.º 10945/2025, de 17 de setembro</v>
      </c>
      <c r="B184" s="20" t="d">
        <v>2025-09-17T00:00:00.000Z</v>
      </c>
      <c r="C184" s="3" t="str">
        <v>Educação, Ciência e Inovação - Gabinete do Ministro da Educação, Ciência e Inovação</v>
      </c>
      <c r="D184" s="3" t="str">
        <v>Cria o Grupo de Trabalho «Digital e IA na Educação» para estudo e apresentação de propostas com vista à reflexão e diálogo sobre o papel das tecnologias digitais e da inteligência artificial na educação em Portugal.</v>
      </c>
      <c r="E184" s="3" t="str">
        <v>Confirmed creating act</v>
      </c>
      <c r="F184" s="3" t="str">
        <v>GT-2025-033</v>
      </c>
      <c r="G184" s="3" t="str">
        <v>https://diariodarepublica.pt/dr/detalhe/despacho/10945-2025-935495442</v>
      </c>
    </row>
    <row r="185" ht="72" customHeight="1">
      <c r="A185" s="3" t="str">
        <v>Decreto-Lei n.º 109/2025, de 25 de setembro</v>
      </c>
      <c r="B185" s="20" t="d">
        <v>2025-09-25T00:00:00.000Z</v>
      </c>
      <c r="C185" s="3" t="str">
        <v>Presidência do Conselho de Ministros</v>
      </c>
      <c r="D185" s="3" t="str">
        <v>Cria o Instituto para o Ensino Superior, I. P., e aprova a respetiva orgânica, e extingue a Direção-Geral do Ensino Superior e a Agência Nacional Erasmus+ Educação e Formação.</v>
      </c>
      <c r="E185" s="3" t="str">
        <v>Other reference / amendment / outcome / excluded lead</v>
      </c>
      <c r="F185" s="3" t="str"/>
      <c r="G185" s="3" t="str">
        <v>https://diariodarepublica.pt/dr/detalhe/decreto-lei/109-2025-936526996</v>
      </c>
    </row>
    <row r="186" ht="72" customHeight="1">
      <c r="A186" s="3" t="str">
        <v>Despacho n.º 11297/2025, de 25 de setembro</v>
      </c>
      <c r="B186" s="20" t="d">
        <v>2025-09-25T00:00:00.000Z</v>
      </c>
      <c r="C186" s="3" t="str">
        <v>Educação, Ciência e Inovação - Gabinete da Secretária de Estado da Administração Escolar</v>
      </c>
      <c r="D186" s="3" t="str">
        <v>Cria um grupo de trabalho para definição de requisitos e procedimentos para obtenção de habilitação própria para a docência nos ensinos básico e secundário aos titulares de cursos conferentes de grau académico de licenciatura ou superior, obtidos ao abrigo dos regimes pré-Bolonha e pós-Bolonha.</v>
      </c>
      <c r="E186" s="3" t="str">
        <v>Confirmed creating act</v>
      </c>
      <c r="F186" s="3" t="str">
        <v>GT-2025-034</v>
      </c>
      <c r="G186" s="3" t="str">
        <v>https://diariodarepublica.pt/dr/detalhe/despacho/11297-2025-936527063</v>
      </c>
    </row>
    <row r="187" ht="72" customHeight="1">
      <c r="A187" s="3" t="str">
        <v>Despacho n.º 11412-A/2025, de 26 de setembro</v>
      </c>
      <c r="B187" s="20" t="d">
        <v>2025-09-26T00:00:00.000Z</v>
      </c>
      <c r="C187" s="3" t="str">
        <v>Economia e Coesão Territorial e Educação, Ciência e Inovação - Gabinete do Ministro da Economia e da Coesão Territorial e Gabinete do Ministro da Educação, Ciência e Inovação</v>
      </c>
      <c r="D187" s="3" t="str">
        <v>Determina a criação de um grupo de trabalho para a revisão do atual regime jurídico das instituições que se dedicam à investigação e inovação (I&amp;I), bem como dos princípios gerais de relação com outros intervenientes do sistema nacional de ciência, tecnologia e inovação, respetiva avaliação e financiamento.</v>
      </c>
      <c r="E187" s="3" t="str">
        <v>Confirmed creating act</v>
      </c>
      <c r="F187" s="3" t="str">
        <v>GT-2025-035</v>
      </c>
      <c r="G187" s="3" t="str">
        <v>https://diariodarepublica.pt/dr/detalhe/despacho/11412-a-2025-937049215</v>
      </c>
    </row>
    <row r="188" ht="72" customHeight="1">
      <c r="A188" s="3" t="str">
        <v>Resolução do Conselho de Ministros n.º 143/2025, de 30 de setembro</v>
      </c>
      <c r="B188" s="20" t="d">
        <v>2025-09-30T00:00:00.000Z</v>
      </c>
      <c r="C188" s="3" t="str">
        <v>Presidência do Conselho de Ministros</v>
      </c>
      <c r="D188" s="3" t="str">
        <v>Aprova a minuta do Contrato de Concessão de serviço público da exploração do Terminal de Granéis Alimentares da Trafaria e do Terminal de Granéis Alimentares do Beato.</v>
      </c>
      <c r="E188" s="3" t="str">
        <v>Other reference / amendment / outcome / excluded lead</v>
      </c>
      <c r="F188" s="3" t="str"/>
      <c r="G188" s="3" t="str">
        <v>https://diariodarepublica.pt/dr/detalhe/resolucao-conselho-ministros/143-2025-937197428</v>
      </c>
    </row>
    <row r="189" ht="72" customHeight="1">
      <c r="A189" s="3" t="str">
        <v>Despacho n.º 11649/2025, de 3 de outubro</v>
      </c>
      <c r="B189" s="20" t="d">
        <v>2025-10-03T00:00:00.000Z</v>
      </c>
      <c r="C189" s="3" t="str">
        <v>Saúde - Gabinete da Secretária de Estado da Saúde</v>
      </c>
      <c r="D189" s="3" t="str">
        <v>Constituição de grupo de trabalho para a análise e proposta de medidas no âmbito da prevenção e gestão da doença crónica.</v>
      </c>
      <c r="E189" s="3" t="str">
        <v>Confirmed creating act</v>
      </c>
      <c r="F189" s="3" t="str">
        <v>GT-2025-036</v>
      </c>
      <c r="G189" s="3" t="str">
        <v>https://diariodarepublica.pt/dr/detalhe/despacho/11649-2025-937675961</v>
      </c>
    </row>
    <row r="190" ht="72" customHeight="1">
      <c r="A190" s="3" t="str">
        <v>Despacho n.º 11843/2025, de 8 de outubro</v>
      </c>
      <c r="B190" s="20" t="d">
        <v>2025-10-08T00:00:00.000Z</v>
      </c>
      <c r="C190" s="3" t="str">
        <v>Ambiente e Energia - Gabinete da Ministra do Ambiente e Energia</v>
      </c>
      <c r="D190" s="3" t="str">
        <v>Cria o grupo de trabalho para a transposição da Diretiva (UE) 2024/1788, do Parlamento Europeu e do Conselho, de 13 de junho de 2024.</v>
      </c>
      <c r="E190" s="3" t="str">
        <v>Confirmed creating act</v>
      </c>
      <c r="F190" s="3" t="str">
        <v>GT-2025-037</v>
      </c>
      <c r="G190" s="3" t="str">
        <v>https://diariodarepublica.pt/dr/detalhe/despacho/11843-2025-938604558</v>
      </c>
    </row>
    <row r="191" ht="72" customHeight="1">
      <c r="A191" s="3" t="str">
        <v>Resolução do Conselho de Ministros n.º 158/2025, de 13 de outubro</v>
      </c>
      <c r="B191" s="20" t="d">
        <v>2025-10-13T00:00:00.000Z</v>
      </c>
      <c r="C191" s="3" t="str">
        <v>Presidência do Conselho de Ministros</v>
      </c>
      <c r="D191" s="3" t="str">
        <v>Aprova o Plano de Ação da Estratégia Única dos Direitos das Crianças e Jovens 2025-2030.</v>
      </c>
      <c r="E191" s="3" t="str">
        <v>Discovery / scope exclusion</v>
      </c>
      <c r="F191" s="3" t="str"/>
      <c r="G191" s="3" t="str">
        <v>https://diariodarepublica.pt/dr/detalhe/resolucao-conselho-ministros/158-2025-939474962</v>
      </c>
    </row>
    <row r="192" ht="72" customHeight="1">
      <c r="A192" s="3" t="str">
        <v>Despacho n.º 12550/2025, de 27 de outubro</v>
      </c>
      <c r="B192" s="20" t="d">
        <v>2025-10-27T00:00:00.000Z</v>
      </c>
      <c r="C192" s="3" t="str">
        <v>Justiça e Saúde - Gabinete da Ministra da Justiça e Gabinete da Ministra da Saúde</v>
      </c>
      <c r="D192" s="3" t="str">
        <v>Renova o mandato do grupo de trabalho visando a promoção da saúde, a prevenção da doença e o acesso a cuidados de saúde por parte das pessoas privadas da liberdade nos estabelecimentos prisionais, nos estabelecimentos destinados a inimputáveis e nos centros educativos.</v>
      </c>
      <c r="E192" s="3" t="str">
        <v>Working-group amendment / lifecycle</v>
      </c>
      <c r="F192" s="3" t="str"/>
      <c r="G192" s="3" t="str">
        <v>https://diariodarepublica.pt/dr/detalhe/despacho/12550-2025-942405334</v>
      </c>
    </row>
    <row r="193" ht="72" customHeight="1">
      <c r="A193" s="3" t="str">
        <v>Resolução do Conselho de Ministros n.º 167/2025, de 27 de outubro</v>
      </c>
      <c r="B193" s="20" t="d">
        <v>2025-10-27T00:00:00.000Z</v>
      </c>
      <c r="C193" s="3" t="str">
        <v>Presidência do Conselho de Ministros</v>
      </c>
      <c r="D193" s="3" t="str">
        <v>Aprova a Estratégia Nacional de Educação para o Desenvolvimento 2025-2030.</v>
      </c>
      <c r="E193" s="3" t="str">
        <v>Other reference / amendment / outcome / excluded lead</v>
      </c>
      <c r="F193" s="3" t="str"/>
      <c r="G193" s="3" t="str">
        <v>https://diariodarepublica.pt/dr/detalhe/resolucao-conselho-ministros/167-2025-942401305</v>
      </c>
    </row>
    <row r="194" ht="72" customHeight="1">
      <c r="A194" s="3" t="str">
        <v>Resolução do Conselho de Ministros n.º 175/2025, de 10 de novembro</v>
      </c>
      <c r="B194" s="20" t="d">
        <v>2025-11-10T00:00:00.000Z</v>
      </c>
      <c r="C194" s="3" t="str">
        <v>Presidência do Conselho de Ministros</v>
      </c>
      <c r="D194" s="3" t="str">
        <v>Aprova o Programa Nacional das Raparigas nas STEM, no âmbito da Estratégia Digital Nacional.</v>
      </c>
      <c r="E194" s="3" t="str">
        <v>Confirmed creating act</v>
      </c>
      <c r="F194" s="3" t="str">
        <v>GT-2025-038</v>
      </c>
      <c r="G194" s="3" t="str">
        <v>https://diariodarepublica.pt/dr/detalhe/resolucao-conselho-ministros/175-2025-945116919</v>
      </c>
    </row>
    <row r="195" ht="72" customHeight="1">
      <c r="A195" s="3" t="str">
        <v>Despacho (extrato) n.º 13590/2025, de 17 de novembro</v>
      </c>
      <c r="B195" s="20" t="d">
        <v>2025-11-17T00:00:00.000Z</v>
      </c>
      <c r="C195" s="3" t="str">
        <v>Justiça - Direção-Geral de Reinserção e Serviços Prisionais</v>
      </c>
      <c r="D195" s="3" t="str">
        <v>Comissão de serviço no cargo de chefe de divisão, em regime de substituição, da Divisão de Infraestruturas e Equipamentos, do licenciado Pedro Miguel Monteiro Nunes, com efeitos a 1 de novembro de 2025.</v>
      </c>
      <c r="E195" s="3" t="str">
        <v>Other reference / amendment / outcome / excluded lead</v>
      </c>
      <c r="F195" s="3" t="str"/>
      <c r="G195" s="3" t="str">
        <v>https://diariodarepublica.pt/dr/detalhe/despacho-extrato/13590-2025-946300996</v>
      </c>
    </row>
    <row r="196" ht="72" customHeight="1">
      <c r="A196" s="3" t="str">
        <v>Resolução do Conselho de Ministros n.º 182/2025, de 26 de novembro</v>
      </c>
      <c r="B196" s="20" t="d">
        <v>2025-11-26T00:00:00.000Z</v>
      </c>
      <c r="C196" s="3" t="str">
        <v>Presidência do Conselho de Ministros</v>
      </c>
      <c r="D196" s="3" t="str">
        <v>Cria a Unidade de Combate à Fraude no Serviço Nacional de Saúde.</v>
      </c>
      <c r="E196" s="3" t="str">
        <v>Related body / governance</v>
      </c>
      <c r="F196" s="3" t="str"/>
      <c r="G196" s="3" t="str">
        <v>https://diariodarepublica.pt/dr/detalhe/resolucao-conselho-ministros/182-2025-953220525</v>
      </c>
    </row>
    <row r="197" ht="72" customHeight="1">
      <c r="A197" s="3" t="str">
        <v>Resolução do Conselho de Ministros n.º 184/2025, de 26 de novembro</v>
      </c>
      <c r="B197" s="20" t="d">
        <v>2025-11-26T00:00:00.000Z</v>
      </c>
      <c r="C197" s="3" t="str">
        <v>Presidência do Conselho de Ministros</v>
      </c>
      <c r="D197" s="3" t="str">
        <v>Mandata a Infraestruturas de Portugal, S. A., para o desenvolvimento dos estudos conducentes à contratação e implementação do Projeto de Cabos Submarinos designado de Anel Açores, garantindo-se a interligação com o Atlantic CAM, e autoriza a realização da despesa plurianual.</v>
      </c>
      <c r="E197" s="3" t="str">
        <v>Other reference / amendment / outcome / excluded lead</v>
      </c>
      <c r="F197" s="3" t="str"/>
      <c r="G197" s="3" t="str">
        <v>https://diariodarepublica.pt/dr/detalhe/resolucao-conselho-ministros/184-2025-953220527</v>
      </c>
    </row>
    <row r="198" ht="72" customHeight="1">
      <c r="A198" s="3" t="str">
        <v>Despacho n.º 14188/2025, de 27 de novembro</v>
      </c>
      <c r="B198" s="20" t="d">
        <v>2025-11-27T00:00:00.000Z</v>
      </c>
      <c r="C198" s="3" t="str">
        <v>Saúde - Gabinete da Ministra da Saúde</v>
      </c>
      <c r="D198" s="3" t="str">
        <v>Cria o grupo de trabalho para apoio à implementação faseada do Sistema Nacional de Acesso a Consulta e Cirurgia (SINACC), nos termos do Plano de Emergência e Transformação da Saúde (PETS).</v>
      </c>
      <c r="E198" s="3" t="str">
        <v>Confirmed creating act</v>
      </c>
      <c r="F198" s="3" t="str">
        <v>GT-2025-039</v>
      </c>
      <c r="G198" s="3" t="str">
        <v>https://diariodarepublica.pt/dr/detalhe/despacho/14188-2025-955733785</v>
      </c>
    </row>
    <row r="199" ht="72" customHeight="1">
      <c r="A199" s="3" t="str">
        <v>Despacho n.º 14282/2025, de 2 de dezembro</v>
      </c>
      <c r="B199" s="20" t="d">
        <v>2025-12-02T00:00:00.000Z</v>
      </c>
      <c r="C199" s="3" t="str">
        <v>Presidência do Conselho de Ministros e Finanças - Gabinete do Ministro de Estado e das Finanças, Gabinete do Ministro da Presidência e Gabinete do Ministro Adjunto e da Reforma do Estado</v>
      </c>
      <c r="D199" s="3" t="str">
        <v>Designa Mónica Sofia Ferreira Vaz para o cargo de consultora principal do Grupo de Trabalho para a Reforma do Estado, em regime de comissão de serviço.</v>
      </c>
      <c r="E199" s="3" t="str">
        <v>Other reference / amendment / outcome / excluded lead</v>
      </c>
      <c r="F199" s="3" t="str"/>
      <c r="G199" s="3" t="str">
        <v>https://diariodarepublica.pt/dr/detalhe/despacho/14282-2025-958372256</v>
      </c>
    </row>
    <row r="200" ht="72" customHeight="1">
      <c r="A200" s="3" t="str">
        <v>Despacho n.º 14283/2025, de 2 de dezembro</v>
      </c>
      <c r="B200" s="20" t="d">
        <v>2025-12-02T00:00:00.000Z</v>
      </c>
      <c r="C200" s="3" t="str">
        <v>Presidência do Conselho de Ministros e Finanças - Gabinete do Ministro de Estado e das Finanças, Gabinete do Ministro da Presidência e Gabinete do Ministro Adjunto e da Reforma do Estado</v>
      </c>
      <c r="D200" s="3" t="str">
        <v>Designa Joana de Oliveira Diogo Paulo Rebocho para o cargo de consultora coordenadora do Grupo de Trabalho para a Reforma do Estado, em regime de comissão de serviço.</v>
      </c>
      <c r="E200" s="3" t="str">
        <v>Other reference / amendment / outcome / excluded lead</v>
      </c>
      <c r="F200" s="3" t="str"/>
      <c r="G200" s="3" t="str">
        <v>https://diariodarepublica.pt/dr/detalhe/despacho/14283-2025-958372257</v>
      </c>
    </row>
    <row r="201" ht="72" customHeight="1">
      <c r="A201" s="3" t="str">
        <v>Despacho n.º 14284/2025, de 2 de dezembro</v>
      </c>
      <c r="B201" s="20" t="d">
        <v>2025-12-02T00:00:00.000Z</v>
      </c>
      <c r="C201" s="3" t="str">
        <v>Presidência do Conselho de Ministros e Finanças - Gabinete do Ministro de Estado e das Finanças, Gabinete do Ministro da Presidência e Gabinete do Ministro Adjunto e da Reforma do Estado</v>
      </c>
      <c r="D201" s="3" t="str">
        <v>Designa Francisco Ribeiro dos Santos Soares de Oliveira para o cargo de consultor coordenador do Grupo de Trabalho para a Reforma do Estado, em regime de comissão de serviço.</v>
      </c>
      <c r="E201" s="3" t="str">
        <v>Other reference / amendment / outcome / excluded lead</v>
      </c>
      <c r="F201" s="3" t="str"/>
      <c r="G201" s="3" t="str">
        <v>https://diariodarepublica.pt/dr/detalhe/despacho/14284-2025-958372258</v>
      </c>
    </row>
    <row r="202" ht="72" customHeight="1">
      <c r="A202" s="3" t="str">
        <v>Resolução do Conselho de Ministros n.º 187/2025, de 3 de dezembro</v>
      </c>
      <c r="B202" s="20" t="d">
        <v>2025-12-03T00:00:00.000Z</v>
      </c>
      <c r="C202" s="3" t="str">
        <v>Presidência do Conselho de Ministros</v>
      </c>
      <c r="D202" s="3" t="str">
        <v>Autoriza o membro do Governo responsável pela área da Defesa Nacional a apresentar, junto da Comissão Europeia, o pedido de assistência financeira de Portugal, no âmbito do Instrumento SAFE, acompanhado do respetivo Plano de Investimento na Indústria de Defesa Europeia.</v>
      </c>
      <c r="E202" s="3" t="str">
        <v>Other reference / amendment / outcome / excluded lead</v>
      </c>
      <c r="F202" s="3" t="str"/>
      <c r="G202" s="3" t="str">
        <v>https://diariodarepublica.pt/dr/detalhe/resolucao-conselho-ministros/187-2025-958984037</v>
      </c>
    </row>
    <row r="203" ht="72" customHeight="1">
      <c r="A203" s="3" t="str">
        <v>Resolução do Conselho de Ministros n.º 189/2025, de 4 de dezembro</v>
      </c>
      <c r="B203" s="20" t="d">
        <v>2025-12-04T00:00:00.000Z</v>
      </c>
      <c r="C203" s="3" t="str">
        <v>Presidência do Conselho de Ministros</v>
      </c>
      <c r="D203" s="3" t="str">
        <v>Autoriza o Ministério da Defesa Nacional a executar a Medida de Assistência a Cabo Verde aprovada no âmbito do Mecanismo Europeu de Apoio à Paz.</v>
      </c>
      <c r="E203" s="3" t="str">
        <v>Other reference / amendment / outcome / excluded lead</v>
      </c>
      <c r="F203" s="3" t="str"/>
      <c r="G203" s="3" t="str">
        <v>https://diariodarepublica.pt/dr/detalhe/resolucao-conselho-ministros/189-2025-962603404</v>
      </c>
    </row>
    <row r="204" ht="72" customHeight="1">
      <c r="A204" s="3" t="str">
        <v>Despacho n.º 14492/2025, de 5 de dezembro</v>
      </c>
      <c r="B204" s="20" t="d">
        <v>2025-12-05T00:00:00.000Z</v>
      </c>
      <c r="C204" s="3" t="str">
        <v>Economia e Coesão Territorial e Ambiente e Energia - Gabinete do Ministro da Economia e da Coesão Territorial e Gabinete da Ministra do Ambiente e Energia</v>
      </c>
      <c r="D204" s="3" t="str">
        <v>Cria um grupo de trabalho para aferição das necessidades legislativas do transporte de fluidos, nomeadamente, identificando as substâncias e as carências regulamentares, com vista à apresentação de uma proposta legislativa.</v>
      </c>
      <c r="E204" s="3" t="str">
        <v>Confirmed creating act</v>
      </c>
      <c r="F204" s="3" t="str">
        <v>GT-2025-040</v>
      </c>
      <c r="G204" s="3" t="str">
        <v>https://diariodarepublica.pt/dr/detalhe/despacho/14492-2025-962955481</v>
      </c>
    </row>
    <row r="205" ht="72" customHeight="1">
      <c r="A205" s="3" t="str">
        <v>Despacho n.º 14507/2025, de 5 de dezembro</v>
      </c>
      <c r="B205" s="20" t="d">
        <v>2025-12-05T00:00:00.000Z</v>
      </c>
      <c r="C205" s="3" t="str">
        <v>Ambiente e Energia e Agricultura e Mar - Gabinete do Secretário de Estado do Ambiente e Gabinete do Secretário de Estado da Agricultura</v>
      </c>
      <c r="D205" s="3" t="str">
        <v>Determina a criação de um grupo de trabalho para efeitos de revisão do Plano de Ação Nacional para o Uso Sustentável de Produtos Fitofarmacêuticos (PANUSPF).</v>
      </c>
      <c r="E205" s="3" t="str">
        <v>Confirmed creating act</v>
      </c>
      <c r="F205" s="3" t="str">
        <v>GT-2025-041</v>
      </c>
      <c r="G205" s="3" t="str">
        <v>https://diariodarepublica.pt/dr/detalhe/despacho/14507-2025-962955516</v>
      </c>
    </row>
    <row r="206" ht="72" customHeight="1">
      <c r="A206" s="3" t="str">
        <v>Portaria n.º 447/2025/1, de 16 de dezembro</v>
      </c>
      <c r="B206" s="20" t="d">
        <v>2025-12-16T00:00:00.000Z</v>
      </c>
      <c r="C206" s="3" t="str">
        <v>Presidência do Conselho de Ministros, Finanças e Economia e Coesão Territorial</v>
      </c>
      <c r="D206" s="3" t="str">
        <v>Aprova a estrutura nuclear da Direção-Geral da Economia.</v>
      </c>
      <c r="E206" s="3" t="str">
        <v>Other reference / amendment / outcome / excluded lead</v>
      </c>
      <c r="F206" s="3" t="str"/>
      <c r="G206" s="3" t="str">
        <v>https://diariodarepublica.pt/dr/detalhe/portaria/447-2025-986558789</v>
      </c>
    </row>
    <row r="207" ht="72" customHeight="1">
      <c r="A207" s="3" t="str">
        <v>Despacho n.º 15088/2025, de 19 de dezembro</v>
      </c>
      <c r="B207" s="20" t="d">
        <v>2025-12-19T00:00:00.000Z</v>
      </c>
      <c r="C207" s="3" t="str">
        <v>Presidência do Conselho de Ministros e Administração Interna - Gabinete do Ministro das Infraestruturas e Habitação e Gabinete da Ministra da Administração Interna</v>
      </c>
      <c r="D207" s="3" t="str">
        <v>Constituição da Equipa de Trabalho Técnica e Multissetorial para a substituição do Sistema Integrado de Redes de Emergência e Segurança de Portugal (SIRESP), designação do licenciado António Manuel Moreira Franco Pombeiro como coordenador da Equipa de Trabalho Técnica e Multissetorial e exoneração, a seu pedido, do Eng.º Carlos Manuel Pereira Leitão das funções de coordenador.</v>
      </c>
      <c r="E207" s="3" t="str">
        <v>Other reference / amendment / outcome / excluded lead</v>
      </c>
      <c r="F207" s="3" t="str"/>
      <c r="G207" s="3" t="str">
        <v>https://diariodarepublica.pt/dr/detalhe/despacho/15088-2025-989596118</v>
      </c>
    </row>
    <row r="208" ht="72" customHeight="1">
      <c r="A208" s="3" t="str">
        <v>Despacho n.º 15275/2025, de 23 de dezembro</v>
      </c>
      <c r="B208" s="20" t="d">
        <v>2025-12-23T00:00:00.000Z</v>
      </c>
      <c r="C208" s="3" t="str">
        <v>Justiça - Gabinete da Secretária de Estado da Justiça</v>
      </c>
      <c r="D208" s="3" t="str">
        <v>Constituição de um Grupo de Trabalho para elaboração do Plano Estratégico Nacional para o Campus da Justiça do Porto.</v>
      </c>
      <c r="E208" s="3" t="str">
        <v>Confirmed creating act</v>
      </c>
      <c r="F208" s="3" t="str">
        <v>GT-2025-042</v>
      </c>
      <c r="G208" s="3" t="str">
        <v>https://diariodarepublica.pt/dr/detalhe/despacho/15275-2025-992393997</v>
      </c>
    </row>
    <row r="209" ht="72" customHeight="1">
      <c r="A209" s="3" t="str">
        <v>Portaria n.º 467/2025/1, de 23 de dezembro</v>
      </c>
      <c r="B209" s="20" t="d">
        <v>2025-12-23T00:00:00.000Z</v>
      </c>
      <c r="C209" s="3" t="str">
        <v>Trabalho, Solidariedade e Segurança Social</v>
      </c>
      <c r="D209" s="3" t="str">
        <v>Prorroga a vigência da Estratégia Nacional para a Inclusão das Pessoas com Deficiência 2021-2025 até à entrada em vigor da Estratégia para os Direitos das Pessoas com Deficiência 2026-2030.</v>
      </c>
      <c r="E209" s="3" t="str">
        <v>Other reference / amendment / outcome / excluded lead</v>
      </c>
      <c r="F209" s="3" t="str"/>
      <c r="G209" s="3" t="str">
        <v>https://diariodarepublica.pt/dr/detalhe/portaria/467-2025-992402119</v>
      </c>
    </row>
    <row r="210" ht="72" customHeight="1">
      <c r="A210" s="3" t="str">
        <v>Decreto-Lei n.º 130/2025, de 24 de dezembro</v>
      </c>
      <c r="B210" s="20" t="d">
        <v>2025-12-24T00:00:00.000Z</v>
      </c>
      <c r="C210" s="3" t="str">
        <v>Presidência do Conselho de Ministros</v>
      </c>
      <c r="D210" s="3" t="str">
        <v>Altera vários diplomas no âmbito da reforma da Administração Pública.</v>
      </c>
      <c r="E210" s="3" t="str">
        <v>Other reference / amendment / outcome / excluded lead</v>
      </c>
      <c r="F210" s="3" t="str"/>
      <c r="G210" s="3" t="str">
        <v>https://diariodarepublica.pt/dr/detalhe/decreto-lei/130-2025-992627242</v>
      </c>
    </row>
    <row r="211" ht="72" customHeight="1">
      <c r="A211" s="3" t="str">
        <v>Decreto-Lei n.º 132/2025, de 24 de dezembro</v>
      </c>
      <c r="B211" s="20" t="d">
        <v>2025-12-24T00:00:00.000Z</v>
      </c>
      <c r="C211" s="3" t="str">
        <v>Presidência do Conselho de Ministros</v>
      </c>
      <c r="D211" s="3" t="str">
        <v>Cria a Agência para a Investigação e Inovação, E. P. E., com a transformação da Agência Nacional de Inovação, S. A., e a fusão da Fundação para a Ciência e a Tecnologia, I. P., bem como à aprovação do respetivo regime jurídico.</v>
      </c>
      <c r="E211" s="3" t="str">
        <v>Other reference / amendment / outcome / excluded lead</v>
      </c>
      <c r="F211" s="3" t="str"/>
      <c r="G211" s="3" t="str">
        <v>https://diariodarepublica.pt/dr/detalhe/decreto-lei/132-2025-992627244</v>
      </c>
    </row>
    <row r="212" ht="72" customHeight="1">
      <c r="A212" s="3" t="str">
        <v>Despacho n.º 15438/2025, de 29 de dezembro</v>
      </c>
      <c r="B212" s="20" t="d">
        <v>2025-12-29T00:00:00.000Z</v>
      </c>
      <c r="C212" s="3" t="str">
        <v>Saúde - Gabinete da Secretária de Estado da Saúde</v>
      </c>
      <c r="D212" s="3" t="str">
        <v>Constituição do Grupo de Trabalho para a definição da Rede Nacional e Sistema Integrado para Transplante de Células Progenitoras Hematopoiéticas.</v>
      </c>
      <c r="E212" s="3" t="str">
        <v>Confirmed creating act</v>
      </c>
      <c r="F212" s="3" t="str">
        <v>GT-2025-043</v>
      </c>
      <c r="G212" s="3" t="str">
        <v>https://diariodarepublica.pt/dr/detalhe/despacho/15438-2025-992877961</v>
      </c>
    </row>
    <row r="213" ht="72" customHeight="1">
      <c r="A213" s="3" t="str">
        <v>Portaria n.º 2/2026/1, de 5 de janeiro</v>
      </c>
      <c r="B213" s="20" t="d">
        <v>2026-01-05T00:00:00.000Z</v>
      </c>
      <c r="C213" s="3" t="str">
        <v>Presidência do Conselho de Ministros, Finanças e Defesa Nacional</v>
      </c>
      <c r="D213" s="3" t="str">
        <v>Fixa a estrutura nuclear da Direção-Geral de Armamento e Património da Defesa Nacional.</v>
      </c>
      <c r="E213" s="3" t="str">
        <v>Other reference / amendment / outcome / excluded lead</v>
      </c>
      <c r="F213" s="3" t="str"/>
      <c r="G213" s="3" t="str">
        <v>https://diariodarepublica.pt/dr/detalhe/portaria/2-2026-993773573</v>
      </c>
    </row>
    <row r="214" ht="72" customHeight="1">
      <c r="A214" s="3" t="str">
        <v>Portaria n.º 3/2026/1, de 5 de janeiro</v>
      </c>
      <c r="B214" s="20" t="d">
        <v>2026-01-05T00:00:00.000Z</v>
      </c>
      <c r="C214" s="3" t="str">
        <v>Presidência do Conselho de Ministros, Finanças e Defesa Nacional</v>
      </c>
      <c r="D214" s="3" t="str">
        <v>Fixa a estrutura nuclear da Direção-Geral de Recursos Humanos da Defesa Nacional.</v>
      </c>
      <c r="E214" s="3" t="str">
        <v>Other reference / amendment / outcome / excluded lead</v>
      </c>
      <c r="F214" s="3" t="str"/>
      <c r="G214" s="3" t="str">
        <v>https://diariodarepublica.pt/dr/detalhe/portaria/3-2026-993773574</v>
      </c>
    </row>
    <row r="215" ht="72" customHeight="1">
      <c r="A215" s="3" t="str">
        <v>Resolução do Conselho de Ministros n.º 1/2026, de 8 de janeiro</v>
      </c>
      <c r="B215" s="20" t="d">
        <v>2026-01-08T00:00:00.000Z</v>
      </c>
      <c r="C215" s="3" t="str">
        <v>Presidência do Conselho de Ministros</v>
      </c>
      <c r="D215" s="3" t="str">
        <v>Aprova a Estratégia para o Aumento da Produção Sustentável de Cereais em Portugal, para o período 2025-2030, abreviadamente designada por Estratégia +Cereais.</v>
      </c>
      <c r="E215" s="3" t="str">
        <v>Other reference / amendment / outcome / excluded lead</v>
      </c>
      <c r="F215" s="3" t="str"/>
      <c r="G215" s="3" t="str">
        <v>https://diariodarepublica.pt/dr/detalhe/resolucao-conselho-ministros/1-2026-1000882015</v>
      </c>
    </row>
    <row r="216" ht="72" customHeight="1">
      <c r="A216" s="3" t="str">
        <v>Decreto Regulamentar n.º 1/2026, de 21 de janeiro</v>
      </c>
      <c r="B216" s="20" t="d">
        <v>2026-01-21T00:00:00.000Z</v>
      </c>
      <c r="C216" s="3" t="str">
        <v>Presidência do Conselho de Ministros</v>
      </c>
      <c r="D216" s="3" t="str">
        <v>Reestrutura o Gabinete de Estratégia e Planeamento e cria a Direção-Geral de Coordenação e Planeamento do Ministério do Trabalho, Solidariedade e Segurança Social.</v>
      </c>
      <c r="E216" s="3" t="str">
        <v>Other reference / amendment / outcome / excluded lead</v>
      </c>
      <c r="F216" s="3" t="str"/>
      <c r="G216" s="3" t="str">
        <v>https://diariodarepublica.pt/dr/detalhe/decreto-regulamentar/1-2026-1017369023</v>
      </c>
    </row>
    <row r="217" ht="72" customHeight="1">
      <c r="A217" s="3" t="str">
        <v>Despacho n.º 661/2026, de 21 de janeiro</v>
      </c>
      <c r="B217" s="20" t="d">
        <v>2026-01-21T00:00:00.000Z</v>
      </c>
      <c r="C217" s="3" t="str">
        <v>Finanças e Defesa Nacional - Gabinete da Secretária de Estado da Administração Pública e Gabinete do Secretário de Estado Adjunto e da Política da Defesa Nacional</v>
      </c>
      <c r="D217" s="3" t="str">
        <v>Constituição do Grupo de Trabalho para a implementação da Medida de Assistência a Cabo Verde, no âmbito do Mecanismo Europeu de Apoio à Paz (MEAP).</v>
      </c>
      <c r="E217" s="3" t="str">
        <v>Confirmed creating act</v>
      </c>
      <c r="F217" s="3" t="str">
        <v>GT-2026-001</v>
      </c>
      <c r="G217" s="3" t="str">
        <v>https://diariodarepublica.pt/dr/detalhe/despacho/661-2026-1016752446</v>
      </c>
    </row>
    <row r="218" ht="72" customHeight="1">
      <c r="A218" s="3" t="str">
        <v>Despacho n.º 831/2026, de 26 de janeiro</v>
      </c>
      <c r="B218" s="20" t="d">
        <v>2026-01-26T00:00:00.000Z</v>
      </c>
      <c r="C218" s="3" t="str">
        <v>Trabalho, Solidariedade e Segurança Social e Cultura, Juventude e Desporto - Gabinete da Ministra do Trabalho, Solidariedade e Segurança Social e Gabinete da Ministra da Cultura, Juventude e Desporto</v>
      </c>
      <c r="D218" s="3" t="str">
        <v>Cria o Grupo de Trabalho para a Valorização dos Calceteiros e da Calçada Portuguesa.</v>
      </c>
      <c r="E218" s="3" t="str">
        <v>Confirmed creating act</v>
      </c>
      <c r="F218" s="3" t="str">
        <v>GT-2026-002</v>
      </c>
      <c r="G218" s="3" t="str">
        <v>https://diariodarepublica.pt/dr/detalhe/despacho/831-2026-1022554176</v>
      </c>
    </row>
    <row r="219" ht="72" customHeight="1">
      <c r="A219" s="3" t="str">
        <v>Despacho n.º 925/2026, de 28 de janeiro</v>
      </c>
      <c r="B219" s="20" t="d">
        <v>2026-01-28T00:00:00.000Z</v>
      </c>
      <c r="C219" s="3" t="str">
        <v>Presidência do Conselho de Ministros e Finanças - Gabinete do Ministro de Estado e das Finanças, Gabinete do Ministro da Presidência e Gabinete do Ministro Adjunto e da Reforma do Estado</v>
      </c>
      <c r="D219" s="3" t="str">
        <v>Designa João Maria Sequeira Nobre Garcia para exercer o cargo de consultor coordenador do Grupo de Trabalho para a Reforma do Estado em regime de comissão de serviço.</v>
      </c>
      <c r="E219" s="3" t="str">
        <v>Other reference / amendment / outcome / excluded lead</v>
      </c>
      <c r="F219" s="3" t="str"/>
      <c r="G219" s="3" t="str">
        <v>https://diariodarepublica.pt/dr/detalhe/despacho/925-2026-1027689731</v>
      </c>
    </row>
    <row r="220" ht="72" customHeight="1">
      <c r="A220" s="3" t="str">
        <v>Despacho n.º 926/2026, de 28 de janeiro</v>
      </c>
      <c r="B220" s="20" t="d">
        <v>2026-01-28T00:00:00.000Z</v>
      </c>
      <c r="C220" s="3" t="str">
        <v>Presidência do Conselho de Ministros e Finanças - Gabinete do Ministro de Estado e das Finanças, Gabinete do Ministro da Presidência e Gabinete do Ministro Adjunto e da Reforma do Estado</v>
      </c>
      <c r="D220" s="3" t="str">
        <v>Designa Marta Martins Belo para exercer o cargo de consultora coordenadora do Grupo de Trabalho para a Reforma do Estado, em regime de comissão de serviço.</v>
      </c>
      <c r="E220" s="3" t="str">
        <v>Other reference / amendment / outcome / excluded lead</v>
      </c>
      <c r="F220" s="3" t="str"/>
      <c r="G220" s="3" t="str">
        <v>https://diariodarepublica.pt/dr/detalhe/despacho/926-2026-1027689732</v>
      </c>
    </row>
    <row r="221" ht="72" customHeight="1">
      <c r="A221" s="3" t="str">
        <v>Despacho n.º 927/2026, de 28 de janeiro</v>
      </c>
      <c r="B221" s="20" t="d">
        <v>2026-01-28T00:00:00.000Z</v>
      </c>
      <c r="C221" s="3" t="str">
        <v>Presidência do Conselho de Ministros e Finanças - Gabinete do Ministro de Estado e das Finanças, Gabinete do Ministro da Presidência e Gabinete do Ministro Adjunto e da Reforma do Estado</v>
      </c>
      <c r="D221" s="3" t="str">
        <v>Designa Afonso Maria Torres da Silva Lobo Machado para exercer o cargo de consultor coordenador do Grupo de Trabalho para a Reforma do Estado, em regime de comissão de serviço.</v>
      </c>
      <c r="E221" s="3" t="str">
        <v>Other reference / amendment / outcome / excluded lead</v>
      </c>
      <c r="F221" s="3" t="str"/>
      <c r="G221" s="3" t="str">
        <v>https://diariodarepublica.pt/dr/detalhe/despacho/927-2026-1027689733</v>
      </c>
    </row>
    <row r="222" ht="72" customHeight="1">
      <c r="A222" s="3" t="str">
        <v>Despacho n.º 928/2026, de 28 de janeiro</v>
      </c>
      <c r="B222" s="20" t="d">
        <v>2026-01-28T00:00:00.000Z</v>
      </c>
      <c r="C222" s="3" t="str">
        <v>Presidência do Conselho de Ministros e Finanças - Gabinete do Ministro de Estado e das Finanças, Gabinete do Ministro da Presidência e Gabinete do Ministro Adjunto e da Reforma do Estado</v>
      </c>
      <c r="D222" s="3" t="str">
        <v>Designa Frederico Bartolomeu Rebelo de Andrade Perestrelo Pinto para exercer o cargo de consultor coordenador do Grupo de Trabalho para a Reforma do Estado, em regime de comissão de serviço.</v>
      </c>
      <c r="E222" s="3" t="str">
        <v>Other reference / amendment / outcome / excluded lead</v>
      </c>
      <c r="F222" s="3" t="str"/>
      <c r="G222" s="3" t="str">
        <v>https://diariodarepublica.pt/dr/detalhe/despacho/928-2026-1027689734</v>
      </c>
    </row>
    <row r="223" ht="72" customHeight="1">
      <c r="A223" s="3" t="str">
        <v>Decreto Regulamentar n.º 3/2026, de 16 de fevereiro</v>
      </c>
      <c r="B223" s="20" t="d">
        <v>2026-02-16T00:00:00.000Z</v>
      </c>
      <c r="C223" s="3" t="str">
        <v>Presidência do Conselho de Ministros</v>
      </c>
      <c r="D223" s="3" t="str">
        <v>Reestrutura a Direção-Geral do Emprego e das Relações do Trabalho.</v>
      </c>
      <c r="E223" s="3" t="str">
        <v>Other reference / amendment / outcome / excluded lead</v>
      </c>
      <c r="F223" s="3" t="str"/>
      <c r="G223" s="3" t="str">
        <v>https://diariodarepublica.pt/dr/detalhe/decreto-regulamentar/3-2026-1051282297</v>
      </c>
    </row>
    <row r="224" ht="72" customHeight="1">
      <c r="A224" s="3" t="str">
        <v>Despacho n.º 1994/2026, de 17 de fevereiro</v>
      </c>
      <c r="B224" s="20" t="d">
        <v>2026-02-17T00:00:00.000Z</v>
      </c>
      <c r="C224" s="3" t="str">
        <v>Economia e Coesão Territorial e Educação, Ciência e Inovação - Gabinete do Ministro da Economia e da Coesão Territorial e Gabinete do Ministro da Educação, Ciência e Inovação</v>
      </c>
      <c r="D224" s="3" t="str">
        <v>Determina a criação de um grupo de trabalho com a missão de proceder à análise do ecossistema nacional de investigação e inovação.</v>
      </c>
      <c r="E224" s="3" t="str">
        <v>Confirmed creating act</v>
      </c>
      <c r="F224" s="3" t="str">
        <v>GT-2026-003</v>
      </c>
      <c r="G224" s="3" t="str">
        <v>https://diariodarepublica.pt/dr/detalhe/despacho/1994-2026-1051076689</v>
      </c>
    </row>
    <row r="225" ht="72" customHeight="1">
      <c r="A225" s="3" t="str">
        <v>Decreto-Lei n.º 58/2026, de 20 de fevereiro</v>
      </c>
      <c r="B225" s="20" t="d">
        <v>2026-02-20T00:00:00.000Z</v>
      </c>
      <c r="C225" s="3" t="str">
        <v>Presidência do Conselho de Ministros</v>
      </c>
      <c r="D225" s="3" t="str">
        <v>Cria a Agência de Geologia e Energia, I. P., e aprova a respetiva orgânica e extingue por fusão a Direção-Geral de Energia e Geologia, o Laboratório Nacional de Energia e Geologia, I. P., a EDM ― Empresa de Desenvolvimento Mineiro, S. A., e a EDMI ― Empresa de Projetos Imobiliários, S. A.</v>
      </c>
      <c r="E225" s="3" t="str">
        <v>Other reference / amendment / outcome / excluded lead</v>
      </c>
      <c r="F225" s="3" t="str"/>
      <c r="G225" s="3" t="str">
        <v>https://diariodarepublica.pt/dr/detalhe/decreto-lei/58-2026-1055043916</v>
      </c>
    </row>
    <row r="226" ht="72" customHeight="1">
      <c r="A226" s="3" t="str">
        <v>Decreto n.º 10/2026, de 27 de fevereiro</v>
      </c>
      <c r="B226" s="20" t="d">
        <v>2026-02-27T00:00:00.000Z</v>
      </c>
      <c r="C226" s="3" t="str">
        <v>Presidência do Conselho de Ministros</v>
      </c>
      <c r="D226" s="3" t="str">
        <v>Aprova o Acordo de Cooperação entre a República Portuguesa e a República Francesa nos Domínios da Língua, Educação, Ciência, Ensino Superior, Cultura, Juventude e Desporto, feito no Porto, em 28 de fevereiro de 2025.</v>
      </c>
      <c r="E226" s="3" t="str">
        <v>Other reference / amendment / outcome / excluded lead</v>
      </c>
      <c r="F226" s="3" t="str"/>
      <c r="G226" s="3" t="str">
        <v>https://diariodarepublica.pt/dr/detalhe/decreto/10-2026-1062753815</v>
      </c>
    </row>
    <row r="227" ht="72" customHeight="1">
      <c r="A227" s="3" t="str">
        <v>Resolução do Conselho de Ministros n.º 48/2026, de 6 de março</v>
      </c>
      <c r="B227" s="20" t="d">
        <v>2026-03-06T00:00:00.000Z</v>
      </c>
      <c r="C227" s="3" t="str">
        <v>Presidência do Conselho de Ministros</v>
      </c>
      <c r="D227" s="3" t="str">
        <v>Aprova o IV Plano Nacional de Ação para a Implementação da Resolução do Conselho de Segurança das Nações Unidas n.º 1325 (2000) sobre Mulheres, Paz e Segurança 2026-2030.</v>
      </c>
      <c r="E227" s="3" t="str">
        <v>Other reference / amendment / outcome / excluded lead</v>
      </c>
      <c r="F227" s="3" t="str"/>
      <c r="G227" s="3" t="str">
        <v>https://diariodarepublica.pt/dr/detalhe/resolucao-conselho-ministros/48-2026-1068062487</v>
      </c>
    </row>
    <row r="228" ht="72" customHeight="1">
      <c r="A228" s="3" t="str">
        <v>Despacho n.º 3089/2026, de 11 de março</v>
      </c>
      <c r="B228" s="20" t="d">
        <v>2026-03-11T00:00:00.000Z</v>
      </c>
      <c r="C228" s="3" t="str">
        <v>Presidência do Conselho de Ministros e Economia e Coesão Territorial - Gabinete do Secretário de Estado do Planeamento e Desenvolvimento Regional e Gabinete da Secretária de Estado da Habitação</v>
      </c>
      <c r="D228" s="3" t="str">
        <v>Cria um grupo de trabalho interministerial para a definição das linhas orientadoras e acompanhamento dos apoios ao setor da Habitação Acessível no Portugal 2030.</v>
      </c>
      <c r="E228" s="3" t="str">
        <v>Confirmed creating act</v>
      </c>
      <c r="F228" s="3" t="str">
        <v>GT-2026-004</v>
      </c>
      <c r="G228" s="3" t="str">
        <v>https://diariodarepublica.pt/dr/detalhe/despacho/3089-2026-1070724105</v>
      </c>
    </row>
    <row r="229" ht="72" customHeight="1">
      <c r="A229" s="3" t="str">
        <v>Despacho n.º 3293/2026, de 13 de março</v>
      </c>
      <c r="B229" s="20" t="d">
        <v>2026-03-13T00:00:00.000Z</v>
      </c>
      <c r="C229" s="3" t="str">
        <v>Presidência do Conselho de Ministros e Educação, Ciência e Inovação - Gabinete do Ministro Adjunto e da Reforma do Estado e Gabinete do Ministro da Educação, Ciência e Inovação</v>
      </c>
      <c r="D229" s="3" t="str">
        <v>Define o modelo de governação e monitorização da reforma orgânica do Ministério da Educação, Ciência e Inovação.</v>
      </c>
      <c r="E229" s="3" t="str">
        <v>Other reference / amendment / outcome / excluded lead</v>
      </c>
      <c r="F229" s="3" t="str"/>
      <c r="G229" s="3" t="str">
        <v>https://diariodarepublica.pt/dr/detalhe/despacho/3293-2026-1071481439</v>
      </c>
    </row>
    <row r="230" ht="72" customHeight="1">
      <c r="A230" s="3" t="str">
        <v>Despacho n.º 3317/2026, de 13 de março</v>
      </c>
      <c r="B230" s="20" t="d">
        <v>2026-03-13T00:00:00.000Z</v>
      </c>
      <c r="C230" s="3" t="str">
        <v>Educação, Ciência e Inovação - Gabinete do Ministro da Educação, Ciência e Inovação</v>
      </c>
      <c r="D230" s="3" t="str">
        <v>Cria o Grupo de Trabalho «Proibição do desenvolvimento de atividades contrárias aos fins visados pelas instituições educativas» para elaborar orientações aos diretores e aos restantes órgãos de direção, administração e gestão das escolas sobre a inadmissibilidade de atividades que colidam com a ética e os valores de uma cidadania democrática.</v>
      </c>
      <c r="E230" s="3" t="str">
        <v>Confirmed creating act</v>
      </c>
      <c r="F230" s="3" t="str">
        <v>GT-2026-005</v>
      </c>
      <c r="G230" s="3" t="str">
        <v>https://diariodarepublica.pt/dr/detalhe/despacho/3317-2026-1071481467</v>
      </c>
    </row>
    <row r="231" ht="72" customHeight="1">
      <c r="A231" s="3" t="str">
        <v>Decreto-Lei n.º 79/2026, de 17 de março</v>
      </c>
      <c r="B231" s="20" t="d">
        <v>2026-03-17T00:00:00.000Z</v>
      </c>
      <c r="C231" s="3" t="str">
        <v>Presidência do Conselho de Ministros</v>
      </c>
      <c r="D231" s="3" t="str">
        <v>Regulamenta a Lei n.º 75/2021, de 18 de novembro, que reforça o acesso ao crédito e contrato de seguros por pessoas que tenham superado ou mitigado situações de risco agravado de saúde ou de deficiência, proibindo práticas discriminatórias e consagrando o direito ao esquecimento.</v>
      </c>
      <c r="E231" s="3" t="str">
        <v>Other reference / amendment / outcome / excluded lead</v>
      </c>
      <c r="F231" s="3" t="str"/>
      <c r="G231" s="3" t="str">
        <v>https://diariodarepublica.pt/dr/detalhe/decreto-lei/79-2026-1073088591</v>
      </c>
    </row>
    <row r="232" ht="72" customHeight="1">
      <c r="A232" s="3" t="str">
        <v>Portaria n.º 119/2026/1, de 19 de março</v>
      </c>
      <c r="B232" s="20" t="d">
        <v>2026-03-19T00:00:00.000Z</v>
      </c>
      <c r="C232" s="3" t="str">
        <v>Ambiente e Energia e Agricultura e Mar</v>
      </c>
      <c r="D232" s="3" t="str">
        <v>Aprova o Plano de Ação Nacional para o Uso Sustentável dos Produtos Fitofarmacêuticos ― 2.ª Revisão, elaborado pelo grupo de trabalho designado através do Despacho n.º 14507/2025, de 28 de novembro, publicado no Diário da República, 2.ª série, n.º 235, de 5 de dezembro de 2025.</v>
      </c>
      <c r="E232" s="3" t="str">
        <v>Other reference / amendment / outcome / excluded lead</v>
      </c>
      <c r="F232" s="3" t="str"/>
      <c r="G232" s="3" t="str">
        <v>https://diariodarepublica.pt/dr/detalhe/portaria/119-2026-1074104065</v>
      </c>
    </row>
    <row r="233" ht="72" customHeight="1">
      <c r="A233" s="3" t="str">
        <v>Resolução do Conselho de Ministros n.º 56/2026, de 23 de março</v>
      </c>
      <c r="B233" s="20" t="d">
        <v>2026-03-23T00:00:00.000Z</v>
      </c>
      <c r="C233" s="3" t="str">
        <v>Presidência do Conselho de Ministros</v>
      </c>
      <c r="D233" s="3" t="str">
        <v>Elaboração do Programa Regional de Ordenamento do Território do Norte.</v>
      </c>
      <c r="E233" s="3" t="str">
        <v>Other reference / amendment / outcome / excluded lead</v>
      </c>
      <c r="F233" s="3" t="str"/>
      <c r="G233" s="3" t="str">
        <v>https://diariodarepublica.pt/dr/detalhe/resolucao-conselho-ministros/56-2026-1075293616</v>
      </c>
    </row>
    <row r="234" ht="72" customHeight="1">
      <c r="A234" s="3" t="str">
        <v>Resolução do Conselho de Ministros n.º 57/2026, de 23 de março</v>
      </c>
      <c r="B234" s="20" t="d">
        <v>2026-03-23T00:00:00.000Z</v>
      </c>
      <c r="C234" s="3" t="str">
        <v>Presidência do Conselho de Ministros</v>
      </c>
      <c r="D234" s="3" t="str">
        <v>Elaboração do Programa Regional de Ordenamento do Território do Centro.</v>
      </c>
      <c r="E234" s="3" t="str">
        <v>Other reference / amendment / outcome / excluded lead</v>
      </c>
      <c r="F234" s="3" t="str"/>
      <c r="G234" s="3" t="str">
        <v>https://diariodarepublica.pt/dr/detalhe/resolucao-conselho-ministros/57-2026-1075293617</v>
      </c>
    </row>
    <row r="235" ht="72" customHeight="1">
      <c r="A235" s="3" t="str">
        <v>Despacho n.º 3808/2026, de 24 de março</v>
      </c>
      <c r="B235" s="20" t="d">
        <v>2026-03-24T00:00:00.000Z</v>
      </c>
      <c r="C235" s="3" t="str">
        <v>Trabalho, Solidariedade e Segurança Social - Gabinete da Secretária de Estado da Ação Social e da Inclusão</v>
      </c>
      <c r="D235" s="3" t="str">
        <v>Constituição de um grupo de trabalho para estudar a implementação de um programa de redefinição da resposta social creche familiar, bem como a qualificação profissional necessária e a simplificação nos procedimentos e requisitos para o acesso à profissão de ama.</v>
      </c>
      <c r="E235" s="3" t="str">
        <v>Confirmed creating act</v>
      </c>
      <c r="F235" s="3" t="str">
        <v>GT-2026-006</v>
      </c>
      <c r="G235" s="3" t="str">
        <v>https://diariodarepublica.pt/dr/detalhe/despacho/3808-2026-1075988859</v>
      </c>
    </row>
    <row r="236" ht="72" customHeight="1">
      <c r="A236" s="3" t="str">
        <v>Despacho n.º 3965/2026, de 26 de março</v>
      </c>
      <c r="B236" s="20" t="d">
        <v>2026-03-26T00:00:00.000Z</v>
      </c>
      <c r="C236" s="3" t="str">
        <v>Economia e Coesão Territorial e Defesa Nacional - Gabinete do Secretário de Estado do Planeamento e Desenvolvimento Regional, Gabinete do Secretário de Estado da Economia e Gabinete do Secretário de Estado Adjunto e da Defesa Nacional</v>
      </c>
      <c r="D236" s="3" t="str">
        <v>Cria um grupo de trabalho interministerial para definição das linhas orientadoras e acompanhamento dos apoios ao setor da defesa no Portugal 2030.</v>
      </c>
      <c r="E236" s="3" t="str">
        <v>Confirmed creating act</v>
      </c>
      <c r="F236" s="3" t="str">
        <v>GT-2026-007</v>
      </c>
      <c r="G236" s="3" t="str">
        <v>https://diariodarepublica.pt/dr/detalhe/despacho/3965-2026-1077349638</v>
      </c>
    </row>
    <row r="237" ht="72" customHeight="1">
      <c r="A237" s="3" t="str">
        <v>Despacho n.º 4214/2026, de 31 de março</v>
      </c>
      <c r="B237" s="20" t="d">
        <v>2026-03-31T00:00:00.000Z</v>
      </c>
      <c r="C237" s="3" t="str">
        <v>Ambiente e Energia - Gabinete da Ministra do Ambiente e Energia</v>
      </c>
      <c r="D237" s="3" t="str">
        <v>Aprova o «Polinizadores em Ação» ― Plano de Ação para a Conservação e Sustentabilidade dos Polinizadores em Portugal.</v>
      </c>
      <c r="E237" s="3" t="str">
        <v>Discovery / scope exclusion</v>
      </c>
      <c r="F237" s="3" t="str"/>
      <c r="G237" s="3" t="str">
        <v>https://diariodarepublica.pt/dr/detalhe/despacho/4214-2026-1080130550</v>
      </c>
    </row>
    <row r="238" ht="72" customHeight="1">
      <c r="A238" s="3" t="str">
        <v>Resolução do Conselho de Ministros n.º 64-A/2026, de 31 de março</v>
      </c>
      <c r="B238" s="20" t="d">
        <v>2026-03-31T00:00:00.000Z</v>
      </c>
      <c r="C238" s="3" t="str">
        <v>Presidência do Conselho de Ministros</v>
      </c>
      <c r="D238" s="3" t="str">
        <v>Aprova a Estratégia para os Direitos das Pessoas com Deficiência 2026-2030.</v>
      </c>
      <c r="E238" s="3" t="str">
        <v>Discovery / scope exclusion</v>
      </c>
      <c r="F238" s="3" t="str"/>
      <c r="G238" s="3" t="str">
        <v>https://diariodarepublica.pt/dr/detalhe/resolucao-conselho-ministros/64-a-2026-1080481227</v>
      </c>
    </row>
    <row r="239" ht="72" customHeight="1">
      <c r="A239" s="3" t="str">
        <v>Resolução do Conselho de Ministros n.º 64-B/2026, de 31 de março</v>
      </c>
      <c r="B239" s="20" t="d">
        <v>2026-03-31T00:00:00.000Z</v>
      </c>
      <c r="C239" s="3" t="str">
        <v>Presidência do Conselho de Ministros</v>
      </c>
      <c r="D239" s="3" t="str">
        <v>Aprova os Planos de Ação da Estratégia para os Direitos das Pessoas com Deficiência 2026-2030.</v>
      </c>
      <c r="E239" s="3" t="str">
        <v>Other reference / amendment / outcome / excluded lead</v>
      </c>
      <c r="F239" s="3" t="str"/>
      <c r="G239" s="3" t="str">
        <v>https://diariodarepublica.pt/dr/detalhe/resolucao-conselho-ministros/64-b-2026-1080481228</v>
      </c>
    </row>
    <row r="240" ht="72" customHeight="1">
      <c r="A240" s="3" t="str">
        <v>Despacho n.º 4319/2026, de 2 de abril</v>
      </c>
      <c r="B240" s="20" t="d">
        <v>2026-04-02T00:00:00.000Z</v>
      </c>
      <c r="C240" s="3" t="str">
        <v>Economia e Coesão Territorial - Gabinete do Ministro da Economia e da Coesão Territorial</v>
      </c>
      <c r="D240" s="3" t="str">
        <v>Determina a criação de um grupo de trabalho destinado a apoiar o Fórum Estratégico Luso-Espanhol para uma Maior Competitividade.</v>
      </c>
      <c r="E240" s="3" t="str">
        <v>Confirmed creating act</v>
      </c>
      <c r="F240" s="3" t="str">
        <v>GT-2026-008</v>
      </c>
      <c r="G240" s="3" t="str">
        <v>https://diariodarepublica.pt/dr/detalhe/despacho/4319-2026-1080930313</v>
      </c>
    </row>
    <row r="241" ht="72" customHeight="1">
      <c r="A241" s="3" t="str">
        <v>Despacho n.º 4643/2026, de 9 de abril</v>
      </c>
      <c r="B241" s="20" t="d">
        <v>2026-04-09T00:00:00.000Z</v>
      </c>
      <c r="C241" s="3" t="str">
        <v>Presidência do Conselho de Ministros, Negócios Estrangeiros, Economia e Coesão Territorial, Defesa Nacional, Educação, Ciência e Inovação e Ambiente e Energia - Gabinete do Ministro de Estado e dos Negócios Estrangeiros, Gabinete do Ministro da Economia e da Coesão Territorial, Gabinete do Ministro da Defesa Nacional, Gabinete do Ministro das Infraestruturas e Habitação, Gabinete do Ministro da Educação, Ciência e Inovação e Gabinete da Ministra do Ambiente e Energia</v>
      </c>
      <c r="D241" s="3" t="str">
        <v>Altera a composição do Grupo de Trabalho Interministerial para o Espaço e revoga o Despacho n.º 10547/2025, de 8 de setembro.</v>
      </c>
      <c r="E241" s="3" t="str">
        <v>Confirmed creating act</v>
      </c>
      <c r="F241" s="3" t="str">
        <v>GT-2026-009</v>
      </c>
      <c r="G241" s="3" t="str">
        <v>https://diariodarepublica.pt/dr/detalhe/despacho/4643-2026-1082906758</v>
      </c>
    </row>
    <row r="242" ht="72" customHeight="1">
      <c r="A242" s="3" t="str">
        <v>Despacho n.º 4650/2026, de 9 de abril</v>
      </c>
      <c r="B242" s="20" t="d">
        <v>2026-04-09T00:00:00.000Z</v>
      </c>
      <c r="C242" s="3" t="str">
        <v>Negócios Estrangeiros, Finanças e Cultura, Juventude e Desporto - Gabinete do Ministro de Estado e dos Negócios Estrangeiros, Gabinete do Ministro de Estado e das Finanças e Gabinete da Ministra da Cultura, Juventude e Desporto</v>
      </c>
      <c r="D242" s="3" t="str">
        <v>Cria a comissão de acompanhamento da exposição «Camões na Biblioteca Nacional de Espanha», para assegurar a coordenação eficaz e integrada dos trabalhos da exposição, na parte respeitante a Portugal.</v>
      </c>
      <c r="E242" s="3" t="str">
        <v>Related body / governance</v>
      </c>
      <c r="F242" s="3" t="str"/>
      <c r="G242" s="3" t="str">
        <v>https://diariodarepublica.pt/dr/detalhe/despacho/4650-2026-1082906767</v>
      </c>
    </row>
    <row r="243" ht="72" customHeight="1">
      <c r="A243" s="3" t="str">
        <v>Despacho n.º 4749/2026, de 13 de abril</v>
      </c>
      <c r="B243" s="20" t="d">
        <v>2026-04-13T00:00:00.000Z</v>
      </c>
      <c r="C243" s="3" t="str">
        <v>Presidência do Conselho de Ministros, Finanças e Economia e Coesão Territorial - Gabinete do Ministro de Estado e das Finanças, Gabinete do Ministro da Presidência e Gabinete do Ministro da Economia e da Coesão Territorial</v>
      </c>
      <c r="D243" s="3" t="str">
        <v>Cria o Grupo de Trabalho para a Revisão da Lei das Finanças Locais.</v>
      </c>
      <c r="E243" s="3" t="str">
        <v>Confirmed creating act</v>
      </c>
      <c r="F243" s="3" t="str">
        <v>GT-2026-010</v>
      </c>
      <c r="G243" s="3" t="str">
        <v>https://diariodarepublica.pt/dr/detalhe/despacho/4749-2026-1084035715</v>
      </c>
    </row>
    <row r="244" ht="72" customHeight="1">
      <c r="A244" s="3" t="str">
        <v>Despacho n.º 4750/2026, de 13 de abril</v>
      </c>
      <c r="B244" s="20" t="d">
        <v>2026-04-13T00:00:00.000Z</v>
      </c>
      <c r="C244" s="3" t="str">
        <v>Presidência do Conselho de Ministros, Economia e Coesão Territorial e Ambiente e Energia - Gabinete do Ministro da Economia e da Coesão Territorial, Gabinete do Ministro das Infraestruturas e Habitação e Gabinete da Ministra do Ambiente e Energia</v>
      </c>
      <c r="D244" s="3" t="str">
        <v>Prorroga o mandato do grupo de trabalho para a melhoria da qualidade do ar nas zonas ou aglomerações com excedências aos objetivos de proteção da saúde para o dióxido de azoto.</v>
      </c>
      <c r="E244" s="3" t="str">
        <v>Working-group amendment / lifecycle</v>
      </c>
      <c r="F244" s="3" t="str"/>
      <c r="G244" s="3" t="str">
        <v>https://diariodarepublica.pt/dr/detalhe/despacho/4750-2026-1084035716</v>
      </c>
    </row>
    <row r="245" ht="72" customHeight="1">
      <c r="A245" s="3" t="str">
        <v>Despacho n.º 4762/2026, de 13 de abril</v>
      </c>
      <c r="B245" s="20" t="d">
        <v>2026-04-13T00:00:00.000Z</v>
      </c>
      <c r="C245" s="3" t="str">
        <v>Saúde - Gabinete da Ministra da Saúde</v>
      </c>
      <c r="D245" s="3" t="str">
        <v>Aprova o modelo de governação do Plano Nacional da Saúde para as Demências, no quadro da Estratégia da Saúde na Área das Demências.</v>
      </c>
      <c r="E245" s="3" t="str">
        <v>Related body / governance</v>
      </c>
      <c r="F245" s="3" t="str"/>
      <c r="G245" s="3" t="str">
        <v>https://diariodarepublica.pt/dr/detalhe/despacho/4762-2026-1084035742</v>
      </c>
    </row>
    <row r="246" ht="72" customHeight="1">
      <c r="A246" s="3" t="str">
        <v>Despacho n.º 5146/2026, de 20 de abril</v>
      </c>
      <c r="B246" s="20" t="d">
        <v>2026-04-20T00:00:00.000Z</v>
      </c>
      <c r="C246" s="3" t="str">
        <v>Economia e Coesão Territorial e Ambiente e Energia - Gabinete do Ministro da Economia e da Coesão Territorial e Gabinete da Ministra do Ambiente e Energia</v>
      </c>
      <c r="D246" s="3" t="str">
        <v>Determina a elaboração da Estratégia Nacional para os Recursos Geológicos 2035.</v>
      </c>
      <c r="E246" s="3" t="str">
        <v>Confirmed creating act</v>
      </c>
      <c r="F246" s="3" t="str">
        <v>GT-2026-011</v>
      </c>
      <c r="G246" s="3" t="str">
        <v>https://diariodarepublica.pt/dr/detalhe/despacho/5146-2026-1086825315</v>
      </c>
    </row>
    <row r="247" ht="72" customHeight="1">
      <c r="A247" s="3" t="str">
        <v>Despacho n.º 5409/2026, de 24 de abril</v>
      </c>
      <c r="B247" s="20" t="d">
        <v>2026-04-24T00:00:00.000Z</v>
      </c>
      <c r="C247" s="3" t="str">
        <v>Trabalho, Solidariedade e Segurança Social - Gabinete da Ministra do Trabalho, Solidariedade e Segurança Social</v>
      </c>
      <c r="D247" s="3" t="str">
        <v>Prorroga a data estabelecida no n.º 8 do Despacho n.º 1452/2025, de 31 de janeiro, para apresentação do relatório final do grupo de trabalho criado para propor medidas tendentes à reforma da Segurança Social.</v>
      </c>
      <c r="E247" s="3" t="str">
        <v>Working-group amendment / lifecycle</v>
      </c>
      <c r="F247" s="3" t="str"/>
      <c r="G247" s="3" t="str">
        <v>https://diariodarepublica.pt/dr/detalhe/despacho/5409-2026-1090795689</v>
      </c>
    </row>
    <row r="248" ht="72" customHeight="1">
      <c r="A248" s="3" t="str">
        <v>Despacho n.º 5625/2026, de 29 de abril</v>
      </c>
      <c r="B248" s="20" t="d">
        <v>2026-04-29T00:00:00.000Z</v>
      </c>
      <c r="C248" s="3" t="str">
        <v>Educação, Ciência e Inovação - Instituto de Educação, Qualidade e Avaliação, IP</v>
      </c>
      <c r="D248" s="3" t="str">
        <v>Criação da Equipa Multidisciplinar de Gestão da Mudança e designação da docente Carla Isabel Moreira Alves de Barros como chefe de equipa.</v>
      </c>
      <c r="E248" s="3" t="str">
        <v>Other reference / amendment / outcome / excluded lead</v>
      </c>
      <c r="F248" s="3" t="str"/>
      <c r="G248" s="3" t="str">
        <v>https://diariodarepublica.pt/dr/detalhe/despacho/5625-2026-1095311077</v>
      </c>
    </row>
    <row r="249" ht="72" customHeight="1">
      <c r="A249" s="3" t="str">
        <v>Despacho n.º 5900/2026, de 8 de maio</v>
      </c>
      <c r="B249" s="20" t="d">
        <v>2026-05-08T00:00:00.000Z</v>
      </c>
      <c r="C249" s="3" t="str">
        <v>Saúde - Gabinete da Ministra da Saúde</v>
      </c>
      <c r="D249" s="3" t="str">
        <v>Define o grupo de trabalho que irá proceder à elaboração de propostas de redes de referenciação hospitalar de cardiologia, de cirurgia cardíaca e de cirurgia torácica, incluindo uma rede de serviços de urgência.</v>
      </c>
      <c r="E249" s="3" t="str">
        <v>Confirmed creating act</v>
      </c>
      <c r="F249" s="3" t="str">
        <v>GT-2026-012</v>
      </c>
      <c r="G249" s="3" t="str">
        <v>https://diariodarepublica.pt/dr/detalhe/despacho/5900-2026-1114075412</v>
      </c>
    </row>
    <row r="250" ht="72" customHeight="1">
      <c r="A250" s="3" t="str">
        <v>Portaria n.º 231/2026/1, de 26 de maio</v>
      </c>
      <c r="B250" s="20" t="d">
        <v>2026-05-26T00:00:00.000Z</v>
      </c>
      <c r="C250" s="3" t="str">
        <v>Presidência do Conselho de Ministros, Finanças e Trabalho, Solidariedade e Segurança Social</v>
      </c>
      <c r="D250" s="3" t="str">
        <v>Aprova os Estatutos do Instituto da Segurança Social, I. P.</v>
      </c>
      <c r="E250" s="3" t="str">
        <v>Other reference / amendment / outcome / excluded lead</v>
      </c>
      <c r="F250" s="3" t="str"/>
      <c r="G250" s="3" t="str">
        <v>https://diariodarepublica.pt/dr/detalhe/portaria/231-2026-1126594011</v>
      </c>
    </row>
    <row r="251" ht="72" customHeight="1">
      <c r="A251" s="3" t="str">
        <v>Resolução do Conselho de Ministros n.º 101/2026, de 27 de maio</v>
      </c>
      <c r="B251" s="20" t="d">
        <v>2026-05-27T00:00:00.000Z</v>
      </c>
      <c r="C251" s="3" t="str">
        <v>Presidência do Conselho de Ministros</v>
      </c>
      <c r="D251" s="3" t="str">
        <v>Aprova o Plano Nacional de Qualificações do Sistema de Gestão Integrada de Fogos Rurais.</v>
      </c>
      <c r="E251" s="3" t="str">
        <v>Other reference / amendment / outcome / excluded lead</v>
      </c>
      <c r="F251" s="3" t="str"/>
      <c r="G251" s="3" t="str">
        <v>https://diariodarepublica.pt/dr/detalhe/resolucao-conselho-ministros/101-2026-1126675658</v>
      </c>
    </row>
    <row r="252" ht="72" customHeight="1">
      <c r="A252" s="3" t="str">
        <v>Despacho n.º 6859/2026, de 29 de maio</v>
      </c>
      <c r="B252" s="20" t="d">
        <v>2026-05-29T00:00:00.000Z</v>
      </c>
      <c r="C252" s="3" t="str">
        <v>Finanças e Justiça - Gabinete do Ministro de Estado e das Finanças e Gabinete da Ministra da Justiça</v>
      </c>
      <c r="D252" s="3" t="str">
        <v>Cria grupo de trabalho para elaboração de anteprojeto de diploma com vista à reforma do processo penal, em especial em matéria de recursos, instrução e promoção da eficácia e da celeridade do processo penal.</v>
      </c>
      <c r="E252" s="3" t="str">
        <v>Confirmed creating act</v>
      </c>
      <c r="F252" s="3" t="str">
        <v>GT-2026-013</v>
      </c>
      <c r="G252" s="3" t="str">
        <v>https://diariodarepublica.pt/dr/detalhe/despacho/6859-2026-1127910940</v>
      </c>
    </row>
    <row r="253" ht="72" customHeight="1">
      <c r="A253" s="3" t="str">
        <v>Despacho n.º 6922/2026, de 1 de junho</v>
      </c>
      <c r="B253" s="20" t="d">
        <v>2026-06-01T00:00:00.000Z</v>
      </c>
      <c r="C253" s="3" t="str">
        <v>Presidência do Conselho de Ministros e Finanças - Gabinete do Ministro de Estado e das Finanças, Gabinete do Ministro da Presidência e Gabinete do Ministro Adjunto e da Reforma do Estado</v>
      </c>
      <c r="D253" s="3" t="str">
        <v>Designa, em comissão de serviço, para exercer o cargo de consultor sénior do Grupo de Trabalho para a Reforma do Estado Fernando Augusto Rodrigues Frutuoso de Melo.</v>
      </c>
      <c r="E253" s="3" t="str">
        <v>Other reference / amendment / outcome / excluded lead</v>
      </c>
      <c r="F253" s="3" t="str"/>
      <c r="G253" s="3" t="str">
        <v>https://diariodarepublica.pt/dr/detalhe/despacho/6922-2026-1128419953</v>
      </c>
    </row>
    <row r="254" ht="72" customHeight="1">
      <c r="A254" s="3" t="str">
        <v>Despacho n.º 6941/2026, de 1 de junho</v>
      </c>
      <c r="B254" s="20" t="d">
        <v>2026-06-01T00:00:00.000Z</v>
      </c>
      <c r="C254" s="3" t="str">
        <v>Ambiente e Energia - Gabinete do Secretário de Estado Adjunto e da Energia</v>
      </c>
      <c r="D254" s="3" t="str">
        <v>Cria o Grupo de Trabalho para a Reforma do Modelo de Acesso à Rede Elétrica de Serviço Público.</v>
      </c>
      <c r="E254" s="3" t="str">
        <v>Confirmed creating act</v>
      </c>
      <c r="F254" s="3" t="str">
        <v>GT-2026-014</v>
      </c>
      <c r="G254" s="3" t="str">
        <v>https://diariodarepublica.pt/dr/detalhe/despacho/6941-2026-1128499274</v>
      </c>
    </row>
    <row r="255" ht="72" customHeight="1">
      <c r="A255" s="3" t="str">
        <v>Despacho n.º 7083/2026, de 3 de junho</v>
      </c>
      <c r="B255" s="20" t="d">
        <v>2026-06-03T00:00:00.000Z</v>
      </c>
      <c r="C255" s="3" t="str">
        <v>Ambiente e Energia e Agricultura e Mar - Gabinete da Ministra do Ambiente e Energia e Gabinete do Ministro da Agricultura e Mar</v>
      </c>
      <c r="D255" s="3" t="str">
        <v>Determina a criação de programa nacional para mapeamento e monitorização de ecossistemas marinhos.</v>
      </c>
      <c r="E255" s="3" t="str">
        <v>Other reference / amendment / outcome / excluded lead</v>
      </c>
      <c r="F255" s="3" t="str"/>
      <c r="G255" s="3" t="str">
        <v>https://diariodarepublica.pt/dr/detalhe/despacho/7083-2026-1129395644</v>
      </c>
    </row>
    <row r="256" ht="72" customHeight="1">
      <c r="A256" s="3" t="str">
        <v>Portaria n.º 249/2026/1, de 5 de junho</v>
      </c>
      <c r="B256" s="20" t="d">
        <v>2026-06-05T00:00:00.000Z</v>
      </c>
      <c r="C256" s="3" t="str">
        <v>Cultura, Juventude e Desporto</v>
      </c>
      <c r="D256" s="3" t="str">
        <v>Aprova o procedimento conducente à decisão do membro do Governo responsável pela área da cultura relativamente à afetação dos recintos de cinema a atividade de natureza diferente.</v>
      </c>
      <c r="E256" s="3" t="str">
        <v>Other reference / amendment / outcome / excluded lead</v>
      </c>
      <c r="F256" s="3" t="str"/>
      <c r="G256" s="3" t="str">
        <v>https://diariodarepublica.pt/dr/detalhe/portaria/249-2026-1129514956</v>
      </c>
    </row>
    <row r="257" ht="72" customHeight="1">
      <c r="A257" s="3" t="str">
        <v>Decreto-Lei n.º 113/2026, de 8 de junho</v>
      </c>
      <c r="B257" s="20" t="d">
        <v>2026-06-08T00:00:00.000Z</v>
      </c>
      <c r="C257" s="3" t="str">
        <v>Presidência do Conselho de Ministros</v>
      </c>
      <c r="D257" s="3" t="str">
        <v>Aprova o regime jurídico do licenciamento de testes de sistemas automáticos de condução.</v>
      </c>
      <c r="E257" s="3" t="str">
        <v>Other reference / amendment / outcome / excluded lead</v>
      </c>
      <c r="F257" s="3" t="str"/>
      <c r="G257" s="3" t="str">
        <v>https://diariodarepublica.pt/dr/detalhe/decreto-lei/113-2026-1130121306</v>
      </c>
    </row>
    <row r="258" ht="72" customHeight="1">
      <c r="A258" s="3" t="str">
        <v>Despacho n.º 7229/2026, de 8 de junho</v>
      </c>
      <c r="B258" s="20" t="d">
        <v>2026-06-08T00:00:00.000Z</v>
      </c>
      <c r="C258" s="3" t="str">
        <v>Trabalho, Solidariedade e Segurança Social - Gabinete do Secretário de Estado Adjunto e do Trabalho</v>
      </c>
      <c r="D258" s="3" t="str">
        <v>Determina a constituição de um grupo de trabalho com o objetivo de elaborar uma proposta de Lei Geral da Segurança e Saúde no Trabalho.</v>
      </c>
      <c r="E258" s="3" t="str">
        <v>Confirmed creating act</v>
      </c>
      <c r="F258" s="3" t="str">
        <v>GT-2026-015</v>
      </c>
      <c r="G258" s="3" t="str">
        <v>https://diariodarepublica.pt/dr/detalhe/despacho/7229-2026-1130120993</v>
      </c>
    </row>
    <row r="259" ht="72" customHeight="1">
      <c r="A259" s="3" t="str">
        <v>Regulamento n.º 711/2026, de 8 de junho</v>
      </c>
      <c r="B259" s="20" t="d">
        <v>2026-06-08T00:00:00.000Z</v>
      </c>
      <c r="C259" s="3" t="str">
        <v>Presidência do Conselho de Ministros - Laboratório Nacional de Engenharia Civil, IP</v>
      </c>
      <c r="D259" s="3" t="str">
        <v>Regulamento para o Exercício das Atividades de Investigação Científica em Regime de Dedicação Exclusiva do Laboratório Nacional de Engenharia Civil, IP.</v>
      </c>
      <c r="E259" s="3" t="str">
        <v>Other reference / amendment / outcome / excluded lead</v>
      </c>
      <c r="F259" s="3" t="str"/>
      <c r="G259" s="3" t="str">
        <v>https://diariodarepublica.pt/dr/detalhe/regulamento/711-2026-1129941143</v>
      </c>
    </row>
    <row r="260" ht="72" customHeight="1">
      <c r="A260" s="3" t="str">
        <v>Despacho n.º 7373/2026, de 12 de junho</v>
      </c>
      <c r="B260" s="20" t="d">
        <v>2026-06-12T00:00:00.000Z</v>
      </c>
      <c r="C260" s="3" t="str">
        <v>Presidência do Conselho de Ministros, Finanças, Educação, Ciência e Inovação e Trabalho, Solidariedade e Segurança Social - Gabinete do Ministro de Estado e das Finanças, Gabinete do Ministro da Presidência, Gabinete do Ministro Adjunto e da Reforma do Estado, Gabinete do Ministro da Educação, Ciência e Inovação e Gabinete da Ministra do Trabalho, Solidariedade e Segurança Social</v>
      </c>
      <c r="D260" s="3" t="str">
        <v>Publica a lista nominativa definitiva de transição dos trabalhadores da Agência Nacional para a Qualificação e o Ensino Profissional, I. P. (ANQEP, I. P.).</v>
      </c>
      <c r="E260" s="3" t="str">
        <v>Other reference / amendment / outcome / excluded lead</v>
      </c>
      <c r="F260" s="3" t="str"/>
      <c r="G260" s="3" t="str">
        <v>https://diariodarepublica.pt/dr/detalhe/despacho/7373-2026-1131612614</v>
      </c>
    </row>
    <row r="261" ht="72" customHeight="1">
      <c r="A261" s="3" t="str">
        <v>Despacho n.º 7381/2026, de 12 de junho</v>
      </c>
      <c r="B261" s="20" t="d">
        <v>2026-06-12T00:00:00.000Z</v>
      </c>
      <c r="C261" s="3" t="str">
        <v>Finanças e Justiça - Gabinete da Ministra da Justiça e Gabinete da Secretária de Estado da Administração Pública</v>
      </c>
      <c r="D261" s="3" t="str">
        <v>Cria um grupo de trabalho para elaborar a proposta de legislação que garanta a aplicação das Convenções da Haia de 1980 e de 1996 e do Regulamento Bruxelas II TER.</v>
      </c>
      <c r="E261" s="3" t="str">
        <v>Confirmed creating act</v>
      </c>
      <c r="F261" s="3" t="str">
        <v>GT-2026-016</v>
      </c>
      <c r="G261" s="3" t="str">
        <v>https://diariodarepublica.pt/dr/detalhe/despacho/7381-2026-1131612628</v>
      </c>
    </row>
    <row r="262" ht="72" customHeight="1">
      <c r="A262" s="3" t="str">
        <v>Decreto-Lei n.º 118/2026, de 17 de junho</v>
      </c>
      <c r="B262" s="20" t="d">
        <v>2026-06-17T00:00:00.000Z</v>
      </c>
      <c r="C262" s="3" t="str">
        <v>Presidência do Conselho de Ministros</v>
      </c>
      <c r="D262" s="3" t="str">
        <v>Estabelece, no âmbito do INFARMED ― Autoridade Nacional do Medicamento e Produtos de Saúde, I. P., o regime do Sistema Nacional de Avaliação de Tecnologias de Saúde.</v>
      </c>
      <c r="E262" s="3" t="str">
        <v>Other reference / amendment / outcome / excluded lead</v>
      </c>
      <c r="F262" s="3" t="str"/>
      <c r="G262" s="3" t="str">
        <v>https://diariodarepublica.pt/dr/detalhe/decreto-lei/118-2026-1133485780</v>
      </c>
    </row>
    <row r="263" ht="72" customHeight="1">
      <c r="A263" s="3" t="str">
        <v>Despacho n.º 7541/2026, de 17 de junho</v>
      </c>
      <c r="B263" s="20" t="d">
        <v>2026-06-17T00:00:00.000Z</v>
      </c>
      <c r="C263" s="3" t="str">
        <v>Saúde - Gabinete da Ministra da Saúde</v>
      </c>
      <c r="D263" s="3" t="str">
        <v>Define o grupo de trabalho que irá proceder à elaboração de proposta da Rede de Referenciação Hospitalar de Ortopedia, incluindo uma rede de serviços de urgência.</v>
      </c>
      <c r="E263" s="3" t="str">
        <v>Confirmed creating act</v>
      </c>
      <c r="F263" s="3" t="str">
        <v>GT-2026-017</v>
      </c>
      <c r="G263" s="3" t="str">
        <v>https://diariodarepublica.pt/dr/detalhe/despacho/7541-2026-1132818510</v>
      </c>
    </row>
    <row r="264" ht="72" customHeight="1">
      <c r="A264" s="3" t="str">
        <v>Despacho n.º 7542/2026, de 17 de junho</v>
      </c>
      <c r="B264" s="20" t="d">
        <v>2026-06-17T00:00:00.000Z</v>
      </c>
      <c r="C264" s="3" t="str">
        <v>Saúde - Gabinete da Ministra da Saúde</v>
      </c>
      <c r="D264" s="3" t="str">
        <v>Define o grupo de trabalho que irá proceder à elaboração das propostas de atualização da Rede Nacional de Urgência e Emergência.</v>
      </c>
      <c r="E264" s="3" t="str">
        <v>Confirmed creating act</v>
      </c>
      <c r="F264" s="3" t="str">
        <v>GT-2026-018</v>
      </c>
      <c r="G264" s="3" t="str">
        <v>https://diariodarepublica.pt/dr/detalhe/despacho/7542-2026-1132818511</v>
      </c>
    </row>
    <row r="265" ht="72" customHeight="1">
      <c r="A265" s="3" t="str">
        <v>Despacho n.º 7543/2026, de 17 de junho</v>
      </c>
      <c r="B265" s="20" t="d">
        <v>2026-06-17T00:00:00.000Z</v>
      </c>
      <c r="C265" s="3" t="str">
        <v>Saúde - Gabinete da Ministra da Saúde</v>
      </c>
      <c r="D265" s="3" t="str">
        <v>Define o grupo de trabalho que irá proceder à elaboração de proposta da Rede de Referenciação Hospitalar de Imunoalergologia.</v>
      </c>
      <c r="E265" s="3" t="str">
        <v>Confirmed creating act</v>
      </c>
      <c r="F265" s="3" t="str">
        <v>GT-2026-019</v>
      </c>
      <c r="G265" s="3" t="str">
        <v>https://diariodarepublica.pt/dr/detalhe/despacho/7543-2026-1132818512</v>
      </c>
    </row>
    <row r="266" ht="72" customHeight="1">
      <c r="A266" s="3" t="str">
        <v>Resolução do Conselho de Ministros n.º 125/2026, de 17 de junho</v>
      </c>
      <c r="B266" s="20" t="d">
        <v>2026-06-17T00:00:00.000Z</v>
      </c>
      <c r="C266" s="3" t="str">
        <v>Presidência do Conselho de Ministros</v>
      </c>
      <c r="D266" s="3" t="str">
        <v>Procede à revisão da Estratégia Nacional de Conservação da Natureza e Biodiversidade 2030 (ENCNB 2030).</v>
      </c>
      <c r="E266" s="3" t="str">
        <v>Other reference / amendment / outcome / excluded lead</v>
      </c>
      <c r="F266" s="3" t="str"/>
      <c r="G266" s="3" t="str">
        <v>https://diariodarepublica.pt/dr/detalhe/resolucao-conselho-ministros/125-2026-1133485782</v>
      </c>
    </row>
    <row r="267" ht="72" customHeight="1">
      <c r="A267" s="3" t="str">
        <v>Despacho n.º 7603/2026, de 18 de junho</v>
      </c>
      <c r="B267" s="20" t="d">
        <v>2026-06-18T00:00:00.000Z</v>
      </c>
      <c r="C267" s="3" t="str">
        <v>Presidência do Conselho de Ministros - Gabinete do Secretário de Estado da Presidência do Conselho de Ministros</v>
      </c>
      <c r="D267" s="3" t="str">
        <v>Renova o mandato e revê a composição do grupo de trabalho para a reforma do quadro legal e regulamentar das fundações.</v>
      </c>
      <c r="E267" s="3" t="str">
        <v>Working-group amendment / lifecycle</v>
      </c>
      <c r="F267" s="3" t="str"/>
      <c r="G267" s="3" t="str">
        <v>https://diariodarepublica.pt/dr/detalhe/despacho/7603-2026-1133518850</v>
      </c>
    </row>
    <row r="268" ht="72" customHeight="1">
      <c r="A268" s="3" t="str">
        <v>Despacho n.º 7650/2026, de 18 de junho</v>
      </c>
      <c r="B268" s="20" t="d">
        <v>2026-06-18T00:00:00.000Z</v>
      </c>
      <c r="C268" s="3" t="str">
        <v>Saúde - Gabinete da Ministra da Saúde</v>
      </c>
      <c r="D268" s="3" t="str">
        <v>Determina a apresentação de propostas de redes de referenciação hospitalar de neurorradiologia de intervenção.</v>
      </c>
      <c r="E268" s="3" t="str">
        <v>Confirmed creating act</v>
      </c>
      <c r="F268" s="3" t="str">
        <v>GT-2026-020</v>
      </c>
      <c r="G268" s="3" t="str">
        <v>https://diariodarepublica.pt/dr/detalhe/despacho/7650-2026-1133910824</v>
      </c>
    </row>
    <row r="269" ht="72" customHeight="1">
      <c r="A269" s="3" t="str">
        <v>Despacho n.º 7727/2026, de 19 de junho</v>
      </c>
      <c r="B269" s="20" t="d">
        <v>2026-06-19T00:00:00.000Z</v>
      </c>
      <c r="C269" s="3" t="str">
        <v>Trabalho, Solidariedade e Segurança Social - Gabinete do Secretário de Estado Adjunto e do Trabalho</v>
      </c>
      <c r="D269" s="3" t="str">
        <v>Homologa a estratégia para o período de 2026-2030 relativa à Garantia Jovem.</v>
      </c>
      <c r="E269" s="3" t="str">
        <v>Other reference / amendment / outcome / excluded lead</v>
      </c>
      <c r="F269" s="3" t="str"/>
      <c r="G269" s="3" t="str">
        <v>https://diariodarepublica.pt/dr/detalhe/despacho/7727-2026-1134448974</v>
      </c>
    </row>
    <row r="270" ht="72" customHeight="1">
      <c r="A270" s="3" t="str">
        <v>Portaria n.º 271/2026/1, de 22 de junho</v>
      </c>
      <c r="B270" s="20" t="d">
        <v>2026-06-22T00:00:00.000Z</v>
      </c>
      <c r="C270" s="3" t="str">
        <v>Presidência do Conselho de Ministros, Finanças e Trabalho, Solidariedade e Segurança Social</v>
      </c>
      <c r="D270" s="3" t="str">
        <v>Estabelece a estrutura nuclear da Direção-Geral do Emprego e das Relações de Trabalho.</v>
      </c>
      <c r="E270" s="3" t="str">
        <v>Other reference / amendment / outcome / excluded lead</v>
      </c>
      <c r="F270" s="3" t="str"/>
      <c r="G270" s="3" t="str">
        <v>https://diariodarepublica.pt/dr/detalhe/portaria/271-2026-1134835837</v>
      </c>
    </row>
    <row r="271" ht="72" customHeight="1">
      <c r="A271" s="3" t="str">
        <v>Resolução do Conselho de Ministros n.º 133/2026, de 24 de junho</v>
      </c>
      <c r="B271" s="20" t="d">
        <v>2026-06-24T00:00:00.000Z</v>
      </c>
      <c r="C271" s="3" t="str">
        <v>Presidência do Conselho de Ministros</v>
      </c>
      <c r="D271" s="3" t="str">
        <v>Aprova a Estratégia «Água Que Une».</v>
      </c>
      <c r="E271" s="3" t="str">
        <v>Other reference / amendment / outcome / excluded lead</v>
      </c>
      <c r="F271" s="3" t="str"/>
      <c r="G271" s="3" t="str">
        <v>https://diariodarepublica.pt/dr/detalhe/resolucao-conselho-ministros/133-2026-1138160260</v>
      </c>
    </row>
    <row r="272" ht="72" customHeight="1">
      <c r="A272" s="3" t="str">
        <v>Despacho n.º 7971/2026, de 25 de junho</v>
      </c>
      <c r="B272" s="20" t="d">
        <v>2026-06-25T00:00:00.000Z</v>
      </c>
      <c r="C272" s="3" t="str">
        <v>Finanças - Gabinete do Secretário de Estado Adjunto e do Orçamento, Gabinete da Secretária de Estado dos Assuntos Fiscais e Gabinete da Secretária de Estado da Administração Pública</v>
      </c>
      <c r="D272" s="3" t="str">
        <v>Constituição do Grupo de Trabalho para análise e reorganização das Caixas do Tesouro no contexto da administração financeira pública e da rede de cobranças do Estado.</v>
      </c>
      <c r="E272" s="3" t="str">
        <v>Confirmed creating act</v>
      </c>
      <c r="F272" s="3" t="str">
        <v>GT-2026-021</v>
      </c>
      <c r="G272" s="3" t="str">
        <v>https://diariodarepublica.pt/dr/detalhe/despacho/7971-2026-1138363947</v>
      </c>
    </row>
    <row r="273" ht="72" customHeight="1">
      <c r="A273" s="3" t="str">
        <v>Resolução do Conselho de Ministros n.º 135/2026, de 26 de junho</v>
      </c>
      <c r="B273" s="20" t="d">
        <v>2026-06-26T00:00:00.000Z</v>
      </c>
      <c r="C273" s="3" t="str">
        <v>Presidência do Conselho de Ministros</v>
      </c>
      <c r="D273" s="3" t="str">
        <v>Aprova a Avaliação Nacional de Risco e a Estratégia Nacional para a Resiliência das Entidades Críticas.</v>
      </c>
      <c r="E273" s="3" t="str">
        <v>Other reference / amendment / outcome / excluded lead</v>
      </c>
      <c r="F273" s="3" t="str"/>
      <c r="G273" s="3" t="str">
        <v>https://diariodarepublica.pt/dr/detalhe/resolucao-conselho-ministros/135-2026-1139191708</v>
      </c>
    </row>
    <row r="274" ht="72" customHeight="1">
      <c r="A274" s="3" t="str">
        <v>Portaria n.º 278/2026/1, de 29 de junho</v>
      </c>
      <c r="B274" s="20" t="d">
        <v>2026-06-29T00:00:00.000Z</v>
      </c>
      <c r="C274" s="3" t="str">
        <v>Presidência do Conselho de Ministros, Finanças e Trabalho, Solidariedade e Segurança Social</v>
      </c>
      <c r="D274" s="3" t="str">
        <v>Estabelece a estrutura nuclear da Direção-Geral de Coordenação e Planeamento.</v>
      </c>
      <c r="E274" s="3" t="str">
        <v>Other reference / amendment / outcome / excluded lead</v>
      </c>
      <c r="F274" s="3" t="str"/>
      <c r="G274" s="3" t="str">
        <v>https://diariodarepublica.pt/dr/detalhe/portaria/278-2026-1139897692</v>
      </c>
    </row>
    <row r="275" ht="72" customHeight="1">
      <c r="A275" s="3" t="str">
        <v>Despacho n.º 8867/2026, de 14 de julho</v>
      </c>
      <c r="B275" s="20" t="d">
        <v>2026-07-14T00:00:00.000Z</v>
      </c>
      <c r="C275" s="3" t="str">
        <v>Ambiente e Energia - Gabinete da Ministra do Ambiente e Energia</v>
      </c>
      <c r="D275" s="3" t="str">
        <v>Aprova o Programa de Ação para Resiliência do Litoral 2040 (PARL 2040).</v>
      </c>
      <c r="E275" s="3" t="str">
        <v>Other reference / amendment / outcome / excluded lead</v>
      </c>
      <c r="F275" s="3" t="str"/>
      <c r="G275" s="3" t="str">
        <v>https://diariodarepublica.pt/dr/detalhe/despacho/8867-2026-1147001192</v>
      </c>
    </row>
    <row r="276" ht="72" customHeight="1">
      <c r="A276" s="3" t="str">
        <v>Resolução do Conselho de Ministros n.º 144/2026, de 14 de julho</v>
      </c>
      <c r="B276" s="20" t="d">
        <v>2026-07-14T00:00:00.000Z</v>
      </c>
      <c r="C276" s="3" t="str">
        <v>Presidência do Conselho de Ministros</v>
      </c>
      <c r="D276" s="3" t="str">
        <v>Cria o grupo de trabalho para a revisão da Lei das Finanças Regionais.</v>
      </c>
      <c r="E276" s="3" t="str">
        <v>Confirmed creating act</v>
      </c>
      <c r="F276" s="3" t="str">
        <v>GT-2026-022</v>
      </c>
      <c r="G276" s="3" t="str">
        <v>https://diariodarepublica.pt/dr/detalhe/resolucao-conselho-ministros/144-2026-1147043702</v>
      </c>
    </row>
    <row r="277" ht="72" customHeight="1">
      <c r="A277" s="3" t="str">
        <v>Despacho n.º 8971/2026, de 16 de julho</v>
      </c>
      <c r="B277" s="20" t="d">
        <v>2026-07-16T00:00:00.000Z</v>
      </c>
      <c r="C277" s="3" t="str">
        <v>Justiça, Administração Interna e Cultura, Juventude e Desporto - Gabinete da Ministra da Justiça, Gabinete do Ministro da Administração Interna e Gabinete da Ministra da Cultura, Juventude e Desporto</v>
      </c>
      <c r="D277" s="3" t="str">
        <v>Procede à criação do Grupo de Trabalho para a elaboração do regime jurídico aplicável à proteção e à assistência das vítimas do crime de tráfico de seres humanos.</v>
      </c>
      <c r="E277" s="3" t="str">
        <v>Confirmed creating act</v>
      </c>
      <c r="F277" s="3" t="str">
        <v>GT-2026-023</v>
      </c>
      <c r="G277" s="3" t="str">
        <v>https://diariodarepublica.pt/dr/detalhe/despacho/8971-2026-1148259710</v>
      </c>
    </row>
    <row r="278" ht="72" customHeight="1">
      <c r="A278" s="3" t="str">
        <v>Decreto-Lei n.º 152/2026, de 31 de julho</v>
      </c>
      <c r="B278" s="20" t="d">
        <v>2026-07-31T00:00:00.000Z</v>
      </c>
      <c r="C278" s="3" t="str">
        <v>Presidência do Conselho de Ministros</v>
      </c>
      <c r="D278" s="3" t="str">
        <v>Reestrutura a Direção-Geral do Consumidor e aprova a orgânica da Direção-Geral da Defesa do Consumidor, Comércio e Serviços.</v>
      </c>
      <c r="E278" s="3" t="str">
        <v>Other reference / amendment / outcome / excluded lead</v>
      </c>
      <c r="F278" s="3" t="str"/>
      <c r="G278" s="3" t="str">
        <v>https://diariodarepublica.pt/dr/detalhe/decreto-lei/152-2026-1153698586</v>
      </c>
    </row>
    <row r="279" ht="72" customHeight="1">
      <c r="A279" s="3" t="str">
        <v>Despacho n.º 9696/2026, de 3 de agosto</v>
      </c>
      <c r="B279" s="20" t="d">
        <v>2026-08-03T00:00:00.000Z</v>
      </c>
      <c r="C279" s="3" t="str">
        <v>Saúde - Gabinete da Ministra da Saúde</v>
      </c>
      <c r="D279" s="3" t="str">
        <v>Procedimentos endovasculares emergentes de neurorradiologia de intervenção, cardiologia de intervenção e radiologia de intervenção em produção adicional urgente.</v>
      </c>
      <c r="E279" s="3" t="str">
        <v>Other reference / amendment / outcome / excluded lead</v>
      </c>
      <c r="F279" s="3" t="str"/>
      <c r="G279" s="3" t="str">
        <v>https://diariodarepublica.pt/dr/detalhe/despacho/9696-2026-1153917404</v>
      </c>
    </row>
    <row r="280" ht="72" customHeight="1">
      <c r="A280" s="3" t="str">
        <v>Despacho n.º 9701/2026, de 3 de agosto</v>
      </c>
      <c r="B280" s="20" t="d">
        <v>2026-08-03T00:00:00.000Z</v>
      </c>
      <c r="C280" s="3" t="str">
        <v>Trabalho, Solidariedade e Segurança Social e Cultura, Juventude e Desporto - Gabinete da Ministra do Trabalho, Solidariedade e Segurança Social e Gabinete da Ministra da Cultura, Juventude e Desporto</v>
      </c>
      <c r="D280" s="3" t="str">
        <v>Designação dos representantes do Grupo de Trabalho para a Valorização dos Calceteiros e da Calçada Portuguesa, e prorrogação do prazo de vigência.</v>
      </c>
      <c r="E280" s="3" t="str">
        <v>Working-group amendment / lifecycle</v>
      </c>
      <c r="F280" s="3" t="str"/>
      <c r="G280" s="3" t="str">
        <v>https://diariodarepublica.pt/dr/detalhe/despacho/9701-2026-1153917423</v>
      </c>
    </row>
    <row r="281" ht="72" customHeight="1">
      <c r="A281" s="3" t="str">
        <v>Portaria n.º 323/2026/1, de 4 de agosto</v>
      </c>
      <c r="B281" s="20" t="d">
        <v>2026-08-04T00:00:00.000Z</v>
      </c>
      <c r="C281" s="3" t="str">
        <v>Saúde</v>
      </c>
      <c r="D281" s="3" t="str">
        <v>Altera a Portaria n.º 182-B/2014, de 12 de setembro, que aprovou as regras a aplicar no requerimento e emissão da cédula profissional para o exercício das profissões no âmbito das terapêuticas não convencionais.</v>
      </c>
      <c r="E281" s="3" t="str">
        <v>Other reference / amendment / outcome / excluded lead</v>
      </c>
      <c r="F281" s="3" t="str"/>
      <c r="G281" s="3" t="str">
        <v>https://diariodarepublica.pt/dr/detalhe/portaria/323-2026-1154275222</v>
      </c>
    </row>
    <row r="282" ht="72" customHeight="1">
      <c r="A282" s="3" t="str">
        <v>Despacho n.º 9999/2026, de 10 de agosto</v>
      </c>
      <c r="B282" s="20" t="d">
        <v>2026-08-10T00:00:00.000Z</v>
      </c>
      <c r="C282" s="3" t="str">
        <v>Trabalho, Solidariedade e Segurança Social e Cultura, Juventude e Desporto - Gabinete da Secretária de Estado da Ação Social e da Inclusão e Gabinete da Secretária de Estado Adjunta e da Juventude e da Igualdade</v>
      </c>
      <c r="D282" s="3" t="str">
        <v>Constituição de um grupo de trabalho para a avaliação, planeamento, financiamento e monitorização das respostas de acolhimento e de autonomização para vítimas de violência doméstica.</v>
      </c>
      <c r="E282" s="3" t="str">
        <v>Confirmed creating act</v>
      </c>
      <c r="F282" s="3" t="str">
        <v>GT-2026-024</v>
      </c>
      <c r="G282" s="3" t="str">
        <v>https://diariodarepublica.pt/dr/detalhe/despacho/9999-2026-1155101848</v>
      </c>
    </row>
    <row r="283" ht="72" customHeight="1">
      <c r="A283" s="3" t="str">
        <v>Despacho n.º 10163/2026, de 13 de agosto</v>
      </c>
      <c r="B283" s="20" t="d">
        <v>2026-08-13T00:00:00.000Z</v>
      </c>
      <c r="C283" s="3" t="str">
        <v>Presidência do Conselho de Ministros e Finanças - Gabinete do Ministro de Estado e das Finanças, Gabinete do Ministro da Presidência e Gabinete do Ministro Adjunto e da Reforma do Estado</v>
      </c>
      <c r="D283" s="3" t="str">
        <v>Exonera Joana de Oliveira Diogo Paulo Rebocho do cargo de consultora coordenadora do Grupo de Trabalho para a Reforma do Estado, a seu pedido.</v>
      </c>
      <c r="E283" s="3" t="str">
        <v>Other reference / amendment / outcome / excluded lead</v>
      </c>
      <c r="F283" s="3" t="str"/>
      <c r="G283" s="3" t="str">
        <v>https://diariodarepublica.pt/dr/detalhe/despacho/10163-2026-1156689132</v>
      </c>
    </row>
    <row r="284" ht="72" customHeight="1">
      <c r="A284" s="3" t="str">
        <v>Despacho n.º 10174/2026, de 13 de agosto</v>
      </c>
      <c r="B284" s="20" t="d">
        <v>2026-08-13T00:00:00.000Z</v>
      </c>
      <c r="C284" s="3" t="str">
        <v>Economia e Coesão Territorial - Gabinete do Secretário de Estado do Planeamento e Desenvolvimento Regional e Gabinete do Secretário de Estado da Administração Local e Ordenamento do Território</v>
      </c>
      <c r="D284" s="3" t="str">
        <v>Cria o Grupo de Trabalho responsável pela reapreciação dos critérios de identificação dos territórios de baixa densidade e pela apresentação de propostas de políticas públicas orientadas para a promoção do desenvolvimento regional.</v>
      </c>
      <c r="E284" s="3" t="str">
        <v>Confirmed creating act</v>
      </c>
      <c r="F284" s="3" t="str">
        <v>GT-2026-025</v>
      </c>
      <c r="G284" s="3" t="str">
        <v>https://diariodarepublica.pt/dr/detalhe/despacho/10174-2026-1156689146</v>
      </c>
    </row>
    <row r="285" ht="72" customHeight="1">
      <c r="A285" s="3" t="str">
        <v>Portaria n.º 350-A/2026/1, de 19 de agosto</v>
      </c>
      <c r="B285" s="20" t="d">
        <v>2026-08-19T00:00:00.000Z</v>
      </c>
      <c r="C285" s="3" t="str">
        <v>Presidência do Conselho de Ministros, Economia e Coesão Territorial, Ambiente e Energia e Agricultura e Mar</v>
      </c>
      <c r="D285" s="3" t="str">
        <v>Aprova o plano de gestão da Zona Especial de Conservação (ZEC) Estuário do Tejo (PTCON0009) e Zona de Proteção Especial (ZPE) Estuário do Tejo (PTZPE0010).</v>
      </c>
      <c r="E285" s="3" t="str">
        <v>Other reference / amendment / outcome / excluded lead</v>
      </c>
      <c r="F285" s="3" t="str"/>
      <c r="G285" s="3" t="str">
        <v>https://diariodarepublica.pt/dr/detalhe/portaria/350-a-2026-1160416973</v>
      </c>
    </row>
    <row r="286" ht="72" customHeight="1">
      <c r="A286" s="3" t="str">
        <v>Resolução do Conselho de Ministros n.º 172-A/2026, de 25 de agosto</v>
      </c>
      <c r="B286" s="20" t="d">
        <v>2026-08-25T00:00:00.000Z</v>
      </c>
      <c r="C286" s="3" t="str">
        <v>Presidência do Conselho de Ministros</v>
      </c>
      <c r="D286" s="3" t="str">
        <v>Publicação da aprovação do Programa Setorial das Zonas de Aceleração da Implantação de Energias Renováveis.</v>
      </c>
      <c r="E286" s="3" t="str">
        <v>Other reference / amendment / outcome / excluded lead</v>
      </c>
      <c r="F286" s="3" t="str"/>
      <c r="G286" s="3" t="str">
        <v>https://diariodarepublica.pt/dr/detalhe/resolucao-conselho-ministros/172-a-2026-1162354869</v>
      </c>
    </row>
    <row r="287" ht="72" customHeight="1">
      <c r="A287" s="3" t="str">
        <v>Resolução do Conselho de Ministros n.º 175/2026, de 28 de agosto</v>
      </c>
      <c r="B287" s="20" t="d">
        <v>2026-08-28T00:00:00.000Z</v>
      </c>
      <c r="C287" s="3" t="str">
        <v>Presidência do Conselho de Ministros</v>
      </c>
      <c r="D287" s="3" t="str">
        <v>Cria a Estrutura de Missão denominada Estrutura Nacional SAFE.</v>
      </c>
      <c r="E287" s="3" t="str">
        <v>Related body / governance</v>
      </c>
      <c r="F287" s="3" t="str"/>
      <c r="G287" s="3" t="str">
        <v>https://diariodarepublica.pt/dr/detalhe/resolucao-conselho-ministros/175-2026-1163562936</v>
      </c>
    </row>
    <row r="288" ht="72" customHeight="1">
      <c r="A288" s="3" t="str">
        <v>Despacho n.º 10813/2026, de 1 de setembro</v>
      </c>
      <c r="B288" s="20" t="d">
        <v>2026-09-01T00:00:00.000Z</v>
      </c>
      <c r="C288" s="3" t="str">
        <v>Agricultura e Mar - Gabinete do Ministro da Agricultura e Mar</v>
      </c>
      <c r="D288" s="3" t="str">
        <v>Designo, em regime de substituição, o licenciado Henrique Manuel dos Santos Ramos Vicente para exercer o cargo de subdiretor-geral do Gabinete de Planeamento, Políticas e Administração Geral.</v>
      </c>
      <c r="E288" s="3" t="str">
        <v>Other reference / amendment / outcome / excluded lead</v>
      </c>
      <c r="F288" s="3" t="str"/>
      <c r="G288" s="3" t="str">
        <v>https://diariodarepublica.pt/dr/detalhe/despacho/10813-2026-1164280374</v>
      </c>
    </row>
    <row r="289" ht="72" customHeight="1">
      <c r="A289" s="3" t="str">
        <v>Decreto-Lei n.º 179/2026, de 7 de setembro</v>
      </c>
      <c r="B289" s="20" t="d">
        <v>2026-09-07T00:00:00.000Z</v>
      </c>
      <c r="C289" s="3" t="str">
        <v>Presidência do Conselho de Ministros</v>
      </c>
      <c r="D289" s="3" t="str">
        <v>Procede à reestruturação do Instituto da Mobilidade e dos Transportes, I. P.</v>
      </c>
      <c r="E289" s="3" t="str">
        <v>Other reference / amendment / outcome / excluded lead</v>
      </c>
      <c r="F289" s="3" t="str"/>
      <c r="G289" s="3" t="str">
        <v>https://diariodarepublica.pt/dr/detalhe/decreto-lei/179-2026-1167595460</v>
      </c>
    </row>
    <row r="290" ht="72" customHeight="1">
      <c r="A290" s="3" t="str">
        <v>Despacho n.º 11130/2026, de 9 de setembro</v>
      </c>
      <c r="B290" s="20" t="d">
        <v>2026-09-09T00:00:00.000Z</v>
      </c>
      <c r="C290" s="3" t="str">
        <v>Cultura, Juventude e Desporto - Gabinete da Secretária de Estado Adjunta e da Juventude e da Igualdade</v>
      </c>
      <c r="D290" s="3" t="str">
        <v>Cria o Grupo de Trabalho para a prevenção e combate às práticas nocivas, designadamente casamentos infantis precoces e forçados, mutilação genital feminina e crimes de honra.</v>
      </c>
      <c r="E290" s="3" t="str">
        <v>Confirmed creating act</v>
      </c>
      <c r="F290" s="3" t="str">
        <v>GT-2026-026</v>
      </c>
      <c r="G290" s="3" t="str">
        <v>https://diariodarepublica.pt/dr/detalhe/despacho/11130-2026-1168075404</v>
      </c>
    </row>
    <row r="291" ht="72" customHeight="1">
      <c r="A291" s="3" t="str">
        <v>Resolução do Conselho de Ministros n.º 181/2026, de 17 de setembro</v>
      </c>
      <c r="B291" s="20" t="d">
        <v>2026-09-17T00:00:00.000Z</v>
      </c>
      <c r="C291" s="3" t="str">
        <v>Presidência do Conselho de Ministros</v>
      </c>
      <c r="D291" s="3" t="str">
        <v>Aprova a Estratégia TERRA+ para o período 2026-2030.</v>
      </c>
      <c r="E291" s="3" t="str">
        <v>Other reference / amendment / outcome / excluded lead</v>
      </c>
      <c r="F291" s="3" t="str"/>
      <c r="G291" s="3" t="str">
        <v>https://diariodarepublica.pt/dr/detalhe/resolucao-conselho-ministros/181-2026-1171535220</v>
      </c>
    </row>
    <row r="292" ht="72" customHeight="1">
      <c r="A292" s="3" t="str">
        <v>Despacho n.º 11488/2026, de 18 de setembro</v>
      </c>
      <c r="B292" s="20" t="d">
        <v>2026-09-18T00:00:00.000Z</v>
      </c>
      <c r="C292" s="3" t="str">
        <v>Presidência do Conselho de Ministros - Gabinete do Secretário de Estado das Infraestruturas e Gabinete da Secretária de Estado da Mobilidade</v>
      </c>
      <c r="D292" s="3" t="str">
        <v>Cria um grupo de trabalho para diagnóstico e propostas de melhoria da pontualidade ferroviária.</v>
      </c>
      <c r="E292" s="3" t="str">
        <v>Confirmed creating act</v>
      </c>
      <c r="F292" s="3" t="str">
        <v>GT-2026-027</v>
      </c>
      <c r="G292" s="3" t="str">
        <v>https://diariodarepublica.pt/dr/detalhe/despacho/11488-2026-1171481959</v>
      </c>
    </row>
    <row r="293" ht="72" customHeight="1">
      <c r="A293" s="3" t="str">
        <v>Despacho n.º 11559/2026, de 21 de setembro</v>
      </c>
      <c r="B293" s="20" t="d">
        <v>2026-09-21T00:00:00.000Z</v>
      </c>
      <c r="C293" s="3" t="str">
        <v>Economia e Coesão Territorial e Ambiente e Energia - Gabinete do Ministro da Economia e da Coesão Territorial e Gabinete da Ministra do Ambiente e Energia</v>
      </c>
      <c r="D293" s="3" t="str">
        <v>Aprova o Programa de Ação para a Resiliência e Restauro da Natureza em Áreas Urbanas (PRO NAT.URBE), contribuindo para proteger as populações face a eventos climáticos extremos.</v>
      </c>
      <c r="E293" s="3" t="str">
        <v>Other reference / amendment / outcome / excluded lead</v>
      </c>
      <c r="F293" s="3" t="str"/>
      <c r="G293" s="3" t="str">
        <v>https://diariodarepublica.pt/dr/detalhe/despacho/11559-2026-1172208522</v>
      </c>
    </row>
    <row r="294" ht="72" customHeight="1">
      <c r="A294" s="3" t="str">
        <v>Decreto-Lei n.º 193/2026, de 22 de setembro</v>
      </c>
      <c r="B294" s="20" t="d">
        <v>2026-09-22T00:00:00.000Z</v>
      </c>
      <c r="C294" s="3" t="str">
        <v>Presidência do Conselho de Ministros</v>
      </c>
      <c r="D294" s="3" t="str">
        <v>Aprova a orgânica do Gabinete de Planeamento, Estratégia, Avaliação e Relações Internacionais integrado no Ministério das Finanças.</v>
      </c>
      <c r="E294" s="3" t="str">
        <v>Other reference / amendment / outcome / excluded lead</v>
      </c>
      <c r="F294" s="3" t="str"/>
      <c r="G294" s="3" t="str">
        <v>https://diariodarepublica.pt/dr/detalhe/decreto-lei/193-2026-1172319753</v>
      </c>
    </row>
    <row r="295" ht="72" customHeight="1">
      <c r="A295" s="3" t="str">
        <v>Despacho n.º 11629/2026, de 22 de setembro</v>
      </c>
      <c r="B295" s="20" t="d">
        <v>2026-09-22T00:00:00.000Z</v>
      </c>
      <c r="C295" s="3" t="str">
        <v>Ambiente e Energia - Gabinete da Ministra do Ambiente e Energia</v>
      </c>
      <c r="D295" s="3" t="str">
        <v>Aprova o Programa de Ação Nacional para o Controlo da Macroalga Invasora Rugulopteryx okamurae 2026-2030, estabelecendo o quadro nacional de medidas de monitorização, contenção, mitigação de impactes e valorização da biomassa.</v>
      </c>
      <c r="E295" s="3" t="str">
        <v>Other reference / amendment / outcome / excluded lead</v>
      </c>
      <c r="F295" s="3" t="str"/>
      <c r="G295" s="3" t="str">
        <v>https://diariodarepublica.pt/dr/detalhe/despacho/11629-2026-1172559760</v>
      </c>
    </row>
    <row r="296" ht="72" customHeight="1">
      <c r="A296" s="3" t="str">
        <v>Despacho n.º 11672/2026, de 23 de setembro</v>
      </c>
      <c r="B296" s="20" t="d">
        <v>2026-09-23T00:00:00.000Z</v>
      </c>
      <c r="C296" s="3" t="str">
        <v>Administração Interna - Gabinete do Secretário de Estado da Administração Interna</v>
      </c>
      <c r="D296" s="3" t="str">
        <v>Determina a criação de um grupo de trabalho com o objetivo de promover a revisão do regime do exercício da atividade de segurança privada, decorrente da Lei n.º 34/2013, de 16 de maio, bem como da respetiva regulamentação e legislação conexa.</v>
      </c>
      <c r="E296" s="3" t="str">
        <v>Confirmed creating act</v>
      </c>
      <c r="F296" s="3" t="str">
        <v>GT-2026-028</v>
      </c>
      <c r="G296" s="3" t="str">
        <v>https://diariodarepublica.pt/dr/detalhe/despacho/11672-2026-1172867984</v>
      </c>
    </row>
    <row r="297" ht="72" customHeight="1">
      <c r="A297" s="3" t="str">
        <v>Portaria n.º 445/2026/1, de 30 de setembro</v>
      </c>
      <c r="B297" s="20" t="d">
        <v>2026-09-30T00:00:00.000Z</v>
      </c>
      <c r="C297" s="3" t="str">
        <v>Presidência do Conselho de Ministros e Finanças</v>
      </c>
      <c r="D297" s="3" t="str">
        <v>Aprova os Estatutos do Instituto da Mobilidade e dos Transportes, I. P.</v>
      </c>
      <c r="E297" s="3" t="str">
        <v>Other reference / amendment / outcome / excluded lead</v>
      </c>
      <c r="F297" s="3" t="str"/>
      <c r="G297" s="3" t="str">
        <v>https://diariodarepublica.pt/dr/detalhe/portaria/445-2026-1175177139</v>
      </c>
    </row>
  </sheetData>
  <hyperlinks>
    <hyperlink ref="G6" r:id="nativeLink1"/>
    <hyperlink ref="G7" r:id="nativeLink2"/>
    <hyperlink ref="G8" r:id="nativeLink3"/>
    <hyperlink ref="G9" r:id="nativeLink4"/>
    <hyperlink ref="G10" r:id="nativeLink5"/>
    <hyperlink ref="G11" r:id="nativeLink6"/>
    <hyperlink ref="G12" r:id="nativeLink7"/>
    <hyperlink ref="G13" r:id="nativeLink8"/>
    <hyperlink ref="G14" r:id="nativeLink9"/>
    <hyperlink ref="G15" r:id="nativeLink10"/>
    <hyperlink ref="G16" r:id="nativeLink11"/>
    <hyperlink ref="G17" r:id="nativeLink12"/>
    <hyperlink ref="G18" r:id="nativeLink13"/>
    <hyperlink ref="G19" r:id="nativeLink14"/>
    <hyperlink ref="G20" r:id="nativeLink15"/>
    <hyperlink ref="G21" r:id="nativeLink16"/>
    <hyperlink ref="G22" r:id="nativeLink17"/>
    <hyperlink ref="G23" r:id="nativeLink18"/>
    <hyperlink ref="G24" r:id="nativeLink19"/>
    <hyperlink ref="G25" r:id="nativeLink20"/>
    <hyperlink ref="G26" r:id="nativeLink21"/>
    <hyperlink ref="G27" r:id="nativeLink22"/>
    <hyperlink ref="G28" r:id="nativeLink23"/>
    <hyperlink ref="G29" r:id="nativeLink24"/>
    <hyperlink ref="G30" r:id="nativeLink25"/>
    <hyperlink ref="G31" r:id="nativeLink26"/>
    <hyperlink ref="G32" r:id="nativeLink27"/>
    <hyperlink ref="G33" r:id="nativeLink28"/>
    <hyperlink ref="G34" r:id="nativeLink29"/>
    <hyperlink ref="G35" r:id="nativeLink30"/>
    <hyperlink ref="G36" r:id="nativeLink31"/>
    <hyperlink ref="G37" r:id="nativeLink32"/>
    <hyperlink ref="G38" r:id="nativeLink33"/>
    <hyperlink ref="G39" r:id="nativeLink34"/>
    <hyperlink ref="G40" r:id="nativeLink35"/>
    <hyperlink ref="G41" r:id="nativeLink36"/>
    <hyperlink ref="G42" r:id="nativeLink37"/>
    <hyperlink ref="G43" r:id="nativeLink38"/>
    <hyperlink ref="G44" r:id="nativeLink39"/>
    <hyperlink ref="G45" r:id="nativeLink40"/>
    <hyperlink ref="G46" r:id="nativeLink41"/>
    <hyperlink ref="G47" r:id="nativeLink42"/>
    <hyperlink ref="G48" r:id="nativeLink43"/>
    <hyperlink ref="G49" r:id="nativeLink44"/>
    <hyperlink ref="G50" r:id="nativeLink45"/>
    <hyperlink ref="G51" r:id="nativeLink46"/>
    <hyperlink ref="G52" r:id="nativeLink47"/>
    <hyperlink ref="G53" r:id="nativeLink48"/>
    <hyperlink ref="G54" r:id="nativeLink49"/>
    <hyperlink ref="G55" r:id="nativeLink50"/>
    <hyperlink ref="G56" r:id="nativeLink51"/>
    <hyperlink ref="G57" r:id="nativeLink52"/>
    <hyperlink ref="G58" r:id="nativeLink53"/>
    <hyperlink ref="G59" r:id="nativeLink54"/>
    <hyperlink ref="G60" r:id="nativeLink55"/>
    <hyperlink ref="G61" r:id="nativeLink56"/>
    <hyperlink ref="G62" r:id="nativeLink57"/>
    <hyperlink ref="G63" r:id="nativeLink58"/>
    <hyperlink ref="G64" r:id="nativeLink59"/>
    <hyperlink ref="G65" r:id="nativeLink60"/>
    <hyperlink ref="G66" r:id="nativeLink61"/>
    <hyperlink ref="G67" r:id="nativeLink62"/>
    <hyperlink ref="G68" r:id="nativeLink63"/>
    <hyperlink ref="G69" r:id="nativeLink64"/>
    <hyperlink ref="G70" r:id="nativeLink65"/>
    <hyperlink ref="G71" r:id="nativeLink66"/>
    <hyperlink ref="G72" r:id="nativeLink67"/>
    <hyperlink ref="G73" r:id="nativeLink68"/>
    <hyperlink ref="G74" r:id="nativeLink69"/>
    <hyperlink ref="G75" r:id="nativeLink70"/>
    <hyperlink ref="G76" r:id="nativeLink71"/>
    <hyperlink ref="G77" r:id="nativeLink72"/>
    <hyperlink ref="G78" r:id="nativeLink73"/>
    <hyperlink ref="G79" r:id="nativeLink74"/>
    <hyperlink ref="G80" r:id="nativeLink75"/>
    <hyperlink ref="G81" r:id="nativeLink76"/>
    <hyperlink ref="G82" r:id="nativeLink77"/>
    <hyperlink ref="G83" r:id="nativeLink78"/>
    <hyperlink ref="G84" r:id="nativeLink79"/>
    <hyperlink ref="G85" r:id="nativeLink80"/>
    <hyperlink ref="G86" r:id="nativeLink81"/>
    <hyperlink ref="G87" r:id="nativeLink82"/>
    <hyperlink ref="G88" r:id="nativeLink83"/>
    <hyperlink ref="G89" r:id="nativeLink84"/>
    <hyperlink ref="G90" r:id="nativeLink85"/>
    <hyperlink ref="G91" r:id="nativeLink86"/>
    <hyperlink ref="G92" r:id="nativeLink87"/>
    <hyperlink ref="G93" r:id="nativeLink88"/>
    <hyperlink ref="G94" r:id="nativeLink89"/>
    <hyperlink ref="G95" r:id="nativeLink90"/>
    <hyperlink ref="G96" r:id="nativeLink91"/>
    <hyperlink ref="G97" r:id="nativeLink92"/>
    <hyperlink ref="G98" r:id="nativeLink93"/>
    <hyperlink ref="G99" r:id="nativeLink94"/>
    <hyperlink ref="G100" r:id="nativeLink95"/>
    <hyperlink ref="G101" r:id="nativeLink96"/>
    <hyperlink ref="G102" r:id="nativeLink97"/>
    <hyperlink ref="G103" r:id="nativeLink98"/>
    <hyperlink ref="G104" r:id="nativeLink99"/>
    <hyperlink ref="G105" r:id="nativeLink100"/>
    <hyperlink ref="G106" r:id="nativeLink101"/>
    <hyperlink ref="G107" r:id="nativeLink102"/>
    <hyperlink ref="G108" r:id="nativeLink103"/>
    <hyperlink ref="G109" r:id="nativeLink104"/>
    <hyperlink ref="G110" r:id="nativeLink105"/>
    <hyperlink ref="G111" r:id="nativeLink106"/>
    <hyperlink ref="G112" r:id="nativeLink107"/>
    <hyperlink ref="G113" r:id="nativeLink108"/>
    <hyperlink ref="G114" r:id="nativeLink109"/>
    <hyperlink ref="G115" r:id="nativeLink110"/>
    <hyperlink ref="G116" r:id="nativeLink111"/>
    <hyperlink ref="G117" r:id="nativeLink112"/>
    <hyperlink ref="G118" r:id="nativeLink113"/>
    <hyperlink ref="G119" r:id="nativeLink114"/>
    <hyperlink ref="G120" r:id="nativeLink115"/>
    <hyperlink ref="G121" r:id="nativeLink116"/>
    <hyperlink ref="G122" r:id="nativeLink117"/>
    <hyperlink ref="G123" r:id="nativeLink118"/>
    <hyperlink ref="G124" r:id="nativeLink119"/>
    <hyperlink ref="G125" r:id="nativeLink120"/>
    <hyperlink ref="G126" r:id="nativeLink121"/>
    <hyperlink ref="G127" r:id="nativeLink122"/>
    <hyperlink ref="G128" r:id="nativeLink123"/>
    <hyperlink ref="G129" r:id="nativeLink124"/>
    <hyperlink ref="G130" r:id="nativeLink125"/>
    <hyperlink ref="G131" r:id="nativeLink126"/>
    <hyperlink ref="G132" r:id="nativeLink127"/>
    <hyperlink ref="G133" r:id="nativeLink128"/>
    <hyperlink ref="G134" r:id="nativeLink129"/>
    <hyperlink ref="G135" r:id="nativeLink130"/>
    <hyperlink ref="G136" r:id="nativeLink131"/>
    <hyperlink ref="G137" r:id="nativeLink132"/>
    <hyperlink ref="G138" r:id="nativeLink133"/>
    <hyperlink ref="G139" r:id="nativeLink134"/>
    <hyperlink ref="G140" r:id="nativeLink135"/>
    <hyperlink ref="G141" r:id="nativeLink136"/>
    <hyperlink ref="G142" r:id="nativeLink137"/>
    <hyperlink ref="G143" r:id="nativeLink138"/>
    <hyperlink ref="G144" r:id="nativeLink139"/>
    <hyperlink ref="G145" r:id="nativeLink140"/>
    <hyperlink ref="G146" r:id="nativeLink141"/>
    <hyperlink ref="G147" r:id="nativeLink142"/>
    <hyperlink ref="G148" r:id="nativeLink143"/>
    <hyperlink ref="G149" r:id="nativeLink144"/>
    <hyperlink ref="G150" r:id="nativeLink145"/>
    <hyperlink ref="G151" r:id="nativeLink146"/>
    <hyperlink ref="G152" r:id="nativeLink147"/>
    <hyperlink ref="G153" r:id="nativeLink148"/>
    <hyperlink ref="G154" r:id="nativeLink149"/>
    <hyperlink ref="G155" r:id="nativeLink150"/>
    <hyperlink ref="G156" r:id="nativeLink151"/>
    <hyperlink ref="G157" r:id="nativeLink152"/>
    <hyperlink ref="G158" r:id="nativeLink153"/>
    <hyperlink ref="G159" r:id="nativeLink154"/>
    <hyperlink ref="G160" r:id="nativeLink155"/>
    <hyperlink ref="G161" r:id="nativeLink156"/>
    <hyperlink ref="G162" r:id="nativeLink157"/>
    <hyperlink ref="G163" r:id="nativeLink158"/>
    <hyperlink ref="G164" r:id="nativeLink159"/>
    <hyperlink ref="G165" r:id="nativeLink160"/>
    <hyperlink ref="G166" r:id="nativeLink161"/>
    <hyperlink ref="G167" r:id="nativeLink162"/>
    <hyperlink ref="G168" r:id="nativeLink163"/>
    <hyperlink ref="G169" r:id="nativeLink164"/>
    <hyperlink ref="G170" r:id="nativeLink165"/>
    <hyperlink ref="G171" r:id="nativeLink166"/>
    <hyperlink ref="G172" r:id="nativeLink167"/>
    <hyperlink ref="G173" r:id="nativeLink168"/>
    <hyperlink ref="G174" r:id="nativeLink169"/>
    <hyperlink ref="G175" r:id="nativeLink170"/>
    <hyperlink ref="G176" r:id="nativeLink171"/>
    <hyperlink ref="G177" r:id="nativeLink172"/>
    <hyperlink ref="G178" r:id="nativeLink173"/>
    <hyperlink ref="G179" r:id="nativeLink174"/>
    <hyperlink ref="G180" r:id="nativeLink175"/>
    <hyperlink ref="G181" r:id="nativeLink176"/>
    <hyperlink ref="G182" r:id="nativeLink177"/>
    <hyperlink ref="G183" r:id="nativeLink178"/>
    <hyperlink ref="G184" r:id="nativeLink179"/>
    <hyperlink ref="G185" r:id="nativeLink180"/>
    <hyperlink ref="G186" r:id="nativeLink181"/>
    <hyperlink ref="G187" r:id="nativeLink182"/>
    <hyperlink ref="G188" r:id="nativeLink183"/>
    <hyperlink ref="G189" r:id="nativeLink184"/>
    <hyperlink ref="G190" r:id="nativeLink185"/>
    <hyperlink ref="G191" r:id="nativeLink186"/>
    <hyperlink ref="G192" r:id="nativeLink187"/>
    <hyperlink ref="G193" r:id="nativeLink188"/>
    <hyperlink ref="G194" r:id="nativeLink189"/>
    <hyperlink ref="G195" r:id="nativeLink190"/>
    <hyperlink ref="G196" r:id="nativeLink191"/>
    <hyperlink ref="G197" r:id="nativeLink192"/>
    <hyperlink ref="G198" r:id="nativeLink193"/>
    <hyperlink ref="G199" r:id="nativeLink194"/>
    <hyperlink ref="G200" r:id="nativeLink195"/>
    <hyperlink ref="G201" r:id="nativeLink196"/>
    <hyperlink ref="G202" r:id="nativeLink197"/>
    <hyperlink ref="G203" r:id="nativeLink198"/>
    <hyperlink ref="G204" r:id="nativeLink199"/>
    <hyperlink ref="G205" r:id="nativeLink200"/>
    <hyperlink ref="G206" r:id="nativeLink201"/>
    <hyperlink ref="G207" r:id="nativeLink202"/>
    <hyperlink ref="G208" r:id="nativeLink203"/>
    <hyperlink ref="G209" r:id="nativeLink204"/>
    <hyperlink ref="G210" r:id="nativeLink205"/>
    <hyperlink ref="G211" r:id="nativeLink206"/>
    <hyperlink ref="G212" r:id="nativeLink207"/>
    <hyperlink ref="G213" r:id="nativeLink208"/>
    <hyperlink ref="G214" r:id="nativeLink209"/>
    <hyperlink ref="G215" r:id="nativeLink210"/>
    <hyperlink ref="G216" r:id="nativeLink211"/>
    <hyperlink ref="G217" r:id="nativeLink212"/>
    <hyperlink ref="G218" r:id="nativeLink213"/>
    <hyperlink ref="G219" r:id="nativeLink214"/>
    <hyperlink ref="G220" r:id="nativeLink215"/>
    <hyperlink ref="G221" r:id="nativeLink216"/>
    <hyperlink ref="G222" r:id="nativeLink217"/>
    <hyperlink ref="G223" r:id="nativeLink218"/>
    <hyperlink ref="G224" r:id="nativeLink219"/>
    <hyperlink ref="G225" r:id="nativeLink220"/>
    <hyperlink ref="G226" r:id="nativeLink221"/>
    <hyperlink ref="G227" r:id="nativeLink222"/>
    <hyperlink ref="G228" r:id="nativeLink223"/>
    <hyperlink ref="G229" r:id="nativeLink224"/>
    <hyperlink ref="G230" r:id="nativeLink225"/>
    <hyperlink ref="G231" r:id="nativeLink226"/>
    <hyperlink ref="G232" r:id="nativeLink227"/>
    <hyperlink ref="G233" r:id="nativeLink228"/>
    <hyperlink ref="G234" r:id="nativeLink229"/>
    <hyperlink ref="G235" r:id="nativeLink230"/>
    <hyperlink ref="G236" r:id="nativeLink231"/>
    <hyperlink ref="G237" r:id="nativeLink232"/>
    <hyperlink ref="G238" r:id="nativeLink233"/>
    <hyperlink ref="G239" r:id="nativeLink234"/>
    <hyperlink ref="G240" r:id="nativeLink235"/>
    <hyperlink ref="G241" r:id="nativeLink236"/>
    <hyperlink ref="G242" r:id="nativeLink237"/>
    <hyperlink ref="G243" r:id="nativeLink238"/>
    <hyperlink ref="G244" r:id="nativeLink239"/>
    <hyperlink ref="G245" r:id="nativeLink240"/>
    <hyperlink ref="G246" r:id="nativeLink241"/>
    <hyperlink ref="G247" r:id="nativeLink242"/>
    <hyperlink ref="G248" r:id="nativeLink243"/>
    <hyperlink ref="G249" r:id="nativeLink244"/>
    <hyperlink ref="G250" r:id="nativeLink245"/>
    <hyperlink ref="G251" r:id="nativeLink246"/>
    <hyperlink ref="G252" r:id="nativeLink247"/>
    <hyperlink ref="G253" r:id="nativeLink248"/>
    <hyperlink ref="G254" r:id="nativeLink249"/>
    <hyperlink ref="G255" r:id="nativeLink250"/>
    <hyperlink ref="G256" r:id="nativeLink251"/>
    <hyperlink ref="G257" r:id="nativeLink252"/>
    <hyperlink ref="G258" r:id="nativeLink253"/>
    <hyperlink ref="G259" r:id="nativeLink254"/>
    <hyperlink ref="G260" r:id="nativeLink255"/>
    <hyperlink ref="G261" r:id="nativeLink256"/>
    <hyperlink ref="G262" r:id="nativeLink257"/>
    <hyperlink ref="G263" r:id="nativeLink258"/>
    <hyperlink ref="G264" r:id="nativeLink259"/>
    <hyperlink ref="G265" r:id="nativeLink260"/>
    <hyperlink ref="G266" r:id="nativeLink261"/>
    <hyperlink ref="G267" r:id="nativeLink262"/>
    <hyperlink ref="G268" r:id="nativeLink263"/>
    <hyperlink ref="G269" r:id="nativeLink264"/>
    <hyperlink ref="G270" r:id="nativeLink265"/>
    <hyperlink ref="G271" r:id="nativeLink266"/>
    <hyperlink ref="G272" r:id="nativeLink267"/>
    <hyperlink ref="G273" r:id="nativeLink268"/>
    <hyperlink ref="G274" r:id="nativeLink269"/>
    <hyperlink ref="G275" r:id="nativeLink270"/>
    <hyperlink ref="G276" r:id="nativeLink271"/>
    <hyperlink ref="G277" r:id="nativeLink272"/>
    <hyperlink ref="G278" r:id="nativeLink273"/>
    <hyperlink ref="G279" r:id="nativeLink274"/>
    <hyperlink ref="G280" r:id="nativeLink275"/>
    <hyperlink ref="G281" r:id="nativeLink276"/>
    <hyperlink ref="G282" r:id="nativeLink277"/>
    <hyperlink ref="G283" r:id="nativeLink278"/>
    <hyperlink ref="G284" r:id="nativeLink279"/>
    <hyperlink ref="G285" r:id="nativeLink280"/>
    <hyperlink ref="G286" r:id="nativeLink281"/>
    <hyperlink ref="G287" r:id="nativeLink282"/>
    <hyperlink ref="G288" r:id="nativeLink283"/>
    <hyperlink ref="G289" r:id="nativeLink284"/>
    <hyperlink ref="G290" r:id="nativeLink285"/>
    <hyperlink ref="G291" r:id="nativeLink286"/>
    <hyperlink ref="G292" r:id="nativeLink287"/>
    <hyperlink ref="G293" r:id="nativeLink288"/>
    <hyperlink ref="G294" r:id="nativeLink289"/>
    <hyperlink ref="G295" r:id="nativeLink290"/>
    <hyperlink ref="G296" r:id="nativeLink291"/>
    <hyperlink ref="G297" r:id="nativeLink292"/>
  </hyperlinks>
  <pageMargins left="0.7" right="0.7" top="0.75" bottom="0.75" header="0.3" footer="0.3"/>
  <tableParts count="1">
    <tablePart r:id="R082a3cf64dc54f40"/>
  </tableParts>
</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6" hidden="0" customWidth="1"/>
    <x:col min="2" max="2" width="50" hidden="0" customWidth="1"/>
    <x:col min="3" max="3" width="100" hidden="0" customWidth="1"/>
    <x:col min="4" max="4" width="70" hidden="0" customWidth="1"/>
    <x:col min="5" max="5" width="90" hidden="0" customWidth="1"/>
    <x:col min="6" max="6" width="100" hidden="0" customWidth="1"/>
  </x:cols>
  <x:sheetData>
    <x:row r="1">
      <x:c r="A1" s="3"/>
      <x:c r="B1" s="3"/>
      <x:c r="C1" s="3"/>
      <x:c r="D1" s="3"/>
      <x:c r="E1" s="3"/>
      <x:c r="F1" s="3"/>
    </x:row>
    <x:row r="2" ht="28" customHeight="1">
      <x:c r="A2" s="5" t="str">
        <x:v>Search log</x:v>
      </x:c>
      <x:c r="B2" s="5"/>
      <x:c r="C2" s="5"/>
      <x:c r="D2" s="5"/>
      <x:c r="E2" s="5"/>
      <x:c r="F2" s="5"/>
    </x:row>
    <x:row r="3" ht="23" customHeight="1">
      <x:c r="A3" s="7" t="str">
        <x:v>Evidence checked 10 October 2026 · Full text retained in cells; use filters and expand rows for long provisions.</x:v>
      </x:c>
      <x:c r="B3" s="7"/>
      <x:c r="C3" s="7"/>
      <x:c r="D3" s="7"/>
      <x:c r="E3" s="7"/>
      <x:c r="F3" s="7"/>
    </x:row>
    <x:row r="4">
      <x:c r="A4" s="8"/>
      <x:c r="B4" s="8"/>
      <x:c r="C4" s="8"/>
      <x:c r="D4" s="8"/>
      <x:c r="E4" s="8"/>
      <x:c r="F4" s="8"/>
    </x:row>
    <x:row r="5" ht="52" customHeight="1">
      <x:c r="A5" s="17" t="str">
        <x:v>Checked</x:v>
      </x:c>
      <x:c r="B5" s="18" t="str">
        <x:v>Group IDs</x:v>
      </x:c>
      <x:c r="C5" s="18" t="str">
        <x:v>Exact official-source outcome query</x:v>
      </x:c>
      <x:c r="D5" s="18" t="str">
        <x:v>Domain restrictions</x:v>
      </x:c>
      <x:c r="E5" s="18" t="str">
        <x:v>Result / interpretation</x:v>
      </x:c>
      <x:c r="F5" s="19" t="str">
        <x:v>Additional row-level evidence URLs</x:v>
      </x:c>
    </x:row>
    <x:row r="6" ht="96" customHeight="1">
      <x:c r="A6" s="20" t="d">
        <x:v>2026-10-10T00:00:00.000Z</x:v>
      </x:c>
      <x:c r="B6" s="3" t="str">
        <x:v>GT-2024-001</x:v>
      </x:c>
      <x:c r="C6" s="3" t="str">
        <x:v>"grupo de trabalho" acessibilidades novo aeroporto Lisboa relatório conclusões after:2024-04-01 before:2026-10-11</x:v>
      </x:c>
      <x:c r="D6" s="3" t="str">
        <x:v>portugal.gov.pt, gov.pt, parlamento.pt, diariodarepublica.pt, justica.gov.pt, dgav.pt, icnf.pt, anac.pt, dgeg.gov.pt</x:v>
      </x:c>
      <x:c r="E6" s="3" t="str">
        <x:v>Reviewed; row-level evidence and unresolved delivery timing recorded in Groups. A negative search result is not proof of non-delivery.</x:v>
      </x:c>
      <x:c r="F6" s="3" t="str"/>
    </x:row>
    <x:row r="7" ht="96" customHeight="1">
      <x:c r="A7" s="20" t="d">
        <x:v>2026-10-10T00:00:00.000Z</x:v>
      </x:c>
      <x:c r="B7" s="3" t="str">
        <x:v>GT-2024-002</x:v>
      </x:c>
      <x:c r="C7" s="3" t="str">
        <x:v>"grupo de trabalho" STEP plataforma tecnologias estratégicas Europa relatório conclusões after:2024-04-01 before:2026-10-11</x:v>
      </x:c>
      <x:c r="D7" s="3" t="str">
        <x:v>portugal.gov.pt, gov.pt, parlamento.pt, diariodarepublica.pt, justica.gov.pt, dgav.pt, icnf.pt, anac.pt, dgeg.gov.pt</x:v>
      </x:c>
      <x:c r="E7" s="3" t="str">
        <x:v>Reviewed; row-level evidence and unresolved delivery timing recorded in Groups. A negative search result is not proof of non-delivery.</x:v>
      </x:c>
      <x:c r="F7" s="3" t="str"/>
    </x:row>
    <x:row r="8" ht="96" customHeight="1">
      <x:c r="A8" s="20" t="d">
        <x:v>2026-10-10T00:00:00.000Z</x:v>
      </x:c>
      <x:c r="B8" s="3" t="str">
        <x:v>GT-2024-003</x:v>
      </x:c>
      <x:c r="C8" s="3" t="str">
        <x:v>"grupo de trabalho" plano emergência transformação saúde relatório conclusões after:2024-04-01 before:2026-10-11</x:v>
      </x:c>
      <x:c r="D8" s="3" t="str">
        <x:v>portugal.gov.pt, gov.pt, parlamento.pt, diariodarepublica.pt, justica.gov.pt, dgav.pt, icnf.pt, anac.pt, dgeg.gov.pt</x:v>
      </x:c>
      <x:c r="E8" s="3" t="str">
        <x:v>Reviewed; row-level evidence and unresolved delivery timing recorded in Groups. A negative search result is not proof of non-delivery.</x:v>
      </x:c>
      <x:c r="F8" s="3" t="str">
        <x:v>https://diariodarepublica.pt/dr/detalhe/despacho/10208-a-2024-886333775</x:v>
      </x:c>
    </x:row>
    <x:row r="9" ht="96" customHeight="1">
      <x:c r="A9" s="20" t="d">
        <x:v>2026-10-10T00:00:00.000Z</x:v>
      </x:c>
      <x:c r="B9" s="3" t="str">
        <x:v>GT-2024-004</x:v>
      </x:c>
      <x:c r="C9" s="3" t="str">
        <x:v>"grupo de trabalho" algoritmos triagem obstétrica SNS24 relatório conclusões after:2024-04-01 before:2026-10-11</x:v>
      </x:c>
      <x:c r="D9" s="3" t="str">
        <x:v>portugal.gov.pt, gov.pt, parlamento.pt, diariodarepublica.pt, justica.gov.pt, dgav.pt, icnf.pt, anac.pt, dgeg.gov.pt</x:v>
      </x:c>
      <x:c r="E9" s="3" t="str">
        <x:v>Reviewed; row-level evidence and unresolved delivery timing recorded in Groups. A negative search result is not proof of non-delivery.</x:v>
      </x:c>
      <x:c r="F9" s="3" t="str">
        <x:v>https://diariodarepublica.pt/dr/detalhe/despacho/8252-2024-873180042</x:v>
      </x:c>
    </x:row>
    <x:row r="10" ht="96" customHeight="1">
      <x:c r="A10" s="20" t="d">
        <x:v>2026-10-10T00:00:00.000Z</x:v>
      </x:c>
      <x:c r="B10" s="3" t="str">
        <x:v>GT-2024-005</x:v>
      </x:c>
      <x:c r="C10" s="3" t="str">
        <x:v>"grupo de trabalho" RED III energias renováveis relatório conclusões after:2024-04-01 before:2026-10-11</x:v>
      </x:c>
      <x:c r="D10" s="3" t="str">
        <x:v>portugal.gov.pt, gov.pt, parlamento.pt, diariodarepublica.pt, justica.gov.pt, dgav.pt, icnf.pt, anac.pt, dgeg.gov.pt</x:v>
      </x:c>
      <x:c r="E10" s="3" t="str">
        <x:v>Reviewed; row-level evidence and unresolved delivery timing recorded in Groups. A negative search result is not proof of non-delivery.</x:v>
      </x:c>
      <x:c r="F10" s="3" t="str"/>
    </x:row>
    <x:row r="11" ht="96" customHeight="1">
      <x:c r="A11" s="20" t="d">
        <x:v>2026-10-10T00:00:00.000Z</x:v>
      </x:c>
      <x:c r="B11" s="3" t="str">
        <x:v>GT-2024-006</x:v>
      </x:c>
      <x:c r="C11" s="3" t="str">
        <x:v>"grupo de trabalho" fórmula financiamento respostas sociais relatório conclusões after:2024-04-01 before:2026-10-11</x:v>
      </x:c>
      <x:c r="D11" s="3" t="str">
        <x:v>portugal.gov.pt, gov.pt, parlamento.pt, diariodarepublica.pt, justica.gov.pt, dgav.pt, icnf.pt, anac.pt, dgeg.gov.pt</x:v>
      </x:c>
      <x:c r="E11" s="3" t="str">
        <x:v>Reviewed; row-level evidence and unresolved delivery timing recorded in Groups. A negative search result is not proof of non-delivery.</x:v>
      </x:c>
      <x:c r="F11" s="3" t="str">
        <x:v>https://portugal.gov.pt/api/media/edge/Project/Portal-do-Governo/Portal-do-Governo/gc21/Files/Documentos/adenda-para-o-compromisso-2025-2026/adenda-ao-compromisso-de-cooperacao-para-2025-2026.pdf</x:v>
      </x:c>
    </x:row>
    <x:row r="12" ht="96" customHeight="1">
      <x:c r="A12" s="20" t="d">
        <x:v>2026-10-10T00:00:00.000Z</x:v>
      </x:c>
      <x:c r="B12" s="3" t="str">
        <x:v>GT-2024-007</x:v>
      </x:c>
      <x:c r="C12" s="3" t="str">
        <x:v>"grupo de trabalho" subsídio social mobilidade relatório final relatório conclusões after:2024-04-01 before:2026-10-11</x:v>
      </x:c>
      <x:c r="D12" s="3" t="str">
        <x:v>portugal.gov.pt, gov.pt, parlamento.pt, diariodarepublica.pt, justica.gov.pt, dgav.pt, icnf.pt, anac.pt, dgeg.gov.pt</x:v>
      </x:c>
      <x:c r="E12" s="3" t="str">
        <x:v>Reviewed; row-level evidence and unresolved delivery timing recorded in Groups. A negative search result is not proof of non-delivery.</x:v>
      </x:c>
      <x:c r="F12" s="3" t="str">
        <x:v>https://portugal.gov.pt/api/media/edge/Project/Portal-do-Governo/Portal-do-Governo/gc24/Files/Documentos/relatorio-final-de-mobilidade/relatorio_final_do_grupo_de_trabalho_para_estudo_analise_e_revisao_do_modelo_do_subsidio_social_de_mobilidade.pdf
https://portugal.gov.pt/gc25/comunicacao/noticias/subsidio-social-de-mobilidade-mais-justo-e-rapido-novas-regras-a-15-de-janeiro</x:v>
      </x:c>
    </x:row>
    <x:row r="13" ht="96" customHeight="1">
      <x:c r="A13" s="20" t="d">
        <x:v>2026-10-10T00:00:00.000Z</x:v>
      </x:c>
      <x:c r="B13" s="3" t="str">
        <x:v>GT-2024-008</x:v>
      </x:c>
      <x:c r="C13" s="3" t="str">
        <x:v>"grupo de trabalho" Água que Une relatório conclusões after:2024-04-01 before:2026-10-11</x:v>
      </x:c>
      <x:c r="D13" s="3" t="str">
        <x:v>portugal.gov.pt, gov.pt, parlamento.pt, diariodarepublica.pt, justica.gov.pt, dgav.pt, icnf.pt, anac.pt, dgeg.gov.pt</x:v>
      </x:c>
      <x:c r="E13" s="3" t="str">
        <x:v>Reviewed; row-level evidence and unresolved delivery timing recorded in Groups. A negative search result is not proof of non-delivery.</x:v>
      </x:c>
      <x:c r="F13" s="3" t="str">
        <x:v>https://portugal.gov.pt/gc24/comunicacao/noticias/governo-lanca-estrategia-a-15-anos-para-garantir-resiliencia-hidrica
https://diariodarepublica.pt/dr/detalhe/resolucao-conselho-ministros/133-2026-1138160260</x:v>
      </x:c>
    </x:row>
    <x:row r="14" ht="96" customHeight="1">
      <x:c r="A14" s="20" t="d">
        <x:v>2026-10-10T00:00:00.000Z</x:v>
      </x:c>
      <x:c r="B14" s="3" t="str">
        <x:v>GT-2024-009</x:v>
      </x:c>
      <x:c r="C14" s="3" t="str">
        <x:v>"grupo de trabalho" diretiva desempenho energético edifícios relatório conclusões after:2024-04-01 before:2026-10-11</x:v>
      </x:c>
      <x:c r="D14" s="3" t="str">
        <x:v>portugal.gov.pt, gov.pt, parlamento.pt, diariodarepublica.pt, justica.gov.pt, dgav.pt, icnf.pt, anac.pt, dgeg.gov.pt</x:v>
      </x:c>
      <x:c r="E14" s="3" t="str">
        <x:v>Reviewed; row-level evidence and unresolved delivery timing recorded in Groups. A negative search result is not proof of non-delivery.</x:v>
      </x:c>
      <x:c r="F14" s="3" t="str"/>
    </x:row>
    <x:row r="15" ht="96" customHeight="1">
      <x:c r="A15" s="20" t="d">
        <x:v>2026-10-10T00:00:00.000Z</x:v>
      </x:c>
      <x:c r="B15" s="3" t="str">
        <x:v>GT-2024-010</x:v>
      </x:c>
      <x:c r="C15" s="3" t="str">
        <x:v>"grupo de trabalho" centenário Carlos Paredes relatório conclusões after:2024-04-01 before:2026-10-11</x:v>
      </x:c>
      <x:c r="D15" s="3" t="str">
        <x:v>portugal.gov.pt, gov.pt, parlamento.pt, diariodarepublica.pt, justica.gov.pt, dgav.pt, icnf.pt, anac.pt, dgeg.gov.pt</x:v>
      </x:c>
      <x:c r="E15" s="3" t="str">
        <x:v>Reviewed; row-level evidence and unresolved delivery timing recorded in Groups. A negative search result is not proof of non-delivery.</x:v>
      </x:c>
      <x:c r="F15" s="3" t="str"/>
    </x:row>
    <x:row r="16" ht="96" customHeight="1">
      <x:c r="A16" s="20" t="d">
        <x:v>2026-10-10T00:00:00.000Z</x:v>
      </x:c>
      <x:c r="B16" s="3" t="str">
        <x:v>GT-2024-011</x:v>
      </x:c>
      <x:c r="C16" s="3" t="str">
        <x:v>"grupo de trabalho" creches pré-escolar 0 6 anos relatório conclusões after:2024-04-01 before:2026-10-11</x:v>
      </x:c>
      <x:c r="D16" s="3" t="str">
        <x:v>portugal.gov.pt, gov.pt, parlamento.pt, diariodarepublica.pt, justica.gov.pt, dgav.pt, icnf.pt, anac.pt, dgeg.gov.pt</x:v>
      </x:c>
      <x:c r="E16" s="3" t="str">
        <x:v>Reviewed; row-level evidence and unresolved delivery timing recorded in Groups. A negative search result is not proof of non-delivery.</x:v>
      </x:c>
      <x:c r="F16" s="3" t="str"/>
    </x:row>
    <x:row r="17" ht="96" customHeight="1">
      <x:c r="A17" s="20" t="d">
        <x:v>2026-10-10T00:00:00.000Z</x:v>
      </x:c>
      <x:c r="B17" s="3" t="str">
        <x:v>GT-2024-012</x:v>
      </x:c>
      <x:c r="C17" s="3" t="str">
        <x:v>"grupo de trabalho" Bienal Veneza arquitetura 2025 seleção relatório conclusões after:2024-04-01 before:2026-10-11</x:v>
      </x:c>
      <x:c r="D17" s="3" t="str">
        <x:v>portugal.gov.pt, gov.pt, parlamento.pt, diariodarepublica.pt, justica.gov.pt, dgav.pt, icnf.pt, anac.pt, dgeg.gov.pt</x:v>
      </x:c>
      <x:c r="E17" s="3" t="str">
        <x:v>Reviewed; row-level evidence and unresolved delivery timing recorded in Groups. A negative search result is not proof of non-delivery.</x:v>
      </x:c>
      <x:c r="F17" s="3" t="str">
        <x:v>https://www.dgartes.gov.pt/sites/default/files/manualdocandidato_bv25.pdf</x:v>
      </x:c>
    </x:row>
    <x:row r="18" ht="96" customHeight="1">
      <x:c r="A18" s="20" t="d">
        <x:v>2026-10-10T00:00:00.000Z</x:v>
      </x:c>
      <x:c r="B18" s="3" t="str">
        <x:v>GT-2024-013</x:v>
      </x:c>
      <x:c r="C18" s="3" t="str">
        <x:v>"grupo de trabalho" matérias primas críticas relatório conclusões after:2024-04-01 before:2026-10-11</x:v>
      </x:c>
      <x:c r="D18" s="3" t="str">
        <x:v>portugal.gov.pt, gov.pt, parlamento.pt, diariodarepublica.pt, justica.gov.pt, dgav.pt, icnf.pt, anac.pt, dgeg.gov.pt</x:v>
      </x:c>
      <x:c r="E18" s="3" t="str">
        <x:v>Reviewed; row-level evidence and unresolved delivery timing recorded in Groups. A negative search result is not proof of non-delivery.</x:v>
      </x:c>
      <x:c r="F18" s="3" t="str">
        <x:v>https://www.dgeg.gov.pt/pt/destaques/proposta-de-plano-de-acao/</x:v>
      </x:c>
    </x:row>
    <x:row r="19" ht="96" customHeight="1">
      <x:c r="A19" s="20" t="d">
        <x:v>2026-10-10T00:00:00.000Z</x:v>
      </x:c>
      <x:c r="B19" s="3" t="str">
        <x:v>GT-2024-014</x:v>
      </x:c>
      <x:c r="C19" s="3" t="str">
        <x:v>"grupo de trabalho" violência doméstica primeiras 72 horas relatório conclusões after:2024-04-01 before:2026-10-11</x:v>
      </x:c>
      <x:c r="D19" s="3" t="str">
        <x:v>portugal.gov.pt, gov.pt, parlamento.pt, diariodarepublica.pt, justica.gov.pt, dgav.pt, icnf.pt, anac.pt, dgeg.gov.pt</x:v>
      </x:c>
      <x:c r="E19" s="3" t="str">
        <x:v>Reviewed; row-level evidence and unresolved delivery timing recorded in Groups. A negative search result is not proof of non-delivery.</x:v>
      </x:c>
      <x:c r="F19" s="3" t="str"/>
    </x:row>
    <x:row r="20" ht="96" customHeight="1">
      <x:c r="A20" s="20" t="d">
        <x:v>2026-10-10T00:00:00.000Z</x:v>
      </x:c>
      <x:c r="B20" s="3" t="str">
        <x:v>GT-2024-015</x:v>
      </x:c>
      <x:c r="C20" s="3" t="str">
        <x:v>"grupo de trabalho" NIS2 transposição relatório conclusões after:2024-04-01 before:2026-10-11</x:v>
      </x:c>
      <x:c r="D20" s="3" t="str">
        <x:v>portugal.gov.pt, gov.pt, parlamento.pt, diariodarepublica.pt, justica.gov.pt, dgav.pt, icnf.pt, anac.pt, dgeg.gov.pt</x:v>
      </x:c>
      <x:c r="E20" s="3" t="str">
        <x:v>Reviewed; row-level evidence and unresolved delivery timing recorded in Groups. A negative search result is not proof of non-delivery.</x:v>
      </x:c>
      <x:c r="F20" s="3" t="str">
        <x:v>https://diariodarepublica.pt/dr/detalhe/decreto-lei/125-2025-962603401</x:v>
      </x:c>
    </x:row>
    <x:row r="21" ht="96" customHeight="1">
      <x:c r="A21" s="20" t="d">
        <x:v>2026-10-10T00:00:00.000Z</x:v>
      </x:c>
      <x:c r="B21" s="3" t="str">
        <x:v>GT-2024-016</x:v>
      </x:c>
      <x:c r="C21" s="3" t="str">
        <x:v>"grupo de trabalho" estratégia direitos criança pobreza relatório conclusões after:2024-04-01 before:2026-10-11</x:v>
      </x:c>
      <x:c r="D21" s="3" t="str">
        <x:v>portugal.gov.pt, gov.pt, parlamento.pt, diariodarepublica.pt, justica.gov.pt, dgav.pt, icnf.pt, anac.pt, dgeg.gov.pt</x:v>
      </x:c>
      <x:c r="E21" s="3" t="str">
        <x:v>Reviewed; row-level evidence and unresolved delivery timing recorded in Groups. A negative search result is not proof of non-delivery.</x:v>
      </x:c>
      <x:c r="F21" s="3" t="str">
        <x:v>https://diariodarepublica.pt/dr/detalhe/resolucao-conselho-ministros/34-2025-909307237</x:v>
      </x:c>
    </x:row>
    <x:row r="22" ht="96" customHeight="1">
      <x:c r="A22" s="20" t="d">
        <x:v>2026-10-10T00:00:00.000Z</x:v>
      </x:c>
      <x:c r="B22" s="3" t="str">
        <x:v>GT-2024-017</x:v>
      </x:c>
      <x:c r="C22" s="3" t="str">
        <x:v>"grupo de trabalho" reforma Estado Administração Pública relatório conclusões after:2024-04-01 before:2026-10-11</x:v>
      </x:c>
      <x:c r="D22" s="3" t="str">
        <x:v>portugal.gov.pt, gov.pt, parlamento.pt, diariodarepublica.pt, justica.gov.pt, dgav.pt, icnf.pt, anac.pt, dgeg.gov.pt</x:v>
      </x:c>
      <x:c r="E22" s="3" t="str">
        <x:v>Reviewed; row-level evidence and unresolved delivery timing recorded in Groups. A negative search result is not proof of non-delivery.</x:v>
      </x:c>
      <x:c r="F22" s="3" t="str"/>
    </x:row>
    <x:row r="23" ht="96" customHeight="1">
      <x:c r="A23" s="20" t="d">
        <x:v>2026-10-10T00:00:00.000Z</x:v>
      </x:c>
      <x:c r="B23" s="3" t="str">
        <x:v>GT-2024-018</x:v>
      </x:c>
      <x:c r="C23" s="3" t="str">
        <x:v>"grupo de trabalho" Código Propriedade Industrial relatório conclusões after:2024-04-01 before:2026-10-11</x:v>
      </x:c>
      <x:c r="D23" s="3" t="str">
        <x:v>portugal.gov.pt, gov.pt, parlamento.pt, diariodarepublica.pt, justica.gov.pt, dgav.pt, icnf.pt, anac.pt, dgeg.gov.pt</x:v>
      </x:c>
      <x:c r="E23" s="3" t="str">
        <x:v>Reviewed; row-level evidence and unresolved delivery timing recorded in Groups. A negative search result is not proof of non-delivery.</x:v>
      </x:c>
      <x:c r="F23" s="3" t="str">
        <x:v>https://inpi.justica.gov.pt/Portals/6/PDF%20INPI/Relat%C3%B3rios%20de%20Atividades/inpi_relatorio_atividades_contas_2024.pdf?ver=SSi75RQ1aZwvUzNN6KTcGw%3D%3D
https://inpi.justica.gov.pt/Portals/6/PDF%20INPI/Plano%20Atividades/plano_estrategico/plano_estrategico_inpi_2025_2030_pt.pdf?timestamp=1739790130857&amp;ver=CEpT26AWxiOlxycisEt8Uw%3D%3D</x:v>
      </x:c>
    </x:row>
    <x:row r="24" ht="96" customHeight="1">
      <x:c r="A24" s="20" t="d">
        <x:v>2026-10-10T00:00:00.000Z</x:v>
      </x:c>
      <x:c r="B24" s="3" t="str">
        <x:v>GT-2024-019</x:v>
      </x:c>
      <x:c r="C24" s="3" t="str">
        <x:v>"grupo de trabalho" EES ETIAS aeroportos relatório conclusões after:2024-04-01 before:2026-10-11</x:v>
      </x:c>
      <x:c r="D24" s="3" t="str">
        <x:v>portugal.gov.pt, gov.pt, parlamento.pt, diariodarepublica.pt, justica.gov.pt, dgav.pt, icnf.pt, anac.pt, dgeg.gov.pt</x:v>
      </x:c>
      <x:c r="E24" s="3" t="str">
        <x:v>Reviewed; row-level evidence and unresolved delivery timing recorded in Groups. A negative search result is not proof of non-delivery.</x:v>
      </x:c>
      <x:c r="F24" s="3" t="str"/>
    </x:row>
    <x:row r="25" ht="96" customHeight="1">
      <x:c r="A25" s="20" t="d">
        <x:v>2026-10-10T00:00:00.000Z</x:v>
      </x:c>
      <x:c r="B25" s="3" t="str">
        <x:v>GT-2024-020</x:v>
      </x:c>
      <x:c r="C25" s="3" t="str">
        <x:v>"grupo de trabalho" NO2 qualidade ar relatório conclusões after:2024-04-01 before:2026-10-11</x:v>
      </x:c>
      <x:c r="D25" s="3" t="str">
        <x:v>portugal.gov.pt, gov.pt, parlamento.pt, diariodarepublica.pt, justica.gov.pt, dgav.pt, icnf.pt, anac.pt, dgeg.gov.pt</x:v>
      </x:c>
      <x:c r="E25" s="3" t="str">
        <x:v>Reviewed; row-level evidence and unresolved delivery timing recorded in Groups. A negative search result is not proof of non-delivery.</x:v>
      </x:c>
      <x:c r="F25" s="3" t="str">
        <x:v>https://diariodarepublica.pt/dr/detalhe/despacho/4750-2026-1084035716</x:v>
      </x:c>
    </x:row>
    <x:row r="26" ht="96" customHeight="1">
      <x:c r="A26" s="20" t="d">
        <x:v>2026-10-10T00:00:00.000Z</x:v>
      </x:c>
      <x:c r="B26" s="3" t="str">
        <x:v>GT-2024-021</x:v>
      </x:c>
      <x:c r="C26" s="3" t="str">
        <x:v>"grupo de trabalho" pessoas situação sem abrigo estratégia 2025 2030 relatório conclusões after:2024-04-01 before:2026-10-11</x:v>
      </x:c>
      <x:c r="D26" s="3" t="str">
        <x:v>portugal.gov.pt, gov.pt, parlamento.pt, diariodarepublica.pt, justica.gov.pt, dgav.pt, icnf.pt, anac.pt, dgeg.gov.pt</x:v>
      </x:c>
      <x:c r="E26" s="3" t="str">
        <x:v>Reviewed; row-level evidence and unresolved delivery timing recorded in Groups. A negative search result is not proof of non-delivery.</x:v>
      </x:c>
      <x:c r="F26" s="3" t="str">
        <x:v>https://diariodarepublica.pt/dr/detalhe/resolucao-conselho-ministros/208-2024-901536082</x:v>
      </x:c>
    </x:row>
    <x:row r="27" ht="96" customHeight="1">
      <x:c r="A27" s="20" t="d">
        <x:v>2026-10-10T00:00:00.000Z</x:v>
      </x:c>
      <x:c r="B27" s="3" t="str">
        <x:v>GT-2024-022</x:v>
      </x:c>
      <x:c r="C27" s="3" t="str">
        <x:v>"grupo de trabalho" acessibilidades 163/2006 revisão relatório conclusões after:2024-04-01 before:2026-10-11</x:v>
      </x:c>
      <x:c r="D27" s="3" t="str">
        <x:v>portugal.gov.pt, gov.pt, parlamento.pt, diariodarepublica.pt, justica.gov.pt, dgav.pt, icnf.pt, anac.pt, dgeg.gov.pt</x:v>
      </x:c>
      <x:c r="E27" s="3" t="str">
        <x:v>Reviewed; row-level evidence and unresolved delivery timing recorded in Groups. A negative search result is not proof of non-delivery.</x:v>
      </x:c>
      <x:c r="F27" s="3" t="str">
        <x:v>https://diariodarepublica.pt/dr/detalhe/despacho/9463-2025-928296838</x:v>
      </x:c>
    </x:row>
    <x:row r="28" ht="96" customHeight="1">
      <x:c r="A28" s="20" t="d">
        <x:v>2026-10-10T00:00:00.000Z</x:v>
      </x:c>
      <x:c r="B28" s="3" t="str">
        <x:v>GT-2024-023</x:v>
      </x:c>
      <x:c r="C28" s="3" t="str">
        <x:v>"grupo de trabalho" PETS saúde monitorização relatório conclusões after:2024-04-01 before:2026-10-11</x:v>
      </x:c>
      <x:c r="D28" s="3" t="str">
        <x:v>portugal.gov.pt, gov.pt, parlamento.pt, diariodarepublica.pt, justica.gov.pt, dgav.pt, icnf.pt, anac.pt, dgeg.gov.pt</x:v>
      </x:c>
      <x:c r="E28" s="3" t="str">
        <x:v>Reviewed; row-level evidence and unresolved delivery timing recorded in Groups. A negative search result is not proof of non-delivery.</x:v>
      </x:c>
      <x:c r="F28" s="3" t="str"/>
    </x:row>
    <x:row r="29" ht="96" customHeight="1">
      <x:c r="A29" s="20" t="d">
        <x:v>2026-10-10T00:00:00.000Z</x:v>
      </x:c>
      <x:c r="B29" s="3" t="str">
        <x:v>GT-2024-024; GT-2024-025; GT-2024-026</x:v>
      </x:c>
      <x:c r="C29" s="3" t="str">
        <x:v>"grupo de trabalho" saúde mental forças segurança prevenção suicídio relatório conclusões after:2024-04-01 before:2026-10-11</x:v>
      </x:c>
      <x:c r="D29" s="3" t="str">
        <x:v>portugal.gov.pt, gov.pt, parlamento.pt, diariodarepublica.pt, justica.gov.pt, dgav.pt, icnf.pt, anac.pt, dgeg.gov.pt</x:v>
      </x:c>
      <x:c r="E29" s="3" t="str">
        <x:v>Reviewed; row-level evidence and unresolved delivery timing recorded in Groups. A negative search result is not proof of non-delivery.</x:v>
      </x:c>
      <x:c r="F29" s="3" t="str"/>
    </x:row>
    <x:row r="30" ht="96" customHeight="1">
      <x:c r="A30" s="20" t="d">
        <x:v>2026-10-10T00:00:00.000Z</x:v>
      </x:c>
      <x:c r="B30" s="3" t="str">
        <x:v>GT-2024-027</x:v>
      </x:c>
      <x:c r="C30" s="3" t="str">
        <x:v>"grupo de trabalho" AFIR combustíveis alternativos relatório conclusões after:2024-04-01 before:2026-10-11</x:v>
      </x:c>
      <x:c r="D30" s="3" t="str">
        <x:v>portugal.gov.pt, gov.pt, parlamento.pt, diariodarepublica.pt, justica.gov.pt, dgav.pt, icnf.pt, anac.pt, dgeg.gov.pt</x:v>
      </x:c>
      <x:c r="E30" s="3" t="str">
        <x:v>Reviewed; row-level evidence and unresolved delivery timing recorded in Groups. A negative search result is not proof of non-delivery.</x:v>
      </x:c>
      <x:c r="F30" s="3" t="str"/>
    </x:row>
    <x:row r="31" ht="96" customHeight="1">
      <x:c r="A31" s="20" t="d">
        <x:v>2026-10-10T00:00:00.000Z</x:v>
      </x:c>
      <x:c r="B31" s="3" t="str">
        <x:v>GT-2024-028</x:v>
      </x:c>
      <x:c r="C31" s="3" t="str">
        <x:v>"grupo de trabalho" incêndios setembro 2024 apoio relatório conclusões after:2024-04-01 before:2026-10-11</x:v>
      </x:c>
      <x:c r="D31" s="3" t="str">
        <x:v>portugal.gov.pt, gov.pt, parlamento.pt, diariodarepublica.pt, justica.gov.pt, dgav.pt, icnf.pt, anac.pt, dgeg.gov.pt</x:v>
      </x:c>
      <x:c r="E31" s="3" t="str">
        <x:v>Reviewed; row-level evidence and unresolved delivery timing recorded in Groups. A negative search result is not proof of non-delivery.</x:v>
      </x:c>
      <x:c r="F31" s="3" t="str"/>
    </x:row>
    <x:row r="32" ht="96" customHeight="1">
      <x:c r="A32" s="20" t="d">
        <x:v>2026-10-10T00:00:00.000Z</x:v>
      </x:c>
      <x:c r="B32" s="3" t="str">
        <x:v>GT-2024-029</x:v>
      </x:c>
      <x:c r="C32" s="3" t="str">
        <x:v>"grupo de trabalho" perda bens vantagens atividade criminosa relatório conclusões after:2024-04-01 before:2026-10-11</x:v>
      </x:c>
      <x:c r="D32" s="3" t="str">
        <x:v>portugal.gov.pt, gov.pt, parlamento.pt, diariodarepublica.pt, justica.gov.pt, dgav.pt, icnf.pt, anac.pt, dgeg.gov.pt</x:v>
      </x:c>
      <x:c r="E32" s="3" t="str">
        <x:v>Reviewed; row-level evidence and unresolved delivery timing recorded in Groups. A negative search result is not proof of non-delivery.</x:v>
      </x:c>
      <x:c r="F32" s="3" t="str">
        <x:v>https://justica.gov.pt/Noticias/Perda-alargada-de-bens-anteprojeto-em-consulta-publica
https://www.consultalex.gov.pt/Portal_Consultas_Publicas_UI/ConsultaPublica_Detail.aspx?Consulta_Id=372</x:v>
      </x:c>
    </x:row>
    <x:row r="33" ht="96" customHeight="1">
      <x:c r="A33" s="20" t="d">
        <x:v>2026-10-10T00:00:00.000Z</x:v>
      </x:c>
      <x:c r="B33" s="3" t="str">
        <x:v>GT-2024-030</x:v>
      </x:c>
      <x:c r="C33" s="3" t="str">
        <x:v>"grupo de trabalho" bullying escolas relatório conclusões after:2024-04-01 before:2026-10-11</x:v>
      </x:c>
      <x:c r="D33" s="3" t="str">
        <x:v>portugal.gov.pt, gov.pt, parlamento.pt, diariodarepublica.pt, justica.gov.pt, dgav.pt, icnf.pt, anac.pt, dgeg.gov.pt</x:v>
      </x:c>
      <x:c r="E33" s="3" t="str">
        <x:v>Reviewed; row-level evidence and unresolved delivery timing recorded in Groups. A negative search result is not proof of non-delivery.</x:v>
      </x:c>
      <x:c r="F33" s="3" t="str">
        <x:v>https://portugal.gov.pt/gc24/comunicacao/documentos/relatorio-do-grupo-de-trabalho-sobre-combate-ao-bullying-nas-escolas-
https://portugal.gov.pt/gc24/comunicacao/noticias/governo-vai-criar-linha-de-denuncia-e-apoio-a-alunos-vitimas-de-bullying</x:v>
      </x:c>
    </x:row>
    <x:row r="34" ht="96" customHeight="1">
      <x:c r="A34" s="20" t="d">
        <x:v>2026-10-10T00:00:00.000Z</x:v>
      </x:c>
      <x:c r="B34" s="3" t="str">
        <x:v>GT-2024-031</x:v>
      </x:c>
      <x:c r="C34" s="3" t="str">
        <x:v>"grupo de trabalho" Estratégia Pedagógica forças segurança relatório conclusões after:2024-04-01 before:2026-10-11</x:v>
      </x:c>
      <x:c r="D34" s="3" t="str">
        <x:v>portugal.gov.pt, gov.pt, parlamento.pt, diariodarepublica.pt, justica.gov.pt, dgav.pt, icnf.pt, anac.pt, dgeg.gov.pt</x:v>
      </x:c>
      <x:c r="E34" s="3" t="str">
        <x:v>Reviewed; row-level evidence and unresolved delivery timing recorded in Groups. A negative search result is not proof of non-delivery.</x:v>
      </x:c>
      <x:c r="F34" s="3" t="str">
        <x:v>https://diariodarepublica.pt/dr/detalhe/despacho/2701-2025-909150575</x:v>
      </x:c>
    </x:row>
    <x:row r="35" ht="96" customHeight="1">
      <x:c r="A35" s="20" t="d">
        <x:v>2026-10-10T00:00:00.000Z</x:v>
      </x:c>
      <x:c r="B35" s="3" t="str">
        <x:v>GT-2024-032</x:v>
      </x:c>
      <x:c r="C35" s="3" t="str">
        <x:v>"grupo de trabalho" Pacto Migração Asilo relatório conclusões after:2024-04-01 before:2026-10-11</x:v>
      </x:c>
      <x:c r="D35" s="3" t="str">
        <x:v>portugal.gov.pt, gov.pt, parlamento.pt, diariodarepublica.pt, justica.gov.pt, dgav.pt, icnf.pt, anac.pt, dgeg.gov.pt</x:v>
      </x:c>
      <x:c r="E35" s="3" t="str">
        <x:v>Reviewed; row-level evidence and unresolved delivery timing recorded in Groups. A negative search result is not proof of non-delivery.</x:v>
      </x:c>
      <x:c r="F35" s="3" t="str"/>
    </x:row>
    <x:row r="36" ht="96" customHeight="1">
      <x:c r="A36" s="20" t="d">
        <x:v>2026-10-10T00:00:00.000Z</x:v>
      </x:c>
      <x:c r="B36" s="3" t="str">
        <x:v>GT-2024-033</x:v>
      </x:c>
      <x:c r="C36" s="3" t="str">
        <x:v>"grupo de trabalho" reprocessamento dispositivos médicos relatório conclusões after:2024-04-01 before:2026-10-11</x:v>
      </x:c>
      <x:c r="D36" s="3" t="str">
        <x:v>portugal.gov.pt, gov.pt, parlamento.pt, diariodarepublica.pt, justica.gov.pt, dgav.pt, icnf.pt, anac.pt, dgeg.gov.pt</x:v>
      </x:c>
      <x:c r="E36" s="3" t="str">
        <x:v>Reviewed; row-level evidence and unresolved delivery timing recorded in Groups. A negative search result is not proof of non-delivery.</x:v>
      </x:c>
      <x:c r="F36" s="3" t="str"/>
    </x:row>
    <x:row r="37" ht="96" customHeight="1">
      <x:c r="A37" s="20" t="d">
        <x:v>2026-10-10T00:00:00.000Z</x:v>
      </x:c>
      <x:c r="B37" s="3" t="str">
        <x:v>GT-2024-034</x:v>
      </x:c>
      <x:c r="C37" s="3" t="str">
        <x:v>"grupo de trabalho" acesso serviços urgência aguda relatório conclusões after:2024-04-01 before:2026-10-11</x:v>
      </x:c>
      <x:c r="D37" s="3" t="str">
        <x:v>portugal.gov.pt, gov.pt, parlamento.pt, diariodarepublica.pt, justica.gov.pt, dgav.pt, icnf.pt, anac.pt, dgeg.gov.pt</x:v>
      </x:c>
      <x:c r="E37" s="3" t="str">
        <x:v>Reviewed; row-level evidence and unresolved delivery timing recorded in Groups. A negative search result is not proof of non-delivery.</x:v>
      </x:c>
      <x:c r="F37" s="3" t="str"/>
    </x:row>
    <x:row r="38" ht="96" customHeight="1">
      <x:c r="A38" s="20" t="d">
        <x:v>2026-10-10T00:00:00.000Z</x:v>
      </x:c>
      <x:c r="B38" s="3" t="str">
        <x:v>GT-2024-035</x:v>
      </x:c>
      <x:c r="C38" s="3" t="str">
        <x:v>"grupo de trabalho" formação profissionalização docentes relatório conclusões after:2024-04-01 before:2026-10-11</x:v>
      </x:c>
      <x:c r="D38" s="3" t="str">
        <x:v>portugal.gov.pt, gov.pt, parlamento.pt, diariodarepublica.pt, justica.gov.pt, dgav.pt, icnf.pt, anac.pt, dgeg.gov.pt</x:v>
      </x:c>
      <x:c r="E38" s="3" t="str">
        <x:v>Reviewed; row-level evidence and unresolved delivery timing recorded in Groups. A negative search result is not proof of non-delivery.</x:v>
      </x:c>
      <x:c r="F38" s="3" t="str"/>
    </x:row>
    <x:row r="39" ht="96" customHeight="1">
      <x:c r="A39" s="20" t="d">
        <x:v>2026-10-10T00:00:00.000Z</x:v>
      </x:c>
      <x:c r="B39" s="3" t="str">
        <x:v>GT-2024-036</x:v>
      </x:c>
      <x:c r="C39" s="3" t="str">
        <x:v>"grupo de trabalho" subsídio educação especial relatório conclusões after:2024-04-01 before:2026-10-11</x:v>
      </x:c>
      <x:c r="D39" s="3" t="str">
        <x:v>portugal.gov.pt, gov.pt, parlamento.pt, diariodarepublica.pt, justica.gov.pt, dgav.pt, icnf.pt, anac.pt, dgeg.gov.pt</x:v>
      </x:c>
      <x:c r="E39" s="3" t="str">
        <x:v>Reviewed; row-level evidence and unresolved delivery timing recorded in Groups. A negative search result is not proof of non-delivery.</x:v>
      </x:c>
      <x:c r="F39" s="3" t="str"/>
    </x:row>
    <x:row r="40" ht="96" customHeight="1">
      <x:c r="A40" s="20" t="d">
        <x:v>2026-10-10T00:00:00.000Z</x:v>
      </x:c>
      <x:c r="B40" s="3" t="str">
        <x:v>GT-2024-037</x:v>
      </x:c>
      <x:c r="C40" s="3" t="str">
        <x:v>"grupo de trabalho" Plano Nacional Restauro Natureza relatório conclusões after:2024-04-01 before:2026-10-11</x:v>
      </x:c>
      <x:c r="D40" s="3" t="str">
        <x:v>portugal.gov.pt, gov.pt, parlamento.pt, diariodarepublica.pt, justica.gov.pt, dgav.pt, icnf.pt, anac.pt, dgeg.gov.pt</x:v>
      </x:c>
      <x:c r="E40" s="3" t="str">
        <x:v>Reviewed; row-level evidence and unresolved delivery timing recorded in Groups. A negative search result is not proof of non-delivery.</x:v>
      </x:c>
      <x:c r="F40" s="3" t="str">
        <x:v>https://portugal.gov.pt/gc25/comunicacao/comunicados/-portugal-entrega-a-bruxelas-dentro-do-prazo-plano-nacional-de-restauro-da-natureza-</x:v>
      </x:c>
    </x:row>
    <x:row r="41" ht="96" customHeight="1">
      <x:c r="A41" s="20" t="d">
        <x:v>2026-10-10T00:00:00.000Z</x:v>
      </x:c>
      <x:c r="B41" s="3" t="str">
        <x:v>GT-2024-038</x:v>
      </x:c>
      <x:c r="C41" s="3" t="str">
        <x:v>"grupo de trabalho" SoHO substâncias origem humana relatório conclusões after:2024-04-01 before:2026-10-11</x:v>
      </x:c>
      <x:c r="D41" s="3" t="str">
        <x:v>portugal.gov.pt, gov.pt, parlamento.pt, diariodarepublica.pt, justica.gov.pt, dgav.pt, icnf.pt, anac.pt, dgeg.gov.pt</x:v>
      </x:c>
      <x:c r="E41" s="3" t="str">
        <x:v>Reviewed; row-level evidence and unresolved delivery timing recorded in Groups. A negative search result is not proof of non-delivery.</x:v>
      </x:c>
      <x:c r="F41" s="3" t="str"/>
    </x:row>
    <x:row r="42" ht="96" customHeight="1">
      <x:c r="A42" s="20" t="d">
        <x:v>2026-10-10T00:00:00.000Z</x:v>
      </x:c>
      <x:c r="B42" s="3" t="str">
        <x:v>GT-2024-039</x:v>
      </x:c>
      <x:c r="C42" s="3" t="str">
        <x:v>"grupo de trabalho" saúde prisões centros educativos relatório conclusões after:2024-04-01 before:2026-10-11</x:v>
      </x:c>
      <x:c r="D42" s="3" t="str">
        <x:v>portugal.gov.pt, gov.pt, parlamento.pt, diariodarepublica.pt, justica.gov.pt, dgav.pt, icnf.pt, anac.pt, dgeg.gov.pt</x:v>
      </x:c>
      <x:c r="E42" s="3" t="str">
        <x:v>Reviewed; row-level evidence and unresolved delivery timing recorded in Groups. A negative search result is not proof of non-delivery.</x:v>
      </x:c>
      <x:c r="F42" s="3" t="str">
        <x:v>https://diariodarepublica.pt/dr/detalhe/despacho/12550-2025-942405334</x:v>
      </x:c>
    </x:row>
    <x:row r="43" ht="96" customHeight="1">
      <x:c r="A43" s="20" t="d">
        <x:v>2026-10-10T00:00:00.000Z</x:v>
      </x:c>
      <x:c r="B43" s="3" t="str">
        <x:v>GT-2024-040</x:v>
      </x:c>
      <x:c r="C43" s="3" t="str">
        <x:v>"grupo de trabalho" índice desempenho equipas USF relatório conclusões after:2024-04-01 before:2026-10-11</x:v>
      </x:c>
      <x:c r="D43" s="3" t="str">
        <x:v>portugal.gov.pt, gov.pt, parlamento.pt, diariodarepublica.pt, justica.gov.pt, dgav.pt, icnf.pt, anac.pt, dgeg.gov.pt</x:v>
      </x:c>
      <x:c r="E43" s="3" t="str">
        <x:v>Reviewed; row-level evidence and unresolved delivery timing recorded in Groups. A negative search result is not proof of non-delivery.</x:v>
      </x:c>
      <x:c r="F43" s="3" t="str"/>
    </x:row>
    <x:row r="44" ht="96" customHeight="1">
      <x:c r="A44" s="20" t="d">
        <x:v>2026-10-10T00:00:00.000Z</x:v>
      </x:c>
      <x:c r="B44" s="3" t="str">
        <x:v>GT-2024-041</x:v>
      </x:c>
      <x:c r="C44" s="3" t="str">
        <x:v>"grupo de trabalho" gestão mudança comunicação Administração Pública relatório conclusões after:2024-04-01 before:2026-10-11</x:v>
      </x:c>
      <x:c r="D44" s="3" t="str">
        <x:v>portugal.gov.pt, gov.pt, parlamento.pt, diariodarepublica.pt, justica.gov.pt, dgav.pt, icnf.pt, anac.pt, dgeg.gov.pt</x:v>
      </x:c>
      <x:c r="E44" s="3" t="str">
        <x:v>Reviewed; row-level evidence and unresolved delivery timing recorded in Groups. A negative search result is not proof of non-delivery.</x:v>
      </x:c>
      <x:c r="F44" s="3" t="str">
        <x:v>https://diariodarepublica.pt/dr/detalhe/despacho/3407-2025-911315599</x:v>
      </x:c>
    </x:row>
    <x:row r="45" ht="96" customHeight="1">
      <x:c r="A45" s="20" t="d">
        <x:v>2026-10-10T00:00:00.000Z</x:v>
      </x:c>
      <x:c r="B45" s="3" t="str">
        <x:v>GT-2024-042</x:v>
      </x:c>
      <x:c r="C45" s="3" t="str">
        <x:v>"grupo de trabalho" Campus Justiça Lisboa relatório conclusões after:2024-04-01 before:2026-10-11</x:v>
      </x:c>
      <x:c r="D45" s="3" t="str">
        <x:v>portugal.gov.pt, gov.pt, parlamento.pt, diariodarepublica.pt, justica.gov.pt, dgav.pt, icnf.pt, anac.pt, dgeg.gov.pt</x:v>
      </x:c>
      <x:c r="E45" s="3" t="str">
        <x:v>Reviewed; row-level evidence and unresolved delivery timing recorded in Groups. A negative search result is not proof of non-delivery.</x:v>
      </x:c>
      <x:c r="F45" s="3" t="str">
        <x:v>https://diariodarepublica.pt/dr/detalhe/despacho/35-2025-901693477</x:v>
      </x:c>
    </x:row>
    <x:row r="46" ht="96" customHeight="1">
      <x:c r="A46" s="20" t="d">
        <x:v>2026-10-10T00:00:00.000Z</x:v>
      </x:c>
      <x:c r="B46" s="3" t="str">
        <x:v>GT-2024-043</x:v>
      </x:c>
      <x:c r="C46" s="3" t="str">
        <x:v>"grupo de trabalho" trabalho reclusos relatório conclusões after:2024-04-01 before:2026-10-11</x:v>
      </x:c>
      <x:c r="D46" s="3" t="str">
        <x:v>portugal.gov.pt, gov.pt, parlamento.pt, diariodarepublica.pt, justica.gov.pt, dgav.pt, icnf.pt, anac.pt, dgeg.gov.pt</x:v>
      </x:c>
      <x:c r="E46" s="3" t="str">
        <x:v>Reviewed; row-level evidence and unresolved delivery timing recorded in Groups. A negative search result is not proof of non-delivery.</x:v>
      </x:c>
      <x:c r="F46" s="3" t="str"/>
    </x:row>
    <x:row r="47" ht="96" customHeight="1">
      <x:c r="A47" s="20" t="d">
        <x:v>2026-10-10T00:00:00.000Z</x:v>
      </x:c>
      <x:c r="B47" s="3" t="str">
        <x:v>GT-2024-044</x:v>
      </x:c>
      <x:c r="C47" s="3" t="str">
        <x:v>"grupo de trabalho" resolução alternativa litígios relatório conclusões after:2024-04-01 before:2026-10-11</x:v>
      </x:c>
      <x:c r="D47" s="3" t="str">
        <x:v>portugal.gov.pt, gov.pt, parlamento.pt, diariodarepublica.pt, justica.gov.pt, dgav.pt, icnf.pt, anac.pt, dgeg.gov.pt</x:v>
      </x:c>
      <x:c r="E47" s="3" t="str">
        <x:v>Reviewed; row-level evidence and unresolved delivery timing recorded in Groups. A negative search result is not proof of non-delivery.</x:v>
      </x:c>
      <x:c r="F47" s="3" t="str"/>
    </x:row>
    <x:row r="48" ht="96" customHeight="1">
      <x:c r="A48" s="20" t="d">
        <x:v>2026-10-10T00:00:00.000Z</x:v>
      </x:c>
      <x:c r="B48" s="3" t="str">
        <x:v>GT-2024-045</x:v>
      </x:c>
      <x:c r="C48" s="3" t="str">
        <x:v>"grupo de trabalho" plano emergência aterros resíduos relatório conclusões after:2024-04-01 before:2026-10-11</x:v>
      </x:c>
      <x:c r="D48" s="3" t="str">
        <x:v>portugal.gov.pt, gov.pt, parlamento.pt, diariodarepublica.pt, justica.gov.pt, dgav.pt, icnf.pt, anac.pt, dgeg.gov.pt</x:v>
      </x:c>
      <x:c r="E48" s="3" t="str">
        <x:v>Reviewed; row-level evidence and unresolved delivery timing recorded in Groups. A negative search result is not proof of non-delivery.</x:v>
      </x:c>
      <x:c r="F48" s="3" t="str">
        <x:v>https://diariodarepublica.pt/dr/detalhe/resolucao-conselho-ministros/181-2026-1171535220</x:v>
      </x:c>
    </x:row>
    <x:row r="49" ht="96" customHeight="1">
      <x:c r="A49" s="20" t="d">
        <x:v>2026-10-10T00:00:00.000Z</x:v>
      </x:c>
      <x:c r="B49" s="3" t="str">
        <x:v>GT-2024-046</x:v>
      </x:c>
      <x:c r="C49" s="3" t="str">
        <x:v>"grupo de trabalho" novo passaporte português dez anos 2026 relatório conclusões after:2024-04-01 before:2026-10-11</x:v>
      </x:c>
      <x:c r="D49" s="3" t="str">
        <x:v>portugal.gov.pt, gov.pt, parlamento.pt, diariodarepublica.pt, justica.gov.pt, dgav.pt, icnf.pt, anac.pt, dgeg.gov.pt</x:v>
      </x:c>
      <x:c r="E49" s="3" t="str">
        <x:v>Reviewed; row-level evidence and unresolved delivery timing recorded in Groups. A negative search result is not proof of non-delivery.</x:v>
      </x:c>
      <x:c r="F49" s="3" t="str">
        <x:v>https://diariodarepublica.pt/dr/legislacao-consolidada/decreto-lei/2000-34461675-43510175</x:v>
      </x:c>
    </x:row>
    <x:row r="50" ht="96" customHeight="1">
      <x:c r="A50" s="20" t="d">
        <x:v>2026-10-10T00:00:00.000Z</x:v>
      </x:c>
      <x:c r="B50" s="3" t="str">
        <x:v>GT-2024-047</x:v>
      </x:c>
      <x:c r="C50" s="3" t="str">
        <x:v>"grupo de trabalho" empresas estratégicas Estado relatório conclusões after:2024-04-01 before:2026-10-11</x:v>
      </x:c>
      <x:c r="D50" s="3" t="str">
        <x:v>portugal.gov.pt, gov.pt, parlamento.pt, diariodarepublica.pt, justica.gov.pt, dgav.pt, icnf.pt, anac.pt, dgeg.gov.pt</x:v>
      </x:c>
      <x:c r="E50" s="3" t="str">
        <x:v>Reviewed; row-level evidence and unresolved delivery timing recorded in Groups. A negative search result is not proof of non-delivery.</x:v>
      </x:c>
      <x:c r="F50" s="3" t="str">
        <x:v>https://www.etf.gov.pt/relatorios-see
https://www.etf.gov.pt/media/doc/relatorio-GT-SEE.pdf</x:v>
      </x:c>
    </x:row>
    <x:row r="51" ht="96" customHeight="1">
      <x:c r="A51" s="20" t="d">
        <x:v>2026-10-10T00:00:00.000Z</x:v>
      </x:c>
      <x:c r="B51" s="3" t="str">
        <x:v>GT-2024-048</x:v>
      </x:c>
      <x:c r="C51" s="3" t="str">
        <x:v>"grupo de trabalho" estatuto carreiras bombeiros relatório conclusões after:2024-04-01 before:2026-10-11</x:v>
      </x:c>
      <x:c r="D51" s="3" t="str">
        <x:v>portugal.gov.pt, gov.pt, parlamento.pt, diariodarepublica.pt, justica.gov.pt, dgav.pt, icnf.pt, anac.pt, dgeg.gov.pt</x:v>
      </x:c>
      <x:c r="E51" s="3" t="str">
        <x:v>Reviewed; row-level evidence and unresolved delivery timing recorded in Groups. A negative search result is not proof of non-delivery.</x:v>
      </x:c>
      <x:c r="F51" s="3" t="str"/>
    </x:row>
    <x:row r="52" ht="96" customHeight="1">
      <x:c r="A52" s="20" t="d">
        <x:v>2026-10-10T00:00:00.000Z</x:v>
      </x:c>
      <x:c r="B52" s="3" t="str">
        <x:v>GT-2024-049</x:v>
      </x:c>
      <x:c r="C52" s="3" t="str">
        <x:v>"grupo de trabalho" CPCJ adoção apadrinhamento acolhimento familiar relatório conclusões after:2024-04-01 before:2026-10-11</x:v>
      </x:c>
      <x:c r="D52" s="3" t="str">
        <x:v>portugal.gov.pt, gov.pt, parlamento.pt, diariodarepublica.pt, justica.gov.pt, dgav.pt, icnf.pt, anac.pt, dgeg.gov.pt</x:v>
      </x:c>
      <x:c r="E52" s="3" t="str">
        <x:v>Reviewed; row-level evidence and unresolved delivery timing recorded in Groups. A negative search result is not proof of non-delivery.</x:v>
      </x:c>
      <x:c r="F52" s="3" t="str">
        <x:v>https://diariodarepublica.pt/dr/detalhe/despacho/3182-2025-910469452</x:v>
      </x:c>
    </x:row>
    <x:row r="53" ht="96" customHeight="1">
      <x:c r="A53" s="20" t="d">
        <x:v>2026-10-10T00:00:00.000Z</x:v>
      </x:c>
      <x:c r="B53" s="3" t="str">
        <x:v>GT-2024-050</x:v>
      </x:c>
      <x:c r="C53" s="3" t="str">
        <x:v>"grupo de trabalho" Agenda Nacional Juventude relatório conclusões after:2024-04-01 before:2026-10-11</x:v>
      </x:c>
      <x:c r="D53" s="3" t="str">
        <x:v>portugal.gov.pt, gov.pt, parlamento.pt, diariodarepublica.pt, justica.gov.pt, dgav.pt, icnf.pt, anac.pt, dgeg.gov.pt</x:v>
      </x:c>
      <x:c r="E53" s="3" t="str">
        <x:v>Reviewed; row-level evidence and unresolved delivery timing recorded in Groups. A negative search result is not proof of non-delivery.</x:v>
      </x:c>
      <x:c r="F53" s="3" t="str"/>
    </x:row>
    <x:row r="54" ht="96" customHeight="1">
      <x:c r="A54" s="20" t="d">
        <x:v>2026-10-10T00:00:00.000Z</x:v>
      </x:c>
      <x:c r="B54" s="3" t="str">
        <x:v>GT-2024-051</x:v>
      </x:c>
      <x:c r="C54" s="3" t="str">
        <x:v>"grupo de trabalho" Estratégia Digital Nacional relatório relatório conclusões after:2024-04-01 before:2026-10-11</x:v>
      </x:c>
      <x:c r="D54" s="3" t="str">
        <x:v>portugal.gov.pt, gov.pt, parlamento.pt, diariodarepublica.pt, justica.gov.pt, dgav.pt, icnf.pt, anac.pt, dgeg.gov.pt</x:v>
      </x:c>
      <x:c r="E54" s="3" t="str">
        <x:v>Reviewed; row-level evidence and unresolved delivery timing recorded in Groups. A negative search result is not proof of non-delivery.</x:v>
      </x:c>
      <x:c r="F54" s="3" t="str">
        <x:v>https://digital.gov.pt/pt/noticias/quinta-reuniao-comite-estrategico-do-cdap</x:v>
      </x:c>
    </x:row>
    <x:row r="55" ht="96" customHeight="1">
      <x:c r="A55" s="20" t="d">
        <x:v>2026-10-10T00:00:00.000Z</x:v>
      </x:c>
      <x:c r="B55" s="3" t="str">
        <x:v>GT-2025-001</x:v>
      </x:c>
      <x:c r="C55" s="3" t="str">
        <x:v>"grupo de trabalho" Diretiva Eficiência Energética 2023/1791 relatório conclusões after:2024-04-01 before:2026-10-11</x:v>
      </x:c>
      <x:c r="D55" s="3" t="str">
        <x:v>portugal.gov.pt, gov.pt, parlamento.pt, diariodarepublica.pt, justica.gov.pt, dgav.pt, icnf.pt, anac.pt, dgeg.gov.pt</x:v>
      </x:c>
      <x:c r="E55" s="3" t="str">
        <x:v>Reviewed; row-level evidence and unresolved delivery timing recorded in Groups. A negative search result is not proof of non-delivery.</x:v>
      </x:c>
      <x:c r="F55" s="3" t="str"/>
    </x:row>
    <x:row r="56" ht="96" customHeight="1">
      <x:c r="A56" s="20" t="d">
        <x:v>2026-10-10T00:00:00.000Z</x:v>
      </x:c>
      <x:c r="B56" s="3" t="str">
        <x:v>GT-2025-002</x:v>
      </x:c>
      <x:c r="C56" s="3" t="str">
        <x:v>"grupo de trabalho" IMI barragens método custo adicionado terreno relatório conclusões after:2024-04-01 before:2026-10-11</x:v>
      </x:c>
      <x:c r="D56" s="3" t="str">
        <x:v>portugal.gov.pt, gov.pt, parlamento.pt, diariodarepublica.pt, justica.gov.pt, dgav.pt, icnf.pt, anac.pt, dgeg.gov.pt</x:v>
      </x:c>
      <x:c r="E56" s="3" t="str">
        <x:v>Reviewed; row-level evidence and unresolved delivery timing recorded in Groups. A negative search result is not proof of non-delivery.</x:v>
      </x:c>
      <x:c r="F56" s="3" t="str"/>
    </x:row>
    <x:row r="57" ht="96" customHeight="1">
      <x:c r="A57" s="20" t="d">
        <x:v>2026-10-10T00:00:00.000Z</x:v>
      </x:c>
      <x:c r="B57" s="3" t="str">
        <x:v>GT-2025-003</x:v>
      </x:c>
      <x:c r="C57" s="3" t="str">
        <x:v>"grupo de trabalho" despesa SNS medicamentos transporte desperdício relatório conclusões after:2024-04-01 before:2026-10-11</x:v>
      </x:c>
      <x:c r="D57" s="3" t="str">
        <x:v>portugal.gov.pt, gov.pt, parlamento.pt, diariodarepublica.pt, justica.gov.pt, dgav.pt, icnf.pt, anac.pt, dgeg.gov.pt</x:v>
      </x:c>
      <x:c r="E57" s="3" t="str">
        <x:v>Reviewed; row-level evidence and unresolved delivery timing recorded in Groups. A negative search result is not proof of non-delivery.</x:v>
      </x:c>
      <x:c r="F57" s="3" t="str"/>
    </x:row>
    <x:row r="58" ht="96" customHeight="1">
      <x:c r="A58" s="20" t="d">
        <x:v>2026-10-10T00:00:00.000Z</x:v>
      </x:c>
      <x:c r="B58" s="3" t="str">
        <x:v>GT-2025-004</x:v>
      </x:c>
      <x:c r="C58" s="3" t="str">
        <x:v>"grupo de trabalho" descarga direta portos Lisboa Setúbal relatório conclusões after:2024-04-01 before:2026-10-11</x:v>
      </x:c>
      <x:c r="D58" s="3" t="str">
        <x:v>portugal.gov.pt, gov.pt, parlamento.pt, diariodarepublica.pt, justica.gov.pt, dgav.pt, icnf.pt, anac.pt, dgeg.gov.pt</x:v>
      </x:c>
      <x:c r="E58" s="3" t="str">
        <x:v>Reviewed; row-level evidence and unresolved delivery timing recorded in Groups. A negative search result is not proof of non-delivery.</x:v>
      </x:c>
      <x:c r="F58" s="3" t="str"/>
    </x:row>
    <x:row r="59" ht="96" customHeight="1">
      <x:c r="A59" s="20" t="d">
        <x:v>2026-10-10T00:00:00.000Z</x:v>
      </x:c>
      <x:c r="B59" s="3" t="str">
        <x:v>GT-2025-005</x:v>
      </x:c>
      <x:c r="C59" s="3" t="str">
        <x:v>"grupo de trabalho" reforma formação profissional relatório conclusões after:2024-04-01 before:2026-10-11</x:v>
      </x:c>
      <x:c r="D59" s="3" t="str">
        <x:v>portugal.gov.pt, gov.pt, parlamento.pt, diariodarepublica.pt, justica.gov.pt, dgav.pt, icnf.pt, anac.pt, dgeg.gov.pt</x:v>
      </x:c>
      <x:c r="E59" s="3" t="str">
        <x:v>Reviewed; row-level evidence and unresolved delivery timing recorded in Groups. A negative search result is not proof of non-delivery.</x:v>
      </x:c>
      <x:c r="F59" s="3" t="str"/>
    </x:row>
    <x:row r="60" ht="96" customHeight="1">
      <x:c r="A60" s="20" t="d">
        <x:v>2026-10-10T00:00:00.000Z</x:v>
      </x:c>
      <x:c r="B60" s="3" t="str">
        <x:v>GT-2025-006</x:v>
      </x:c>
      <x:c r="C60" s="3" t="str">
        <x:v>"grupo de trabalho" sustentabilidade segurança social pensões relatório conclusões after:2024-04-01 before:2026-10-11</x:v>
      </x:c>
      <x:c r="D60" s="3" t="str">
        <x:v>portugal.gov.pt, gov.pt, parlamento.pt, diariodarepublica.pt, justica.gov.pt, dgav.pt, icnf.pt, anac.pt, dgeg.gov.pt</x:v>
      </x:c>
      <x:c r="E60" s="3" t="str">
        <x:v>Reviewed; row-level evidence and unresolved delivery timing recorded in Groups. A negative search result is not proof of non-delivery.</x:v>
      </x:c>
      <x:c r="F60" s="3" t="str">
        <x:v>https://diariodarepublica.pt/dr/detalhe/despacho/5409-2026-1090795689</x:v>
      </x:c>
    </x:row>
    <x:row r="61" ht="96" customHeight="1">
      <x:c r="A61" s="20" t="d">
        <x:v>2026-10-10T00:00:00.000Z</x:v>
      </x:c>
      <x:c r="B61" s="3" t="str">
        <x:v>GT-2025-007</x:v>
      </x:c>
      <x:c r="C61" s="3" t="str">
        <x:v>"grupo de trabalho" acidificação oceano plano nacional relatório conclusões after:2024-04-01 before:2026-10-11</x:v>
      </x:c>
      <x:c r="D61" s="3" t="str">
        <x:v>portugal.gov.pt, gov.pt, parlamento.pt, diariodarepublica.pt, justica.gov.pt, dgav.pt, icnf.pt, anac.pt, dgeg.gov.pt</x:v>
      </x:c>
      <x:c r="E61" s="3" t="str">
        <x:v>Reviewed; row-level evidence and unresolved delivery timing recorded in Groups. A negative search result is not proof of non-delivery.</x:v>
      </x:c>
      <x:c r="F61" s="3" t="str"/>
    </x:row>
    <x:row r="62" ht="96" customHeight="1">
      <x:c r="A62" s="20" t="d">
        <x:v>2026-10-10T00:00:00.000Z</x:v>
      </x:c>
      <x:c r="B62" s="3" t="str">
        <x:v>GT-2025-008</x:v>
      </x:c>
      <x:c r="C62" s="3" t="str">
        <x:v>"grupo de trabalho" RNCCI revisão financiamento relatório conclusões after:2024-04-01 before:2026-10-11</x:v>
      </x:c>
      <x:c r="D62" s="3" t="str">
        <x:v>portugal.gov.pt, gov.pt, parlamento.pt, diariodarepublica.pt, justica.gov.pt, dgav.pt, icnf.pt, anac.pt, dgeg.gov.pt</x:v>
      </x:c>
      <x:c r="E62" s="3" t="str">
        <x:v>Reviewed; row-level evidence and unresolved delivery timing recorded in Groups. A negative search result is not proof of non-delivery.</x:v>
      </x:c>
      <x:c r="F62" s="3" t="str">
        <x:v>https://diariodarepublica.pt/dr/detalhe/portaria/229-2025-918999082</x:v>
      </x:c>
    </x:row>
    <x:row r="63" ht="96" customHeight="1">
      <x:c r="A63" s="20" t="d">
        <x:v>2026-10-10T00:00:00.000Z</x:v>
      </x:c>
      <x:c r="B63" s="3" t="str">
        <x:v>GT-2025-009</x:v>
      </x:c>
      <x:c r="C63" s="3" t="str">
        <x:v>"grupo de trabalho" quadro legal fundações relatório conclusões after:2024-04-01 before:2026-10-11</x:v>
      </x:c>
      <x:c r="D63" s="3" t="str">
        <x:v>portugal.gov.pt, gov.pt, parlamento.pt, diariodarepublica.pt, justica.gov.pt, dgav.pt, icnf.pt, anac.pt, dgeg.gov.pt</x:v>
      </x:c>
      <x:c r="E63" s="3" t="str">
        <x:v>Reviewed; row-level evidence and unresolved delivery timing recorded in Groups. A negative search result is not proof of non-delivery.</x:v>
      </x:c>
      <x:c r="F63" s="3" t="str">
        <x:v>https://diariodarepublica.pt/dr/detalhe/despacho/7603-2026-1133518850</x:v>
      </x:c>
    </x:row>
    <x:row r="64" ht="96" customHeight="1">
      <x:c r="A64" s="20" t="d">
        <x:v>2026-10-10T00:00:00.000Z</x:v>
      </x:c>
      <x:c r="B64" s="3" t="str">
        <x:v>GT-2025-010</x:v>
      </x:c>
      <x:c r="C64" s="3" t="str">
        <x:v>"grupo de trabalho" Bienal Veneza arte 2026 seleção relatório conclusões after:2024-04-01 before:2026-10-11</x:v>
      </x:c>
      <x:c r="D64" s="3" t="str">
        <x:v>portugal.gov.pt, gov.pt, parlamento.pt, diariodarepublica.pt, justica.gov.pt, dgav.pt, icnf.pt, anac.pt, dgeg.gov.pt</x:v>
      </x:c>
      <x:c r="E64" s="3" t="str">
        <x:v>Reviewed; row-level evidence and unresolved delivery timing recorded in Groups. A negative search result is not proof of non-delivery.</x:v>
      </x:c>
      <x:c r="F64" s="3" t="str"/>
    </x:row>
    <x:row r="65" ht="96" customHeight="1">
      <x:c r="A65" s="20" t="d">
        <x:v>2026-10-10T00:00:00.000Z</x:v>
      </x:c>
      <x:c r="B65" s="3" t="str">
        <x:v>GT-2025-011</x:v>
      </x:c>
      <x:c r="C65" s="3" t="str">
        <x:v>"grupo de trabalho" legislação laboral relatório conclusões after:2024-04-01 before:2026-10-11</x:v>
      </x:c>
      <x:c r="D65" s="3" t="str">
        <x:v>portugal.gov.pt, gov.pt, parlamento.pt, diariodarepublica.pt, justica.gov.pt, dgav.pt, icnf.pt, anac.pt, dgeg.gov.pt</x:v>
      </x:c>
      <x:c r="E65" s="3" t="str">
        <x:v>Reviewed; row-level evidence and unresolved delivery timing recorded in Groups. A negative search result is not proof of non-delivery.</x:v>
      </x:c>
      <x:c r="F65" s="3" t="str"/>
    </x:row>
    <x:row r="66" ht="96" customHeight="1">
      <x:c r="A66" s="20" t="d">
        <x:v>2026-10-10T00:00:00.000Z</x:v>
      </x:c>
      <x:c r="B66" s="3" t="str">
        <x:v>GT-2025-012</x:v>
      </x:c>
      <x:c r="C66" s="3" t="str">
        <x:v>"grupo de trabalho" acesso medicamentos inovadores 2025 relatório conclusões after:2024-04-01 before:2026-10-11</x:v>
      </x:c>
      <x:c r="D66" s="3" t="str">
        <x:v>portugal.gov.pt, gov.pt, parlamento.pt, diariodarepublica.pt, justica.gov.pt, dgav.pt, icnf.pt, anac.pt, dgeg.gov.pt</x:v>
      </x:c>
      <x:c r="E66" s="3" t="str">
        <x:v>Reviewed; row-level evidence and unresolved delivery timing recorded in Groups. A negative search result is not proof of non-delivery.</x:v>
      </x:c>
      <x:c r="F66" s="3" t="str"/>
    </x:row>
    <x:row r="67" ht="96" customHeight="1">
      <x:c r="A67" s="20" t="d">
        <x:v>2026-10-10T00:00:00.000Z</x:v>
      </x:c>
      <x:c r="B67" s="3" t="str">
        <x:v>GT-2025-013</x:v>
      </x:c>
      <x:c r="C67" s="3" t="str">
        <x:v>"grupo de trabalho" património cultural alterações climáticas catástrofes relatório conclusões after:2024-04-01 before:2026-10-11</x:v>
      </x:c>
      <x:c r="D67" s="3" t="str">
        <x:v>portugal.gov.pt, gov.pt, parlamento.pt, diariodarepublica.pt, justica.gov.pt, dgav.pt, icnf.pt, anac.pt, dgeg.gov.pt</x:v>
      </x:c>
      <x:c r="E67" s="3" t="str">
        <x:v>Reviewed; row-level evidence and unresolved delivery timing recorded in Groups. A negative search result is not proof of non-delivery.</x:v>
      </x:c>
      <x:c r="F67" s="3" t="str"/>
    </x:row>
    <x:row r="68" ht="96" customHeight="1">
      <x:c r="A68" s="20" t="d">
        <x:v>2026-10-10T00:00:00.000Z</x:v>
      </x:c>
      <x:c r="B68" s="3" t="str">
        <x:v>GT-2025-014</x:v>
      </x:c>
      <x:c r="C68" s="3" t="str">
        <x:v>"grupo de trabalho" ilhas barreira domínio público marítimo relatório conclusões after:2024-04-01 before:2026-10-11</x:v>
      </x:c>
      <x:c r="D68" s="3" t="str">
        <x:v>portugal.gov.pt, gov.pt, parlamento.pt, diariodarepublica.pt, justica.gov.pt, dgav.pt, icnf.pt, anac.pt, dgeg.gov.pt</x:v>
      </x:c>
      <x:c r="E68" s="3" t="str">
        <x:v>Reviewed; row-level evidence and unresolved delivery timing recorded in Groups. A negative search result is not proof of non-delivery.</x:v>
      </x:c>
      <x:c r="F68" s="3" t="str"/>
    </x:row>
    <x:row r="69" ht="96" customHeight="1">
      <x:c r="A69" s="20" t="d">
        <x:v>2026-10-10T00:00:00.000Z</x:v>
      </x:c>
      <x:c r="B69" s="3" t="str">
        <x:v>GT-2025-015</x:v>
      </x:c>
      <x:c r="C69" s="3" t="str">
        <x:v>"grupo de trabalho" Espaço Europeu Dados Saúde governação relatório conclusões after:2024-04-01 before:2026-10-11</x:v>
      </x:c>
      <x:c r="D69" s="3" t="str">
        <x:v>portugal.gov.pt, gov.pt, parlamento.pt, diariodarepublica.pt, justica.gov.pt, dgav.pt, icnf.pt, anac.pt, dgeg.gov.pt</x:v>
      </x:c>
      <x:c r="E69" s="3" t="str">
        <x:v>Reviewed; row-level evidence and unresolved delivery timing recorded in Groups. A negative search result is not proof of non-delivery.</x:v>
      </x:c>
      <x:c r="F69" s="3" t="str"/>
    </x:row>
    <x:row r="70" ht="96" customHeight="1">
      <x:c r="A70" s="20" t="d">
        <x:v>2026-10-10T00:00:00.000Z</x:v>
      </x:c>
      <x:c r="B70" s="3" t="str">
        <x:v>GT-2025-016</x:v>
      </x:c>
      <x:c r="C70" s="3" t="str">
        <x:v>"grupo de trabalho" CIIAE armazenamento energia Cáceres relatório conclusões after:2024-04-01 before:2026-10-11</x:v>
      </x:c>
      <x:c r="D70" s="3" t="str">
        <x:v>portugal.gov.pt, gov.pt, parlamento.pt, diariodarepublica.pt, justica.gov.pt, dgav.pt, icnf.pt, anac.pt, dgeg.gov.pt</x:v>
      </x:c>
      <x:c r="E70" s="3" t="str">
        <x:v>Reviewed; row-level evidence and unresolved delivery timing recorded in Groups. A negative search result is not proof of non-delivery.</x:v>
      </x:c>
      <x:c r="F70" s="3" t="str"/>
    </x:row>
    <x:row r="71" ht="96" customHeight="1">
      <x:c r="A71" s="20" t="d">
        <x:v>2026-10-10T00:00:00.000Z</x:v>
      </x:c>
      <x:c r="B71" s="3" t="str">
        <x:v>GT-2025-017</x:v>
      </x:c>
      <x:c r="C71" s="3" t="str">
        <x:v>"grupo de trabalho" SINACC relatório preparação relatório conclusões after:2024-04-01 before:2026-10-11</x:v>
      </x:c>
      <x:c r="D71" s="3" t="str">
        <x:v>portugal.gov.pt, gov.pt, parlamento.pt, diariodarepublica.pt, justica.gov.pt, dgav.pt, icnf.pt, anac.pt, dgeg.gov.pt</x:v>
      </x:c>
      <x:c r="E71" s="3" t="str">
        <x:v>Reviewed; row-level evidence and unresolved delivery timing recorded in Groups. A negative search result is not proof of non-delivery.</x:v>
      </x:c>
      <x:c r="F71" s="3" t="str">
        <x:v>https://diariodarepublica.pt/dr/detalhe/despacho/14188-2025-955733785
https://diariodarepublica.pt/dr/detalhe/decreto-lei/12-2026-1019913911</x:v>
      </x:c>
    </x:row>
    <x:row r="72" ht="96" customHeight="1">
      <x:c r="A72" s="20" t="d">
        <x:v>2026-10-10T00:00:00.000Z</x:v>
      </x:c>
      <x:c r="B72" s="3" t="str">
        <x:v>GT-2025-018; GT-2025-019; GT-2025-020; GT-2025-021; GT-2025-022</x:v>
      </x:c>
      <x:c r="C72" s="3" t="str">
        <x:v>"grupo de trabalho" GTRI investigação incêndios espaço rural relatório 2025 relatório conclusões after:2024-04-01 before:2026-10-11</x:v>
      </x:c>
      <x:c r="D72" s="3" t="str">
        <x:v>portugal.gov.pt, gov.pt, parlamento.pt, diariodarepublica.pt, justica.gov.pt, dgav.pt, icnf.pt, anac.pt, dgeg.gov.pt</x:v>
      </x:c>
      <x:c r="E72" s="3" t="str">
        <x:v>Reviewed; row-level evidence and unresolved delivery timing recorded in Groups. A negative search result is not proof of non-delivery.</x:v>
      </x:c>
      <x:c r="F72" s="3" t="str"/>
    </x:row>
    <x:row r="73" ht="96" customHeight="1">
      <x:c r="A73" s="20" t="d">
        <x:v>2026-10-10T00:00:00.000Z</x:v>
      </x:c>
      <x:c r="B73" s="3" t="str">
        <x:v>GT-2025-023</x:v>
      </x:c>
      <x:c r="C73" s="3" t="str">
        <x:v>"grupo de trabalho" património cultural subaquático relatório conclusões after:2024-04-01 before:2026-10-11</x:v>
      </x:c>
      <x:c r="D73" s="3" t="str">
        <x:v>portugal.gov.pt, gov.pt, parlamento.pt, diariodarepublica.pt, justica.gov.pt, dgav.pt, icnf.pt, anac.pt, dgeg.gov.pt</x:v>
      </x:c>
      <x:c r="E73" s="3" t="str">
        <x:v>Reviewed; row-level evidence and unresolved delivery timing recorded in Groups. A negative search result is not proof of non-delivery.</x:v>
      </x:c>
      <x:c r="F73" s="3" t="str"/>
    </x:row>
    <x:row r="74" ht="96" customHeight="1">
      <x:c r="A74" s="20" t="d">
        <x:v>2026-10-10T00:00:00.000Z</x:v>
      </x:c>
      <x:c r="B74" s="3" t="str">
        <x:v>GT-2025-024</x:v>
      </x:c>
      <x:c r="C74" s="3" t="str">
        <x:v>"grupo de trabalho" PORTOS 5+ administração marítimo portuária relatório conclusões after:2024-04-01 before:2026-10-11</x:v>
      </x:c>
      <x:c r="D74" s="3" t="str">
        <x:v>portugal.gov.pt, gov.pt, parlamento.pt, diariodarepublica.pt, justica.gov.pt, dgav.pt, icnf.pt, anac.pt, dgeg.gov.pt</x:v>
      </x:c>
      <x:c r="E74" s="3" t="str">
        <x:v>Reviewed; row-level evidence and unresolved delivery timing recorded in Groups. A negative search result is not proof of non-delivery.</x:v>
      </x:c>
      <x:c r="F74" s="3" t="str"/>
    </x:row>
    <x:row r="75" ht="96" customHeight="1">
      <x:c r="A75" s="20" t="d">
        <x:v>2026-10-10T00:00:00.000Z</x:v>
      </x:c>
      <x:c r="B75" s="3" t="str">
        <x:v>GT-2025-025</x:v>
      </x:c>
      <x:c r="C75" s="3" t="str">
        <x:v>"grupo de trabalho" Regime Ponto Parceiro relatório conclusões after:2024-04-01 before:2026-10-11</x:v>
      </x:c>
      <x:c r="D75" s="3" t="str">
        <x:v>portugal.gov.pt, gov.pt, parlamento.pt, diariodarepublica.pt, justica.gov.pt, dgav.pt, icnf.pt, anac.pt, dgeg.gov.pt</x:v>
      </x:c>
      <x:c r="E75" s="3" t="str">
        <x:v>Reviewed; row-level evidence and unresolved delivery timing recorded in Groups. A negative search result is not proof of non-delivery.</x:v>
      </x:c>
      <x:c r="F75" s="3" t="str"/>
    </x:row>
    <x:row r="76" ht="96" customHeight="1">
      <x:c r="A76" s="20" t="d">
        <x:v>2026-10-10T00:00:00.000Z</x:v>
      </x:c>
      <x:c r="B76" s="3" t="str">
        <x:v>GT-2025-026</x:v>
      </x:c>
      <x:c r="C76" s="3" t="str">
        <x:v>"grupo de trabalho" Plano Nacional Materiais Construção relatório conclusões after:2024-04-01 before:2026-10-11</x:v>
      </x:c>
      <x:c r="D76" s="3" t="str">
        <x:v>portugal.gov.pt, gov.pt, parlamento.pt, diariodarepublica.pt, justica.gov.pt, dgav.pt, icnf.pt, anac.pt, dgeg.gov.pt</x:v>
      </x:c>
      <x:c r="E76" s="3" t="str">
        <x:v>Reviewed; row-level evidence and unresolved delivery timing recorded in Groups. A negative search result is not proof of non-delivery.</x:v>
      </x:c>
      <x:c r="F76" s="3" t="str"/>
    </x:row>
    <x:row r="77" ht="96" customHeight="1">
      <x:c r="A77" s="20" t="d">
        <x:v>2026-10-10T00:00:00.000Z</x:v>
      </x:c>
      <x:c r="B77" s="3" t="str">
        <x:v>GT-2025-027</x:v>
      </x:c>
      <x:c r="C77" s="3" t="str">
        <x:v>"grupo de trabalho" urgência obstétrica ginecológica rede pediátrica relatório conclusões after:2024-04-01 before:2026-10-11</x:v>
      </x:c>
      <x:c r="D77" s="3" t="str">
        <x:v>portugal.gov.pt, gov.pt, parlamento.pt, diariodarepublica.pt, justica.gov.pt, dgav.pt, icnf.pt, anac.pt, dgeg.gov.pt</x:v>
      </x:c>
      <x:c r="E77" s="3" t="str">
        <x:v>Reviewed; row-level evidence and unresolved delivery timing recorded in Groups. A negative search result is not proof of non-delivery.</x:v>
      </x:c>
      <x:c r="F77" s="3" t="str"/>
    </x:row>
    <x:row r="78" ht="96" customHeight="1">
      <x:c r="A78" s="20" t="d">
        <x:v>2026-10-10T00:00:00.000Z</x:v>
      </x:c>
      <x:c r="B78" s="3" t="str">
        <x:v>GT-2025-028</x:v>
      </x:c>
      <x:c r="C78" s="3" t="str">
        <x:v>"grupo de trabalho" acesso medicamentos inovadores 2026 relatório conclusões after:2024-04-01 before:2026-10-11</x:v>
      </x:c>
      <x:c r="D78" s="3" t="str">
        <x:v>portugal.gov.pt, gov.pt, parlamento.pt, diariodarepublica.pt, justica.gov.pt, dgav.pt, icnf.pt, anac.pt, dgeg.gov.pt</x:v>
      </x:c>
      <x:c r="E78" s="3" t="str">
        <x:v>Reviewed; row-level evidence and unresolved delivery timing recorded in Groups. A negative search result is not proof of non-delivery.</x:v>
      </x:c>
      <x:c r="F78" s="3" t="str"/>
    </x:row>
    <x:row r="79" ht="96" customHeight="1">
      <x:c r="A79" s="20" t="d">
        <x:v>2026-10-10T00:00:00.000Z</x:v>
      </x:c>
      <x:c r="B79" s="3" t="str">
        <x:v>GT-2025-029</x:v>
      </x:c>
      <x:c r="C79" s="3" t="str">
        <x:v>"grupo de trabalho" política espacial espaço ESA relatório conclusões after:2024-04-01 before:2026-10-11</x:v>
      </x:c>
      <x:c r="D79" s="3" t="str">
        <x:v>portugal.gov.pt, gov.pt, parlamento.pt, diariodarepublica.pt, justica.gov.pt, dgav.pt, icnf.pt, anac.pt, dgeg.gov.pt</x:v>
      </x:c>
      <x:c r="E79" s="3" t="str">
        <x:v>Reviewed; row-level evidence and unresolved delivery timing recorded in Groups. A negative search result is not proof of non-delivery.</x:v>
      </x:c>
      <x:c r="F79" s="3" t="str">
        <x:v>https://diariodarepublica.pt/dr/detalhe/despacho/4643-2026-1082906758</x:v>
      </x:c>
    </x:row>
    <x:row r="80" ht="96" customHeight="1">
      <x:c r="A80" s="20" t="d">
        <x:v>2026-10-10T00:00:00.000Z</x:v>
      </x:c>
      <x:c r="B80" s="3" t="str">
        <x:v>GT-2025-030</x:v>
      </x:c>
      <x:c r="C80" s="3" t="str">
        <x:v>"grupo de trabalho" graus diplomas ensino superior revisão relatório conclusões after:2024-04-01 before:2026-10-11</x:v>
      </x:c>
      <x:c r="D80" s="3" t="str">
        <x:v>portugal.gov.pt, gov.pt, parlamento.pt, diariodarepublica.pt, justica.gov.pt, dgav.pt, icnf.pt, anac.pt, dgeg.gov.pt</x:v>
      </x:c>
      <x:c r="E80" s="3" t="str">
        <x:v>Reviewed; row-level evidence and unresolved delivery timing recorded in Groups. A negative search result is not proof of non-delivery.</x:v>
      </x:c>
      <x:c r="F80" s="3" t="str"/>
    </x:row>
    <x:row r="81" ht="96" customHeight="1">
      <x:c r="A81" s="20" t="d">
        <x:v>2026-10-10T00:00:00.000Z</x:v>
      </x:c>
      <x:c r="B81" s="3" t="str">
        <x:v>GT-2025-031</x:v>
      </x:c>
      <x:c r="C81" s="3" t="str">
        <x:v>"grupo de trabalho" Reserva Estratégica Nacional saúde relatório conclusões after:2024-04-01 before:2026-10-11</x:v>
      </x:c>
      <x:c r="D81" s="3" t="str">
        <x:v>portugal.gov.pt, gov.pt, parlamento.pt, diariodarepublica.pt, justica.gov.pt, dgav.pt, icnf.pt, anac.pt, dgeg.gov.pt</x:v>
      </x:c>
      <x:c r="E81" s="3" t="str">
        <x:v>Reviewed; row-level evidence and unresolved delivery timing recorded in Groups. A negative search result is not proof of non-delivery.</x:v>
      </x:c>
      <x:c r="F81" s="3" t="str"/>
    </x:row>
    <x:row r="82" ht="96" customHeight="1">
      <x:c r="A82" s="20" t="d">
        <x:v>2026-10-10T00:00:00.000Z</x:v>
      </x:c>
      <x:c r="B82" s="3" t="str">
        <x:v>GT-2025-032</x:v>
      </x:c>
      <x:c r="C82" s="3" t="str">
        <x:v>"grupo de trabalho" conservação dados saúde SPMS relatório conclusões after:2024-04-01 before:2026-10-11</x:v>
      </x:c>
      <x:c r="D82" s="3" t="str">
        <x:v>portugal.gov.pt, gov.pt, parlamento.pt, diariodarepublica.pt, justica.gov.pt, dgav.pt, icnf.pt, anac.pt, dgeg.gov.pt</x:v>
      </x:c>
      <x:c r="E82" s="3" t="str">
        <x:v>Reviewed; row-level evidence and unresolved delivery timing recorded in Groups. A negative search result is not proof of non-delivery.</x:v>
      </x:c>
      <x:c r="F82" s="3" t="str"/>
    </x:row>
    <x:row r="83" ht="96" customHeight="1">
      <x:c r="A83" s="20" t="d">
        <x:v>2026-10-10T00:00:00.000Z</x:v>
      </x:c>
      <x:c r="B83" s="3" t="str">
        <x:v>GT-2025-033</x:v>
      </x:c>
      <x:c r="C83" s="3" t="str">
        <x:v>"grupo de trabalho" inteligência artificial educação transformação digital relatório conclusões after:2024-04-01 before:2026-10-11</x:v>
      </x:c>
      <x:c r="D83" s="3" t="str">
        <x:v>portugal.gov.pt, gov.pt, parlamento.pt, diariodarepublica.pt, justica.gov.pt, dgav.pt, icnf.pt, anac.pt, dgeg.gov.pt</x:v>
      </x:c>
      <x:c r="E83" s="3" t="str">
        <x:v>Reviewed; row-level evidence and unresolved delivery timing recorded in Groups. A negative search result is not proof of non-delivery.</x:v>
      </x:c>
      <x:c r="F83" s="3" t="str">
        <x:v>https://dges.gov.pt/pt/noticia/cnipes-divulga-relatorio-nacional-sobre-inteligencia-artificial-no-ensino-superior-e-propoe?canal=noticias</x:v>
      </x:c>
    </x:row>
    <x:row r="84" ht="96" customHeight="1">
      <x:c r="A84" s="20" t="d">
        <x:v>2026-10-10T00:00:00.000Z</x:v>
      </x:c>
      <x:c r="B84" s="3" t="str">
        <x:v>GT-2025-034</x:v>
      </x:c>
      <x:c r="C84" s="3" t="str">
        <x:v>"grupo de trabalho" habilitação docência titulares licenciatura relatório conclusões after:2024-04-01 before:2026-10-11</x:v>
      </x:c>
      <x:c r="D84" s="3" t="str">
        <x:v>portugal.gov.pt, gov.pt, parlamento.pt, diariodarepublica.pt, justica.gov.pt, dgav.pt, icnf.pt, anac.pt, dgeg.gov.pt</x:v>
      </x:c>
      <x:c r="E84" s="3" t="str">
        <x:v>Reviewed; row-level evidence and unresolved delivery timing recorded in Groups. A negative search result is not proof of non-delivery.</x:v>
      </x:c>
      <x:c r="F84" s="3" t="str"/>
    </x:row>
    <x:row r="85" ht="96" customHeight="1">
      <x:c r="A85" s="20" t="d">
        <x:v>2026-10-10T00:00:00.000Z</x:v>
      </x:c>
      <x:c r="B85" s="3" t="str">
        <x:v>GT-2025-035</x:v>
      </x:c>
      <x:c r="C85" s="3" t="str">
        <x:v>"grupo de trabalho" Lei Ciência Inovação relatório relatório conclusões after:2024-04-01 before:2026-10-11</x:v>
      </x:c>
      <x:c r="D85" s="3" t="str">
        <x:v>portugal.gov.pt, gov.pt, parlamento.pt, diariodarepublica.pt, justica.gov.pt, dgav.pt, icnf.pt, anac.pt, dgeg.gov.pt</x:v>
      </x:c>
      <x:c r="E85" s="3" t="str">
        <x:v>Reviewed; row-level evidence and unresolved delivery timing recorded in Groups. A negative search result is not proof of non-delivery.</x:v>
      </x:c>
      <x:c r="F85" s="3" t="str"/>
    </x:row>
    <x:row r="86" ht="96" customHeight="1">
      <x:c r="A86" s="20" t="d">
        <x:v>2026-10-10T00:00:00.000Z</x:v>
      </x:c>
      <x:c r="B86" s="3" t="str">
        <x:v>GT-2025-036</x:v>
      </x:c>
      <x:c r="C86" s="3" t="str">
        <x:v>"grupo de trabalho" lista doenças crónicas relatório conclusões after:2024-04-01 before:2026-10-11</x:v>
      </x:c>
      <x:c r="D86" s="3" t="str">
        <x:v>portugal.gov.pt, gov.pt, parlamento.pt, diariodarepublica.pt, justica.gov.pt, dgav.pt, icnf.pt, anac.pt, dgeg.gov.pt</x:v>
      </x:c>
      <x:c r="E86" s="3" t="str">
        <x:v>Reviewed; row-level evidence and unresolved delivery timing recorded in Groups. A negative search result is not proof of non-delivery.</x:v>
      </x:c>
      <x:c r="F86" s="3" t="str"/>
    </x:row>
    <x:row r="87" ht="96" customHeight="1">
      <x:c r="A87" s="20" t="d">
        <x:v>2026-10-10T00:00:00.000Z</x:v>
      </x:c>
      <x:c r="B87" s="3" t="str">
        <x:v>GT-2025-037</x:v>
      </x:c>
      <x:c r="C87" s="3" t="str">
        <x:v>"grupo de trabalho" gás renovável hidrogénio diretiva 2024/1788 relatório conclusões after:2024-04-01 before:2026-10-11</x:v>
      </x:c>
      <x:c r="D87" s="3" t="str">
        <x:v>portugal.gov.pt, gov.pt, parlamento.pt, diariodarepublica.pt, justica.gov.pt, dgav.pt, icnf.pt, anac.pt, dgeg.gov.pt</x:v>
      </x:c>
      <x:c r="E87" s="3" t="str">
        <x:v>Reviewed; row-level evidence and unresolved delivery timing recorded in Groups. A negative search result is not proof of non-delivery.</x:v>
      </x:c>
      <x:c r="F87" s="3" t="str"/>
    </x:row>
    <x:row r="88" ht="96" customHeight="1">
      <x:c r="A88" s="20" t="d">
        <x:v>2026-10-10T00:00:00.000Z</x:v>
      </x:c>
      <x:c r="B88" s="3" t="str">
        <x:v>GT-2025-039</x:v>
      </x:c>
      <x:c r="C88" s="3" t="str">
        <x:v>"grupo de trabalho" SINACC criação decreto lei relatório conclusões after:2024-04-01 before:2026-10-11</x:v>
      </x:c>
      <x:c r="D88" s="3" t="str">
        <x:v>portugal.gov.pt, gov.pt, parlamento.pt, diariodarepublica.pt, justica.gov.pt, dgav.pt, icnf.pt, anac.pt, dgeg.gov.pt</x:v>
      </x:c>
      <x:c r="E88" s="3" t="str">
        <x:v>Reviewed; row-level evidence and unresolved delivery timing recorded in Groups. A negative search result is not proof of non-delivery.</x:v>
      </x:c>
      <x:c r="F88" s="3" t="str">
        <x:v>https://diariodarepublica.pt/dr/detalhe/decreto-lei/12-2026-1019913911
https://diariodarepublica.pt/dr/detalhe/portaria/135-2026-1080123525</x:v>
      </x:c>
    </x:row>
    <x:row r="89" ht="96" customHeight="1">
      <x:c r="A89" s="20" t="d">
        <x:v>2026-10-10T00:00:00.000Z</x:v>
      </x:c>
      <x:c r="B89" s="3" t="str">
        <x:v>GT-2025-040</x:v>
      </x:c>
      <x:c r="C89" s="3" t="str">
        <x:v>"grupo de trabalho" transporte fluidos regime relatório conclusões after:2024-04-01 before:2026-10-11</x:v>
      </x:c>
      <x:c r="D89" s="3" t="str">
        <x:v>portugal.gov.pt, gov.pt, parlamento.pt, diariodarepublica.pt, justica.gov.pt, dgav.pt, icnf.pt, anac.pt, dgeg.gov.pt</x:v>
      </x:c>
      <x:c r="E89" s="3" t="str">
        <x:v>Reviewed; row-level evidence and unresolved delivery timing recorded in Groups. A negative search result is not proof of non-delivery.</x:v>
      </x:c>
      <x:c r="F89" s="3" t="str"/>
    </x:row>
    <x:row r="90" ht="96" customHeight="1">
      <x:c r="A90" s="20" t="d">
        <x:v>2026-10-10T00:00:00.000Z</x:v>
      </x:c>
      <x:c r="B90" s="3" t="str">
        <x:v>GT-2025-041</x:v>
      </x:c>
      <x:c r="C90" s="3" t="str">
        <x:v>"grupo de trabalho" PANUSPF 2025 2030 consulta relatório conclusões after:2024-04-01 before:2026-10-11</x:v>
      </x:c>
      <x:c r="D90" s="3" t="str">
        <x:v>portugal.gov.pt, gov.pt, parlamento.pt, diariodarepublica.pt, justica.gov.pt, dgav.pt, icnf.pt, anac.pt, dgeg.gov.pt</x:v>
      </x:c>
      <x:c r="E90" s="3" t="str">
        <x:v>Reviewed; row-level evidence and unresolved delivery timing recorded in Groups. A negative search result is not proof of non-delivery.</x:v>
      </x:c>
      <x:c r="F90" s="3" t="str">
        <x:v>https://www.dgav.pt/destaques/noticias/abertura-de-consulta-publica-plano-de-acao-nacional-para-o-uso-sustentavel-de-produtos-fitofarmaceuticos-2025-2030-2-a-revisao/
https://diariodarepublica.pt/dr/detalhe/portaria/119-2026-1074104065</x:v>
      </x:c>
    </x:row>
    <x:row r="91" ht="96" customHeight="1">
      <x:c r="A91" s="20" t="d">
        <x:v>2026-10-10T00:00:00.000Z</x:v>
      </x:c>
      <x:c r="B91" s="3" t="str">
        <x:v>GT-2025-042</x:v>
      </x:c>
      <x:c r="C91" s="3" t="str">
        <x:v>"grupo de trabalho" Campus Justiça Porto Barnahus relatório conclusões after:2024-04-01 before:2026-10-11</x:v>
      </x:c>
      <x:c r="D91" s="3" t="str">
        <x:v>portugal.gov.pt, gov.pt, parlamento.pt, diariodarepublica.pt, justica.gov.pt, dgav.pt, icnf.pt, anac.pt, dgeg.gov.pt</x:v>
      </x:c>
      <x:c r="E91" s="3" t="str">
        <x:v>Reviewed; row-level evidence and unresolved delivery timing recorded in Groups. A negative search result is not proof of non-delivery.</x:v>
      </x:c>
      <x:c r="F91" s="3" t="str"/>
    </x:row>
    <x:row r="92" ht="96" customHeight="1">
      <x:c r="A92" s="20" t="d">
        <x:v>2026-10-10T00:00:00.000Z</x:v>
      </x:c>
      <x:c r="B92" s="3" t="str">
        <x:v>GT-2025-043</x:v>
      </x:c>
      <x:c r="C92" s="3" t="str">
        <x:v>"grupo de trabalho" registo transplante progenitores hematopoiéticos relatório conclusões after:2024-04-01 before:2026-10-11</x:v>
      </x:c>
      <x:c r="D92" s="3" t="str">
        <x:v>portugal.gov.pt, gov.pt, parlamento.pt, diariodarepublica.pt, justica.gov.pt, dgav.pt, icnf.pt, anac.pt, dgeg.gov.pt</x:v>
      </x:c>
      <x:c r="E92" s="3" t="str">
        <x:v>Reviewed; row-level evidence and unresolved delivery timing recorded in Groups. A negative search result is not proof of non-delivery.</x:v>
      </x:c>
      <x:c r="F92" s="3" t="str"/>
    </x:row>
    <x:row r="93" ht="96" customHeight="1">
      <x:c r="A93" s="20" t="d">
        <x:v>2026-10-10T00:00:00.000Z</x:v>
      </x:c>
      <x:c r="B93" s="3" t="str">
        <x:v>GT-2026-001</x:v>
      </x:c>
      <x:c r="C93" s="3" t="str">
        <x:v>"grupo de trabalho" Cabo Verde Mecanismo Europeu Apoio Paz relatório conclusões after:2024-04-01 before:2026-10-11</x:v>
      </x:c>
      <x:c r="D93" s="3" t="str">
        <x:v>portugal.gov.pt, gov.pt, parlamento.pt, diariodarepublica.pt, justica.gov.pt, dgav.pt, icnf.pt, anac.pt, dgeg.gov.pt</x:v>
      </x:c>
      <x:c r="E93" s="3" t="str">
        <x:v>Reviewed; row-level evidence and unresolved delivery timing recorded in Groups. A negative search result is not proof of non-delivery.</x:v>
      </x:c>
      <x:c r="F93" s="3" t="str"/>
    </x:row>
    <x:row r="94" ht="96" customHeight="1">
      <x:c r="A94" s="20" t="d">
        <x:v>2026-10-10T00:00:00.000Z</x:v>
      </x:c>
      <x:c r="B94" s="3" t="str">
        <x:v>GT-2026-002</x:v>
      </x:c>
      <x:c r="C94" s="3" t="str">
        <x:v>"grupo de trabalho" calceteiros calçada portuguesa relatório conclusões after:2024-04-01 before:2026-10-11</x:v>
      </x:c>
      <x:c r="D94" s="3" t="str">
        <x:v>portugal.gov.pt, gov.pt, parlamento.pt, diariodarepublica.pt, justica.gov.pt, dgav.pt, icnf.pt, anac.pt, dgeg.gov.pt</x:v>
      </x:c>
      <x:c r="E94" s="3" t="str">
        <x:v>Reviewed; row-level evidence and unresolved delivery timing recorded in Groups. A negative search result is not proof of non-delivery.</x:v>
      </x:c>
      <x:c r="F94" s="3" t="str">
        <x:v>https://diariodarepublica.pt/dr/detalhe/despacho/9701-2026-1153917423</x:v>
      </x:c>
    </x:row>
    <x:row r="95" ht="96" customHeight="1">
      <x:c r="A95" s="20" t="d">
        <x:v>2026-10-10T00:00:00.000Z</x:v>
      </x:c>
      <x:c r="B95" s="3" t="str">
        <x:v>GT-2026-003</x:v>
      </x:c>
      <x:c r="C95" s="3" t="str">
        <x:v>"grupo de trabalho" ecossistema investigação inovação AI2 relatório conclusões after:2024-04-01 before:2026-10-11</x:v>
      </x:c>
      <x:c r="D95" s="3" t="str">
        <x:v>portugal.gov.pt, gov.pt, parlamento.pt, diariodarepublica.pt, justica.gov.pt, dgav.pt, icnf.pt, anac.pt, dgeg.gov.pt</x:v>
      </x:c>
      <x:c r="E95" s="3" t="str">
        <x:v>Reviewed; row-level evidence and unresolved delivery timing recorded in Groups. A negative search result is not proof of non-delivery.</x:v>
      </x:c>
      <x:c r="F95" s="3" t="str">
        <x:v>https://portugal.gov.pt/pt/gc25/comunicacao/comunicados/governo-lanca-grande-debate-nacional-para-definicao-de-prioridades-de-investigacao-e-inovacao-no-ambito-da-ai2</x:v>
      </x:c>
    </x:row>
    <x:row r="96" ht="96" customHeight="1">
      <x:c r="A96" s="20" t="d">
        <x:v>2026-10-10T00:00:00.000Z</x:v>
      </x:c>
      <x:c r="B96" s="3" t="str">
        <x:v>GT-2026-004</x:v>
      </x:c>
      <x:c r="C96" s="3" t="str">
        <x:v>"grupo de trabalho" habitação acessível Portugal 2030 relatório conclusões after:2024-04-01 before:2026-10-11</x:v>
      </x:c>
      <x:c r="D96" s="3" t="str">
        <x:v>portugal.gov.pt, gov.pt, parlamento.pt, diariodarepublica.pt, justica.gov.pt, dgav.pt, icnf.pt, anac.pt, dgeg.gov.pt</x:v>
      </x:c>
      <x:c r="E96" s="3" t="str">
        <x:v>Reviewed; row-level evidence and unresolved delivery timing recorded in Groups. A negative search result is not proof of non-delivery.</x:v>
      </x:c>
      <x:c r="F96" s="3" t="str"/>
    </x:row>
    <x:row r="97" ht="96" customHeight="1">
      <x:c r="A97" s="20" t="d">
        <x:v>2026-10-10T00:00:00.000Z</x:v>
      </x:c>
      <x:c r="B97" s="3" t="str">
        <x:v>GT-2026-005</x:v>
      </x:c>
      <x:c r="C97" s="3" t="str">
        <x:v>"grupo de trabalho" fins instituições educativas relatório conclusões after:2024-04-01 before:2026-10-11</x:v>
      </x:c>
      <x:c r="D97" s="3" t="str">
        <x:v>portugal.gov.pt, gov.pt, parlamento.pt, diariodarepublica.pt, justica.gov.pt, dgav.pt, icnf.pt, anac.pt, dgeg.gov.pt</x:v>
      </x:c>
      <x:c r="E97" s="3" t="str">
        <x:v>Reviewed; row-level evidence and unresolved delivery timing recorded in Groups. A negative search result is not proof of non-delivery.</x:v>
      </x:c>
      <x:c r="F97" s="3" t="str">
        <x:v>https://portugal.gov.pt/pt/gc25/comunicacao/documentos/-relatorio-do-grupo-de-trabalho-proibicao-do-desenvolvimento-de-atividades-contrarias-aos-fins-visados-pelas-instituicoes-educativas</x:v>
      </x:c>
    </x:row>
    <x:row r="98" ht="96" customHeight="1">
      <x:c r="A98" s="20" t="d">
        <x:v>2026-10-10T00:00:00.000Z</x:v>
      </x:c>
      <x:c r="B98" s="3" t="str">
        <x:v>GT-2026-006</x:v>
      </x:c>
      <x:c r="C98" s="3" t="str">
        <x:v>"grupo de trabalho" creche familiar amas relatório conclusões after:2024-04-01 before:2026-10-11</x:v>
      </x:c>
      <x:c r="D98" s="3" t="str">
        <x:v>portugal.gov.pt, gov.pt, parlamento.pt, diariodarepublica.pt, justica.gov.pt, dgav.pt, icnf.pt, anac.pt, dgeg.gov.pt</x:v>
      </x:c>
      <x:c r="E98" s="3" t="str">
        <x:v>Reviewed; row-level evidence and unresolved delivery timing recorded in Groups. A negative search result is not proof of non-delivery.</x:v>
      </x:c>
      <x:c r="F98" s="3" t="str"/>
    </x:row>
    <x:row r="99" ht="96" customHeight="1">
      <x:c r="A99" s="20" t="d">
        <x:v>2026-10-10T00:00:00.000Z</x:v>
      </x:c>
      <x:c r="B99" s="3" t="str">
        <x:v>GT-2026-007</x:v>
      </x:c>
      <x:c r="C99" s="3" t="str">
        <x:v>"grupo de trabalho" defesa Portugal 2030 relatório conclusões after:2024-04-01 before:2026-10-11</x:v>
      </x:c>
      <x:c r="D99" s="3" t="str">
        <x:v>portugal.gov.pt, gov.pt, parlamento.pt, diariodarepublica.pt, justica.gov.pt, dgav.pt, icnf.pt, anac.pt, dgeg.gov.pt</x:v>
      </x:c>
      <x:c r="E99" s="3" t="str">
        <x:v>Reviewed; row-level evidence and unresolved delivery timing recorded in Groups. A negative search result is not proof of non-delivery.</x:v>
      </x:c>
      <x:c r="F99" s="3" t="str"/>
    </x:row>
    <x:row r="100" ht="96" customHeight="1">
      <x:c r="A100" s="20" t="d">
        <x:v>2026-10-10T00:00:00.000Z</x:v>
      </x:c>
      <x:c r="B100" s="3" t="str">
        <x:v>GT-2026-008</x:v>
      </x:c>
      <x:c r="C100" s="3" t="str">
        <x:v>"grupo de trabalho" Fórum Ibérico competitividade relatório conclusões after:2024-04-01 before:2026-10-11</x:v>
      </x:c>
      <x:c r="D100" s="3" t="str">
        <x:v>portugal.gov.pt, gov.pt, parlamento.pt, diariodarepublica.pt, justica.gov.pt, dgav.pt, icnf.pt, anac.pt, dgeg.gov.pt</x:v>
      </x:c>
      <x:c r="E100" s="3" t="str">
        <x:v>Reviewed; row-level evidence and unresolved delivery timing recorded in Groups. A negative search result is not proof of non-delivery.</x:v>
      </x:c>
      <x:c r="F100" s="3" t="str"/>
    </x:row>
    <x:row r="101" ht="96" customHeight="1">
      <x:c r="A101" s="20" t="d">
        <x:v>2026-10-10T00:00:00.000Z</x:v>
      </x:c>
      <x:c r="B101" s="3" t="str">
        <x:v>GT-2026-009</x:v>
      </x:c>
      <x:c r="C101" s="3" t="str">
        <x:v>"grupo de trabalho" política espacial espaço ESA 2026 relatório conclusões after:2024-04-01 before:2026-10-11</x:v>
      </x:c>
      <x:c r="D101" s="3" t="str">
        <x:v>portugal.gov.pt, gov.pt, parlamento.pt, diariodarepublica.pt, justica.gov.pt, dgav.pt, icnf.pt, anac.pt, dgeg.gov.pt</x:v>
      </x:c>
      <x:c r="E101" s="3" t="str">
        <x:v>Reviewed; row-level evidence and unresolved delivery timing recorded in Groups. A negative search result is not proof of non-delivery.</x:v>
      </x:c>
      <x:c r="F101" s="3" t="str"/>
    </x:row>
    <x:row r="102" ht="96" customHeight="1">
      <x:c r="A102" s="20" t="d">
        <x:v>2026-10-10T00:00:00.000Z</x:v>
      </x:c>
      <x:c r="B102" s="3" t="str">
        <x:v>GT-2026-010</x:v>
      </x:c>
      <x:c r="C102" s="3" t="str">
        <x:v>"grupo de trabalho" Lei Finanças Locais revisão relatório conclusões after:2024-04-01 before:2026-10-11</x:v>
      </x:c>
      <x:c r="D102" s="3" t="str">
        <x:v>portugal.gov.pt, gov.pt, parlamento.pt, diariodarepublica.pt, justica.gov.pt, dgav.pt, icnf.pt, anac.pt, dgeg.gov.pt</x:v>
      </x:c>
      <x:c r="E102" s="3" t="str">
        <x:v>Reviewed; row-level evidence and unresolved delivery timing recorded in Groups. A negative search result is not proof of non-delivery.</x:v>
      </x:c>
      <x:c r="F102" s="3" t="str"/>
    </x:row>
    <x:row r="103" ht="96" customHeight="1">
      <x:c r="A103" s="20" t="d">
        <x:v>2026-10-10T00:00:00.000Z</x:v>
      </x:c>
      <x:c r="B103" s="3" t="str">
        <x:v>GT-2026-011</x:v>
      </x:c>
      <x:c r="C103" s="3" t="str">
        <x:v>"grupo de trabalho" Estratégia Nacional Recursos Geológicos 2035 relatório conclusões after:2024-04-01 before:2026-10-11</x:v>
      </x:c>
      <x:c r="D103" s="3" t="str">
        <x:v>portugal.gov.pt, gov.pt, parlamento.pt, diariodarepublica.pt, justica.gov.pt, dgav.pt, icnf.pt, anac.pt, dgeg.gov.pt</x:v>
      </x:c>
      <x:c r="E103" s="3" t="str">
        <x:v>Reviewed; row-level evidence and unresolved delivery timing recorded in Groups. A negative search result is not proof of non-delivery.</x:v>
      </x:c>
      <x:c r="F103" s="3" t="str"/>
    </x:row>
    <x:row r="104" ht="96" customHeight="1">
      <x:c r="A104" s="20" t="d">
        <x:v>2026-10-10T00:00:00.000Z</x:v>
      </x:c>
      <x:c r="B104" s="3" t="str">
        <x:v>GT-2026-012</x:v>
      </x:c>
      <x:c r="C104" s="3" t="str">
        <x:v>"grupo de trabalho" rede referenciação cardiologia cirurgia cardíaca torácica relatório conclusões after:2024-04-01 before:2026-10-11</x:v>
      </x:c>
      <x:c r="D104" s="3" t="str">
        <x:v>portugal.gov.pt, gov.pt, parlamento.pt, diariodarepublica.pt, justica.gov.pt, dgav.pt, icnf.pt, anac.pt, dgeg.gov.pt</x:v>
      </x:c>
      <x:c r="E104" s="3" t="str">
        <x:v>Reviewed; row-level evidence and unresolved delivery timing recorded in Groups. A negative search result is not proof of non-delivery.</x:v>
      </x:c>
      <x:c r="F104" s="3" t="str"/>
    </x:row>
    <x:row r="105" ht="96" customHeight="1">
      <x:c r="A105" s="20" t="d">
        <x:v>2026-10-10T00:00:00.000Z</x:v>
      </x:c>
      <x:c r="B105" s="3" t="str">
        <x:v>GT-2026-013</x:v>
      </x:c>
      <x:c r="C105" s="3" t="str">
        <x:v>"grupo de trabalho" Código Processo Penal revisão 2026 relatório conclusões after:2024-04-01 before:2026-10-11</x:v>
      </x:c>
      <x:c r="D105" s="3" t="str">
        <x:v>portugal.gov.pt, gov.pt, parlamento.pt, diariodarepublica.pt, justica.gov.pt, dgav.pt, icnf.pt, anac.pt, dgeg.gov.pt</x:v>
      </x:c>
      <x:c r="E105" s="3" t="str">
        <x:v>Reviewed; row-level evidence and unresolved delivery timing recorded in Groups. A negative search result is not proof of non-delivery.</x:v>
      </x:c>
      <x:c r="F105" s="3" t="str"/>
    </x:row>
    <x:row r="106" ht="96" customHeight="1">
      <x:c r="A106" s="20" t="d">
        <x:v>2026-10-10T00:00:00.000Z</x:v>
      </x:c>
      <x:c r="B106" s="3" t="str">
        <x:v>GT-2026-014</x:v>
      </x:c>
      <x:c r="C106" s="3" t="str">
        <x:v>"grupo de trabalho" acesso rede elétrica novo modelo relatório conclusões after:2024-04-01 before:2026-10-11</x:v>
      </x:c>
      <x:c r="D106" s="3" t="str">
        <x:v>portugal.gov.pt, gov.pt, parlamento.pt, diariodarepublica.pt, justica.gov.pt, dgav.pt, icnf.pt, anac.pt, dgeg.gov.pt</x:v>
      </x:c>
      <x:c r="E106" s="3" t="str">
        <x:v>Reviewed; row-level evidence and unresolved delivery timing recorded in Groups. A negative search result is not proof of non-delivery.</x:v>
      </x:c>
      <x:c r="F106" s="3" t="str"/>
    </x:row>
    <x:row r="107" ht="96" customHeight="1">
      <x:c r="A107" s="20" t="d">
        <x:v>2026-10-10T00:00:00.000Z</x:v>
      </x:c>
      <x:c r="B107" s="3" t="str">
        <x:v>GT-2026-015</x:v>
      </x:c>
      <x:c r="C107" s="3" t="str">
        <x:v>"grupo de trabalho" Lei Geral Segurança Saúde Trabalho relatório conclusões after:2024-04-01 before:2026-10-11</x:v>
      </x:c>
      <x:c r="D107" s="3" t="str">
        <x:v>portugal.gov.pt, gov.pt, parlamento.pt, diariodarepublica.pt, justica.gov.pt, dgav.pt, icnf.pt, anac.pt, dgeg.gov.pt</x:v>
      </x:c>
      <x:c r="E107" s="3" t="str">
        <x:v>Reviewed; row-level evidence and unresolved delivery timing recorded in Groups. A negative search result is not proof of non-delivery.</x:v>
      </x:c>
      <x:c r="F107" s="3" t="str"/>
    </x:row>
    <x:row r="108" ht="96" customHeight="1">
      <x:c r="A108" s="20" t="d">
        <x:v>2026-10-10T00:00:00.000Z</x:v>
      </x:c>
      <x:c r="B108" s="3" t="str">
        <x:v>GT-2026-016</x:v>
      </x:c>
      <x:c r="C108" s="3" t="str">
        <x:v>"grupo de trabalho" subtração internacional crianças procedimentos relatório conclusões after:2024-04-01 before:2026-10-11</x:v>
      </x:c>
      <x:c r="D108" s="3" t="str">
        <x:v>portugal.gov.pt, gov.pt, parlamento.pt, diariodarepublica.pt, justica.gov.pt, dgav.pt, icnf.pt, anac.pt, dgeg.gov.pt</x:v>
      </x:c>
      <x:c r="E108" s="3" t="str">
        <x:v>Reviewed; row-level evidence and unresolved delivery timing recorded in Groups. A negative search result is not proof of non-delivery.</x:v>
      </x:c>
      <x:c r="F108" s="3" t="str"/>
    </x:row>
    <x:row r="109" ht="96" customHeight="1">
      <x:c r="A109" s="20" t="d">
        <x:v>2026-10-10T00:00:00.000Z</x:v>
      </x:c>
      <x:c r="B109" s="3" t="str">
        <x:v>GT-2026-017</x:v>
      </x:c>
      <x:c r="C109" s="3" t="str">
        <x:v>"grupo de trabalho" rede referenciação ortopedia relatório conclusões after:2024-04-01 before:2026-10-11</x:v>
      </x:c>
      <x:c r="D109" s="3" t="str">
        <x:v>portugal.gov.pt, gov.pt, parlamento.pt, diariodarepublica.pt, justica.gov.pt, dgav.pt, icnf.pt, anac.pt, dgeg.gov.pt</x:v>
      </x:c>
      <x:c r="E109" s="3" t="str">
        <x:v>Reviewed; row-level evidence and unresolved delivery timing recorded in Groups. A negative search result is not proof of non-delivery.</x:v>
      </x:c>
      <x:c r="F109" s="3" t="str"/>
    </x:row>
    <x:row r="110" ht="96" customHeight="1">
      <x:c r="A110" s="20" t="d">
        <x:v>2026-10-10T00:00:00.000Z</x:v>
      </x:c>
      <x:c r="B110" s="3" t="str">
        <x:v>GT-2026-018</x:v>
      </x:c>
      <x:c r="C110" s="3" t="str">
        <x:v>"grupo de trabalho" rede referenciação urgência emergência hospitalar relatório conclusões after:2024-04-01 before:2026-10-11</x:v>
      </x:c>
      <x:c r="D110" s="3" t="str">
        <x:v>portugal.gov.pt, gov.pt, parlamento.pt, diariodarepublica.pt, justica.gov.pt, dgav.pt, icnf.pt, anac.pt, dgeg.gov.pt</x:v>
      </x:c>
      <x:c r="E110" s="3" t="str">
        <x:v>Reviewed; row-level evidence and unresolved delivery timing recorded in Groups. A negative search result is not proof of non-delivery.</x:v>
      </x:c>
      <x:c r="F110" s="3" t="str"/>
    </x:row>
    <x:row r="111" ht="96" customHeight="1">
      <x:c r="A111" s="20" t="d">
        <x:v>2026-10-10T00:00:00.000Z</x:v>
      </x:c>
      <x:c r="B111" s="3" t="str">
        <x:v>GT-2026-019</x:v>
      </x:c>
      <x:c r="C111" s="3" t="str">
        <x:v>"grupo de trabalho" rede referenciação imunoalergologia relatório conclusões after:2024-04-01 before:2026-10-11</x:v>
      </x:c>
      <x:c r="D111" s="3" t="str">
        <x:v>portugal.gov.pt, gov.pt, parlamento.pt, diariodarepublica.pt, justica.gov.pt, dgav.pt, icnf.pt, anac.pt, dgeg.gov.pt</x:v>
      </x:c>
      <x:c r="E111" s="3" t="str">
        <x:v>Reviewed; row-level evidence and unresolved delivery timing recorded in Groups. A negative search result is not proof of non-delivery.</x:v>
      </x:c>
      <x:c r="F111" s="3" t="str"/>
    </x:row>
    <x:row r="112" ht="96" customHeight="1">
      <x:c r="A112" s="20" t="d">
        <x:v>2026-10-10T00:00:00.000Z</x:v>
      </x:c>
      <x:c r="B112" s="3" t="str">
        <x:v>GT-2026-020</x:v>
      </x:c>
      <x:c r="C112" s="3" t="str">
        <x:v>"grupo de trabalho" rede referenciação neurorradiologia intervenção relatório conclusões after:2024-04-01 before:2026-10-11</x:v>
      </x:c>
      <x:c r="D112" s="3" t="str">
        <x:v>portugal.gov.pt, gov.pt, parlamento.pt, diariodarepublica.pt, justica.gov.pt, dgav.pt, icnf.pt, anac.pt, dgeg.gov.pt</x:v>
      </x:c>
      <x:c r="E112" s="3" t="str">
        <x:v>Reviewed; row-level evidence and unresolved delivery timing recorded in Groups. A negative search result is not proof of non-delivery.</x:v>
      </x:c>
      <x:c r="F112" s="3" t="str"/>
    </x:row>
    <x:row r="113" ht="96" customHeight="1">
      <x:c r="A113" s="20" t="d">
        <x:v>2026-10-10T00:00:00.000Z</x:v>
      </x:c>
      <x:c r="B113" s="3" t="str">
        <x:v>GT-2026-021</x:v>
      </x:c>
      <x:c r="C113" s="3" t="str">
        <x:v>"grupo de trabalho" tesourarias Estado relatório conclusões after:2024-04-01 before:2026-10-11</x:v>
      </x:c>
      <x:c r="D113" s="3" t="str">
        <x:v>portugal.gov.pt, gov.pt, parlamento.pt, diariodarepublica.pt, justica.gov.pt, dgav.pt, icnf.pt, anac.pt, dgeg.gov.pt</x:v>
      </x:c>
      <x:c r="E113" s="3" t="str">
        <x:v>Reviewed; row-level evidence and unresolved delivery timing recorded in Groups. A negative search result is not proof of non-delivery.</x:v>
      </x:c>
      <x:c r="F113" s="3" t="str"/>
    </x:row>
    <x:row r="114" ht="96" customHeight="1">
      <x:c r="A114" s="20" t="d">
        <x:v>2026-10-10T00:00:00.000Z</x:v>
      </x:c>
      <x:c r="B114" s="3" t="str">
        <x:v>GT-2026-022</x:v>
      </x:c>
      <x:c r="C114" s="3" t="str">
        <x:v>"grupo de trabalho" Lei Finanças Regiões Autónomas relatório conclusões after:2024-04-01 before:2026-10-11</x:v>
      </x:c>
      <x:c r="D114" s="3" t="str">
        <x:v>portugal.gov.pt, gov.pt, parlamento.pt, diariodarepublica.pt, justica.gov.pt, dgav.pt, icnf.pt, anac.pt, dgeg.gov.pt</x:v>
      </x:c>
      <x:c r="E114" s="3" t="str">
        <x:v>Reviewed; row-level evidence and unresolved delivery timing recorded in Groups. A negative search result is not proof of non-delivery.</x:v>
      </x:c>
      <x:c r="F114" s="3" t="str"/>
    </x:row>
    <x:row r="115" ht="96" customHeight="1">
      <x:c r="A115" s="20" t="d">
        <x:v>2026-10-10T00:00:00.000Z</x:v>
      </x:c>
      <x:c r="B115" s="3" t="str">
        <x:v>GT-2026-023</x:v>
      </x:c>
      <x:c r="C115" s="3" t="str">
        <x:v>"grupo de trabalho" proteção assistência vítimas tráfico seres humanos relatório conclusões after:2024-04-01 before:2026-10-11</x:v>
      </x:c>
      <x:c r="D115" s="3" t="str">
        <x:v>portugal.gov.pt, gov.pt, parlamento.pt, diariodarepublica.pt, justica.gov.pt, dgav.pt, icnf.pt, anac.pt, dgeg.gov.pt</x:v>
      </x:c>
      <x:c r="E115" s="3" t="str">
        <x:v>Reviewed; row-level evidence and unresolved delivery timing recorded in Groups. A negative search result is not proof of non-delivery.</x:v>
      </x:c>
      <x:c r="F115" s="3" t="str"/>
    </x:row>
    <x:row r="116" ht="96" customHeight="1">
      <x:c r="A116" s="20" t="d">
        <x:v>2026-10-10T00:00:00.000Z</x:v>
      </x:c>
      <x:c r="B116" s="3" t="str">
        <x:v>GT-2026-024</x:v>
      </x:c>
      <x:c r="C116" s="3" t="str">
        <x:v>"grupo de trabalho" acolhimento vítimas violência doméstica relatório conclusões after:2024-04-01 before:2026-10-11</x:v>
      </x:c>
      <x:c r="D116" s="3" t="str">
        <x:v>portugal.gov.pt, gov.pt, parlamento.pt, diariodarepublica.pt, justica.gov.pt, dgav.pt, icnf.pt, anac.pt, dgeg.gov.pt</x:v>
      </x:c>
      <x:c r="E116" s="3" t="str">
        <x:v>Reviewed; row-level evidence and unresolved delivery timing recorded in Groups. A negative search result is not proof of non-delivery.</x:v>
      </x:c>
      <x:c r="F116" s="3" t="str"/>
    </x:row>
    <x:row r="117" ht="96" customHeight="1">
      <x:c r="A117" s="20" t="d">
        <x:v>2026-10-10T00:00:00.000Z</x:v>
      </x:c>
      <x:c r="B117" s="3" t="str">
        <x:v>GT-2026-025</x:v>
      </x:c>
      <x:c r="C117" s="3" t="str">
        <x:v>"grupo de trabalho" territórios baixa densidade relatório conclusões after:2024-04-01 before:2026-10-11</x:v>
      </x:c>
      <x:c r="D117" s="3" t="str">
        <x:v>portugal.gov.pt, gov.pt, parlamento.pt, diariodarepublica.pt, justica.gov.pt, dgav.pt, icnf.pt, anac.pt, dgeg.gov.pt</x:v>
      </x:c>
      <x:c r="E117" s="3" t="str">
        <x:v>Reviewed; row-level evidence and unresolved delivery timing recorded in Groups. A negative search result is not proof of non-delivery.</x:v>
      </x:c>
      <x:c r="F117" s="3" t="str"/>
    </x:row>
    <x:row r="118" ht="96" customHeight="1">
      <x:c r="A118" s="20" t="d">
        <x:v>2026-10-10T00:00:00.000Z</x:v>
      </x:c>
      <x:c r="B118" s="3" t="str">
        <x:v>GT-2026-026</x:v>
      </x:c>
      <x:c r="C118" s="3" t="str">
        <x:v>"grupo de trabalho" casamentos forçados mutilação genital crimes honra relatório conclusões after:2024-04-01 before:2026-10-11</x:v>
      </x:c>
      <x:c r="D118" s="3" t="str">
        <x:v>portugal.gov.pt, gov.pt, parlamento.pt, diariodarepublica.pt, justica.gov.pt, dgav.pt, icnf.pt, anac.pt, dgeg.gov.pt</x:v>
      </x:c>
      <x:c r="E118" s="3" t="str">
        <x:v>Reviewed; row-level evidence and unresolved delivery timing recorded in Groups. A negative search result is not proof of non-delivery.</x:v>
      </x:c>
      <x:c r="F118" s="3" t="str"/>
    </x:row>
    <x:row r="119" ht="96" customHeight="1">
      <x:c r="A119" s="20" t="d">
        <x:v>2026-10-10T00:00:00.000Z</x:v>
      </x:c>
      <x:c r="B119" s="3" t="str">
        <x:v>GT-2026-027</x:v>
      </x:c>
      <x:c r="C119" s="3" t="str">
        <x:v>"grupo de trabalho" pontualidade ferroviária relatório conclusões after:2024-04-01 before:2026-10-11</x:v>
      </x:c>
      <x:c r="D119" s="3" t="str">
        <x:v>portugal.gov.pt, gov.pt, parlamento.pt, diariodarepublica.pt, justica.gov.pt, dgav.pt, icnf.pt, anac.pt, dgeg.gov.pt</x:v>
      </x:c>
      <x:c r="E119" s="3" t="str">
        <x:v>Reviewed; row-level evidence and unresolved delivery timing recorded in Groups. A negative search result is not proof of non-delivery.</x:v>
      </x:c>
      <x:c r="F119" s="3" t="str"/>
    </x:row>
    <x:row r="120" ht="96" customHeight="1">
      <x:c r="A120" s="20" t="d">
        <x:v>2026-10-10T00:00:00.000Z</x:v>
      </x:c>
      <x:c r="B120" s="3" t="str">
        <x:v>GT-2026-028</x:v>
      </x:c>
      <x:c r="C120" s="3" t="str">
        <x:v>"grupo de trabalho" segurança privada revisão legislação relatório conclusões after:2024-04-01 before:2026-10-11</x:v>
      </x:c>
      <x:c r="D120" s="3" t="str">
        <x:v>portugal.gov.pt, gov.pt, parlamento.pt, diariodarepublica.pt, justica.gov.pt, dgav.pt, icnf.pt, anac.pt, dgeg.gov.pt</x:v>
      </x:c>
      <x:c r="E120" s="3" t="str">
        <x:v>Reviewed; row-level evidence and unresolved delivery timing recorded in Groups. A negative search result is not proof of non-delivery.</x:v>
      </x:c>
      <x:c r="F120" s="3" t="str"/>
    </x:row>
    <x:row r="121" ht="96" customHeight="1">
      <x:c r="A121" s="20" t="d">
        <x:v>2026-10-10T00:00:00.000Z</x:v>
      </x:c>
      <x:c r="B121" s="3" t="str">
        <x:v>GT-2025-038</x:v>
      </x:c>
      <x:c r="C121" s="3" t="str">
        <x:v>"175/2025" STEM relatório abril 2026</x:v>
      </x:c>
      <x:c r="D121" s="3" t="str">
        <x:v>dges.gov.pt, cig.gov.pt, portugal.gov.pt</x:v>
      </x:c>
      <x:c r="E121" s="3" t="str">
        <x:v>Official report found, dated April 2026; actual constitution and receipt dates unverified.</x:v>
      </x:c>
      <x:c r="F121" s="3" t="str">
        <x:v>https://wwwcdn.dges.gov.pt/sites/default/files/relatorio_gt_raparigas_nas_stem_vpublicacao.pdf</x:v>
      </x:c>
    </x:row>
  </x:sheetData>
  <x:pageMargins left="0.7" right="0.7" top="0.75" bottom="0.75" header="0.3" footer="0.3"/>
  <x:tableParts count="1">
    <x:tablePart xmlns:r="http://schemas.openxmlformats.org/officeDocument/2006/relationships" r:id="Rc935c535a0664a76"/>
  </x:tableParts>
</x:worksheet>
</file>

<file path=xl/worksheets/sheet10.xml><?xml version="1.0" encoding="utf-8"?>
<x:worksheet xmlns:x="http://schemas.openxmlformats.org/spreadsheetml/2006/main">
  <x:sheetPr>
    <x:tabColor rgb="FF8A99AA"/>
  </x:sheetPr>
  <x:sheetViews>
    <x:sheetView showGridLines="0" workbookViewId="0">
      <x:pane xSplit="2" ySplit="5" topLeftCell="C6" activePane="bottomRight" state="frozen"/>
    </x:sheetView>
  </x:sheetViews>
  <x:sheetFormatPr defaultRowHeight="15"/>
  <x:cols>
    <x:col min="1" max="1" width="32" hidden="0" customWidth="1"/>
    <x:col min="2" max="2" width="135" hidden="0" customWidth="1"/>
  </x:cols>
  <x:sheetData>
    <x:row r="1">
      <x:c r="A1" s="3"/>
      <x:c r="B1" s="3"/>
    </x:row>
    <x:row r="2" ht="28" customHeight="1">
      <x:c r="A2" s="5" t="str">
        <x:v>Methodology</x:v>
      </x:c>
      <x:c r="B2" s="5"/>
    </x:row>
    <x:row r="3" ht="23" customHeight="1">
      <x:c r="A3" s="7" t="str">
        <x:v>Definitions, counting rules, calendar assumptions and known gaps.</x:v>
      </x:c>
      <x:c r="B3" s="7"/>
    </x:row>
    <x:row r="4">
      <x:c r="A4" s="8"/>
      <x:c r="B4" s="8"/>
    </x:row>
    <x:row r="5" ht="52" customHeight="1">
      <x:c r="A5" s="17" t="str">
        <x:v>Topic</x:v>
      </x:c>
      <x:c r="B5" s="19" t="str">
        <x:v>Method / limitation</x:v>
      </x:c>
    </x:row>
    <x:row r="6" ht="82" customHeight="1">
      <x:c r="A6" s="3" t="str">
        <x:v>Scope</x:v>
      </x:c>
      <x:c r="B6" s="3" t="str">
        <x:v>Central Portuguese Government working groups created by an explicit operative provision between 2 April 2024 and 10 October 2026. Includes named technical working groups; excludes municipalities, autonomous-region-only creations, universities, professional orders and purely internal agency groups. Regional bodies remain listed when members of central groups.</x:v>
      </x:c>
    </x:row>
    <x:row r="7" ht="82" customHeight="1">
      <x:c r="A7" s="3" t="str">
        <x:v>Government assignment</x:v>
      </x:c>
      <x:c r="B7" s="3" t="str">
        <x:v>XXIV: creation/adoption from 2 April 2024 to 4 June 2025. XXV: from 5 June 2025. Use signature/adoption, not publication alone; multiple signatures use the latest. Publication-sorted IDs are identifiers, not chronological creation dates. No statutory entry-date default is inferred when the act is silent.</x:v>
      </x:c>
    </x:row>
    <x:row r="8" ht="82" customHeight="1">
      <x:c r="A8" s="3" t="str">
        <x:v>Discovery search</x:v>
      </x:c>
      <x:c r="B8" s="3" t="str">
        <x:v>DR native full-period searches, with all status filters disabled: "grupo de trabalho" (1341 records), "grupos de trabalho" (2246), "grupo técnico de trabalho" (6), "grupos técnicos de trabalho" (4). Date-ascending pagination captured completely; 3251 distinct result URLs after deduplication. Summaries screened for ministries/Secretarias de Estado and creating verbs; 292 shortlisted full acts read. Searches include both series and supplements.</x:v>
      </x:c>
    </x:row>
    <x:row r="9" ht="82" customHeight="1">
      <x:c r="A9" s="3" t="str">
        <x:v>Batches and coverage</x:v>
      </x:c>
      <x:c r="B9" s="3" t="str">
        <x:v>Coverage shows every publication month, April 2024–October 2026, including zero-count months and partial first/last months. A full search-window sweep is not a guarantee that every unpublished or indirectly described group has been discovered.</x:v>
      </x:c>
    </x:row>
    <x:row r="10" ht="82" customHeight="1">
      <x:c r="A10" s="3" t="str">
        <x:v>Counting unit</x:v>
      </x:c>
      <x:c r="B10" s="3" t="str">
        <x:v>One row per separately constituted group, not per mention or amendment. Despacho 10294-C/2024 creates three groups; 5543-A/2025 creates five regional groups. SNS24 6564/2024 and 8252/2024 are treated as one continuing group with expanded membership and identical retrospective start. State-reform renamings count once. Separate drug-supply constitutions remain two rows because continuity/revocation is not explicit; possible overlap is disclosed.</x:v>
      </x:c>
    </x:row>
    <x:row r="11" ht="82" customHeight="1">
      <x:c r="A11" s="3" t="str">
        <x:v>Outcomes and sources</x:v>
      </x:c>
      <x:c r="B11" s="3" t="str">
        <x:v>116 focused official-domain outcome searches, plus later-act cross-checks, current passport legislation, report repositories and follow-up searches for disputed delivery. Only primary sources support row-level assertions. Search dates and exact queries are in Search log. No blanket assertion that every parliamentary answer or agency annual report has been reviewed. Secondary news was not used as status evidence.</x:v>
      </x:c>
    </x:row>
    <x:row r="12" ht="82" customHeight="1">
      <x:c r="A12" s="3" t="str">
        <x:v>Status rule</x:v>
      </x:c>
      <x:c r="B12" s="3" t="str">
        <x:v>Past dated output benchmark plus no public delivery evidence: Em atraso. Future controlling benchmark: Em curso – dentro do prazo, without certifying compliance with earlier milestones. Formal extension with a future/undated current mandate: Prorrogado; an expired extension with no delivery evidence returns to Em atraso. Express revocation/replacement: Extinto / substituído. Completion timing is classified only when dated evidence is adequate.</x:v>
      </x:c>
    </x:row>
    <x:row r="13" ht="82" customHeight="1">
      <x:c r="A13" s="3" t="str">
        <x:v>Unknown timing</x:v>
      </x:c>
      <x:c r="B13" s="3" t="str">
        <x:v>A public report, policy approval or delivery acknowledgement can establish an output without dating internal receipt. Such records use Sem informação pública for unresolved timeliness. Conflicting official dates also use this status. It therefore includes confirmed outputs with unknown timing and is not equivalent to total silence.</x:v>
      </x:c>
    </x:row>
    <x:row r="14" ht="82" customHeight="1">
      <x:c r="A14" s="3" t="str">
        <x:v>Deadline schedule</x:v>
      </x:c>
      <x:c r="B14" s="3" t="str">
        <x:v>Deadlines preserves timed creating-act provisions, periodic duties, appointment/planning deadlines, later extensions and clearly labelled monitoring benchmarks. A group’s status follows its selected substantive output/mandate benchmark; overdue interim milestones are visible separately. Broader programme windows and infrastructure-study dates are labelled as contextual policy duties.</x:v>
      </x:c>
    </x:row>
    <x:row r="15" ht="82" customHeight="1">
      <x:c r="A15" s="3" t="str">
        <x:v>Calendar convention</x:v>
      </x:c>
      <x:c r="B15" s="3" t="str">
        <x:v>Anchor excluded. Explicit dias úteis exclude Saturdays, Sundays and national statutory holidays. Plain dias use calendar monitoring counts; where a procedural CPA interpretation is plausible (up to 180 days), a working-day alternative is shown. Explicit consecutive days use calendar days. Months/years use the corresponding calendar anniversary, capped to month-end. Municipal holidays and tolerâncias de ponto are not included.</x:v>
      </x:c>
    </x:row>
    <x:row r="16" ht="82" customHeight="1">
      <x:c r="A16" s="3" t="str">
        <x:v>Unknown anchors</x:v>
      </x:c>
      <x:c r="B16" s="3" t="str">
        <x:v>Where constitution, start of work, consultation closure or prior report delivery is an unverified trigger, no exact legal due date is invented. Illustrative dates are labelled and do not establish late completion. Deadline wording without an express trigger is shown with its monitoring-anchor assumption.</x:v>
      </x:c>
    </x:row>
    <x:row r="17" ht="82" customHeight="1">
      <x:c r="A17" s="3" t="str">
        <x:v>Window dates</x:v>
      </x:c>
      <x:c r="B17" s="3" t="str">
        <x:v>Q2 2026 means 1 April–30 June 2026. The passport phrase “a partir do segundo trimestre” is an availability target, not an express hard final day; 30 June is the conservative monitoring benchmark. Half-year/year-end windows are converted to their end boundaries and labelled.</x:v>
      </x:c>
    </x:row>
    <x:row r="18" ht="82" customHeight="1">
      <x:c r="A18" s="3" t="str">
        <x:v>Delay arithmetic</x:v>
      </x:c>
      <x:c r="B18" s="3" t="str">
        <x:v>Em atraso: max(0, as-of date minus current controlling date). Concluído com atraso: actual dated delivery minus current due date. On-time completion: zero. Other statuses: blank. Alternative counting delay is shown separately. Dashboard average and longest current delay include only Em atraso; completed-late delay is reported separately. No claim that missing evidence proves non-delivery.</x:v>
      </x:c>
    </x:row>
    <x:row r="19" ht="82" customHeight="1">
      <x:c r="A19" s="3" t="str">
        <x:v>Ministry counts</x:v>
      </x:c>
      <x:c r="B19" s="3" t="str">
        <x:v>Ministry portfolios are normalised from the DR issuing-ministry heading, preserving the complete original issuing offices alongside it. Where the heading uses the Presidency umbrella, an expressly named issuing infrastructure/housing/mobility or territorial-cohesion office is also allocated to its portfolio. Joint acts count under each issuing portfolio, so counts overlap. Council-of-Ministers acts remain under Presidency / Council of Ministers unless the source names other issuing offices; policy area is separate. Issuing portfolios records the group-to-portfolio mapping.</x:v>
      </x:c>
    </x:row>
    <x:row r="20" ht="82" customHeight="1">
      <x:c r="A20" s="3" t="str">
        <x:v>Report versus policy</x:v>
      </x:c>
      <x:c r="B20" s="3" t="str">
        <x:v>Report/output evidence and policy implementation evidence have separate columns. Enacting a law does not date a group’s internal delivery. Extinction clauses contingent on delivery/approval are not treated as dated revocation without verified satisfaction of the condition.</x:v>
      </x:c>
    </x:row>
    <x:row r="21" ht="82" customHeight="1">
      <x:c r="A21" s="3" t="str">
        <x:v>Completeness limitations</x:v>
      </x:c>
      <x:c r="B21" s="3" t="str">
        <x:v>This is a documented public-record inventory, not a certified census. 9 Discovery rows identify delegated/collective constitutions, unpublished or unlocated original decisions, and boundary exclusions. CDAP thematic groups, children/disability strategy subgroups, SAFE and agency preparatory groups need original records. Related bodies is a selected list encountered during working-group research, not a census of all commissions/task forces.</x:v>
      </x:c>
    </x:row>
    <x:row r="22" ht="82" customHeight="1">
      <x:c r="A22" s="3" t="str">
        <x:v>Refresh</x:v>
      </x:c>
      <x:c r="B22" s="3" t="str">
        <x:v>Evidence statuses are fixed at 10 October 2026. Changing Dashboard’s as-of date recalculates delay arithmetic only; it does not search for new evidence or automatically validate status. Recheck original and amending acts and update delivery evidence before publishing later snapshots.</x:v>
      </x:c>
    </x:row>
    <x:row r="23" ht="82" customHeight="1">
      <x:c r="A23" s="3" t="str">
        <x:v>Using the workbook</x:v>
      </x:c>
      <x:c r="B23" s="3" t="str">
        <x:v>Groups and the schedules are native filterable Excel tables. Long cells retain full text; expand row height or use the formula bar to read it. The numbered Portuguese provisions preserve the act’s own numbering. Source URLs and clickable creating-act links sit beside each record.</x:v>
      </x:c>
    </x:row>
    <x:row r="24" ht="82" customHeight="1">
      <x:c r="A24" s="3" t="str">
        <x:v>Reference — XXV start</x:v>
      </x:c>
      <x:c r="B24" s="3" t="str">
        <x:v>https://portugal.gov.pt/gc25/comunicacao/noticias/resolver-os-problemas-das-pessoas-e-transformar-portugal</x:v>
      </x:c>
    </x:row>
    <x:row r="25" ht="82" customHeight="1">
      <x:c r="A25" s="3" t="str">
        <x:v>Reference — national holidays</x:v>
      </x:c>
      <x:c r="B25" s="3" t="str">
        <x:v>Código do Trabalho, article 234: https://diariodarepublica.pt/dr/legislacao-consolidada/lei/2009-34546475-46746675</x:v>
      </x:c>
    </x:row>
    <x:row r="26" ht="82" customHeight="1">
      <x:c r="A26" s="3" t="str">
        <x:v>Reference — procedural counting</x:v>
      </x:c>
      <x:c r="B26" s="3" t="str">
        <x:v>CPA, article 87: https://diariodarepublica.pt/dr/detalhe/decreto-lei/4-2015-66041468-115721810</x:v>
      </x:c>
    </x:row>
  </x:sheetData>
  <x:pageMargins left="0.7" right="0.7" top="0.75" bottom="0.75" header="0.3" footer="0.3"/>
  <x:tableParts count="1">
    <x:tablePart xmlns:r="http://schemas.openxmlformats.org/officeDocument/2006/relationships" r:id="R51bcb9361d974f6c"/>
  </x:tableParts>
</x:worksheet>
</file>